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0.xml" ContentType="application/vnd.openxmlformats-officedocument.drawingml.chart+xml"/>
  <Override PartName="/xl/drawings/drawing0.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9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kosa-course\projects\새 폴더\CapitalIQ Excel 예시\"/>
    </mc:Choice>
  </mc:AlternateContent>
  <x:bookViews>
    <x:workbookView xWindow="0" yWindow="0" windowWidth="25340" windowHeight="11270" tabRatio="798" firstSheet="1" activeTab="1"/>
  </x:bookViews>
  <x:sheets>
    <x:sheet name="__snloffice" sheetId="1" state="hidden" r:id="rId4"/>
    <x:sheet name="Key_Stats" sheetId="2" r:id="rId5"/>
    <x:sheet name="Income_Statement" sheetId="3" r:id="rId6"/>
    <x:sheet name="Balance_Sheet" sheetId="4" r:id="rId7"/>
    <x:sheet name="Cash_Flow" sheetId="5" r:id="rId8"/>
    <x:sheet name="Multiples" sheetId="6" r:id="rId9"/>
    <x:sheet name="Capitalization" sheetId="7" r:id="rId10"/>
    <x:sheet name="Capital_Structure_Summary" sheetId="8" r:id="rId11"/>
    <x:sheet name="Capital_Structure_ Details " sheetId="9" r:id="rId12"/>
    <x:sheet name="Ratios" sheetId="10" r:id="rId13"/>
    <x:sheet name="Supplemental" sheetId="11" r:id="rId14"/>
    <x:sheet name="Pension-OPEB" sheetId="12" r:id="rId15"/>
  </x:sheets>
  <x:externalReferences>
    <x:externalReference r:id="rId16"/>
    <x:externalReference r:id="rId17"/>
  </x:externalReferences>
  <x:definedNames>
    <x:definedName name="CIQWBGuid" hidden="1">"766e0601-a60f-412b-87ae-8f65e4d1b3eb"</x:definedName>
    <x:definedName name="CIQWBInfo" hidden="1">"{ ""CIQVersion"":""9.53.6531.4508"" }"</x:definedName>
    <x:definedName name="ClearData">Key_Stats!$K$28:$M$52</x:definedName>
    <x:definedName name="FormatTable">Key_Stats!$U$15:$W$17</x:definedName>
    <x:definedName name="IQ_CH">110000</x:definedName>
    <x:definedName name="IQ_CQ">5000</x:definedName>
    <x:definedName name="IQ_CY">10000</x:definedName>
    <x:definedName name="IQ_DAILY">500000</x:definedName>
    <x:definedName name="IQ_DNTM" hidden="1">700000</x:definedName>
    <x:definedName name="IQ_FH">100000</x:definedName>
    <x:definedName name="IQ_FQ">500</x:definedName>
    <x:definedName name="IQ_FWD_CY" hidden="1">10001</x:definedName>
    <x:definedName name="IQ_FWD_CY1" hidden="1">10002</x:definedName>
    <x:definedName name="IQ_FWD_CY2" hidden="1">10003</x:definedName>
    <x:definedName name="IQ_FWD_FY" hidden="1">1001</x:definedName>
    <x:definedName name="IQ_FWD_FY1" hidden="1">1002</x:definedName>
    <x:definedName name="IQ_FWD_FY2" hidden="1">1003</x:definedName>
    <x:definedName name="IQ_FWD_Q" hidden="1">501</x:definedName>
    <x:definedName name="IQ_FWD_Q1" hidden="1">502</x:definedName>
    <x:definedName name="IQ_FWD_Q2" hidden="1">503</x:definedName>
    <x:definedName name="IQ_FY">1000</x:definedName>
    <x:definedName name="IQ_LATESTK" hidden="1">1000</x:definedName>
    <x:definedName name="IQ_LATESTQ" hidden="1">500</x:definedName>
    <x:definedName name="IQ_LTM">2000</x:definedName>
    <x:definedName name="IQ_LTMMONTH" hidden="1">120000</x:definedName>
    <x:definedName name="IQ_MONTH">15000</x:definedName>
    <x:definedName name="IQ_MTD" hidden="1">800000</x:definedName>
    <x:definedName name="IQ_NAMES_REVISION_DATE_" hidden="1">46002.276875</x:definedName>
    <x:definedName name="IQ_NTM">6000</x:definedName>
    <x:definedName name="IQ_QTD" hidden="1">750000</x:definedName>
    <x:definedName name="IQ_TODAY" hidden="1">0</x:definedName>
    <x:definedName name="IQ_WEEK">50000</x:definedName>
    <x:definedName name="IQ_YTD">3000</x:definedName>
    <x:definedName name="IQ_YTDMONTH" hidden="1">130000</x:definedName>
    <x:definedName name="IQRCapitalStructureDetailsU34" hidden="1">'[1]Capital Structure Details'!$U$35:$U$59</x:definedName>
    <x:definedName name="IQRCapitalStructureDetailsU5" hidden="1">'[1]Capital Structure Details'!$U$6:$U$30</x:definedName>
    <x:definedName name="IQRCapitalStructureDetailsU63" hidden="1">'[1]Capital Structure Details'!$U$64:$U$88</x:definedName>
    <x:definedName name="KI">IF(Key_Stats!$L$25="",Key_Stats!$E$25:$K$25,Key_Stats!$E$25:$M$25)</x:definedName>
    <x:definedName name="SKF">IF(Key_Stats!$L$26="",Key_Stats!$E$26:$K$26,Key_Stats!$E$26:$M$26)</x:definedName>
    <x:definedName name="snl__0005FF71_C53F_46A8_A447_4D902016868E_" localSheetId="7" hidden="1">'Capital_Structure_Summary'!$C$7,'Capital_Structure_Summary'!$H$29:$P$79</x:definedName>
    <x:definedName name="snl__001777BE_EA59_487D_B4D0_60D55CA4262A_" localSheetId="1" hidden="1">Key_Stats!$B$106,Key_Stats!$F$111:$I$115</x:definedName>
    <x:definedName name="snl__001F1BD8_6B4E_417B_A606_76C51747188E_" localSheetId="10" hidden="1">Supplemental!$C$7,Supplemental!$D$12:$I$165</x:definedName>
    <x:definedName name="snl__002B135F_54D8_4B17_800B_DB22FBED1ABB_" localSheetId="6" hidden="1">'Capitalization'!$C$4,'Capitalization'!$E$9:$J$24</x:definedName>
    <x:definedName name="snl__0058D033_5BAE_4859_83DD_CD125FA32DE8_" localSheetId="1" hidden="1">Key_Stats!$B$26,Key_Stats!$N$28:$P$52</x:definedName>
    <x:definedName name="snl__005C53BE_4F17_460C_BD30_114249B95F4E_" localSheetId="10" hidden="1">Supplemental!$C$7,Supplemental!$D$12:$I$165</x:definedName>
    <x:definedName name="snl__00755921_ADC9_4F8D_AD7A_70AADD6A47C9_" localSheetId="11" hidden="1">'Pension-OPEB'!$C$7,'Pension-OPEB'!$D$12:$I$576</x:definedName>
    <x:definedName name="snl__00B6755A_94B9_431D_8C72_942589C9219E_" localSheetId="1" hidden="1">Key_Stats!$B$107,Key_Stats!$E$111:$F$116</x:definedName>
    <x:definedName name="snl__00BD01BF_EC8B_407D_AB25_7AD771453B39_" localSheetId="9" hidden="1">'Ratios'!$C$7,'Ratios'!$D$12:$J$158</x:definedName>
    <x:definedName name="snl__00C66C23_9F37_42C3_AF3F_3D85E2F92AAD_" localSheetId="2" hidden="1">Income_Statement!$C$6,Income_Statement!$E$11:$P$190</x:definedName>
    <x:definedName name="snl__00D2769F_441B_44DE_9F2C_5C80EB878607_" localSheetId="4" hidden="1">'Cash_Flow'!$C$6,'Cash_Flow'!$E$11:$P$101</x:definedName>
    <x:definedName name="snl__0101E179_13AD_43C9_A1E5_6B9899359F7B_" localSheetId="9" hidden="1">'Ratios'!$C$7,'Ratios'!$D$12:$I$158</x:definedName>
    <x:definedName name="snl__01427DC3_CB7A_4896_8C62_188DD7E993CE_" localSheetId="1" hidden="1">Key_Stats!$B$26,Key_Stats!$N$28:$P$33</x:definedName>
    <x:definedName name="snl__0144A370_6313_4EB3_BAC4_19658D796155_" localSheetId="7" hidden="1">'Capital_Structure_Summary'!$C$6,'Capital_Structure_Summary'!$G$15:$O$169</x:definedName>
    <x:definedName name="snl__017A8C47_3A45_44F2_B422_58C5D57EFED9_" localSheetId="4" hidden="1">'Cash_Flow'!$C$6,'Cash_Flow'!$E$11:$Q$101</x:definedName>
    <x:definedName name="snl__019F45E1_6015_4E1A_B839_8D2A5974A73B_" localSheetId="4" hidden="1">'Cash_Flow'!$C$6,'Cash_Flow'!$E$11:$Q$101</x:definedName>
    <x:definedName name="snl__01AAC56D_06D6_487B_9706_0690292B2735_" localSheetId="1" hidden="1">Key_Stats!$B$25,Key_Stats!$E$28:$K$52</x:definedName>
    <x:definedName name="snl__020AF334_BB81_4781_B7C1_2F86EB07DD32_" localSheetId="1" hidden="1">Key_Stats!$B$62,Key_Stats!$E$65:$E$71</x:definedName>
    <x:definedName name="snl__022EF5D4_23C5_4BDD_8F40_F650B8FBB0C6_" localSheetId="11" hidden="1">'Pension-OPEB'!$C$7,'Pension-OPEB'!$D$12:$I$574</x:definedName>
    <x:definedName name="snl__023715FD_080A_49FD_BA83_54545CD7FAAD_" localSheetId="10" hidden="1">Supplemental!$C$7,Supplemental!$D$12:$I$165</x:definedName>
    <x:definedName name="snl__02478CD0_A9EB_4979_A6CE_127F0FEB7094_" localSheetId="7" hidden="1">'Capital_Structure_Summary'!$C$7,'Capital_Structure_Summary'!$F$29:$P$79</x:definedName>
    <x:definedName name="snl__0256B1D4_5A54_4746_8936_CFA170AE4E54_" localSheetId="1" hidden="1">Key_Stats!$B$25,Key_Stats!$E$28:$J$71</x:definedName>
    <x:definedName name="snl__025EB7CE_A9D6_42CC_8802_026C1617FD79_" localSheetId="9" hidden="1">'Ratios'!$C$7,'Ratios'!$D$12:$I$158</x:definedName>
    <x:definedName name="snl__0263A9DE_5959_44EF_98EA_278225B98ECA_" localSheetId="1" hidden="1">Key_Stats!$B$25,Key_Stats!$E$28:$J$52</x:definedName>
    <x:definedName name="snl__02728D7C_7E6C_4FC8_BD7E_705B8206A3A7_" localSheetId="3" hidden="1">Balance_Sheet!$C$6,Balance_Sheet!$E$11:$P$204</x:definedName>
    <x:definedName name="snl__027D5435_5963_4DC5_A69C_19C1EA4B4F50_" localSheetId="1" hidden="1">Key_Stats!$B$106,Key_Stats!$H$109:$J$115</x:definedName>
    <x:definedName name="snl__02BFAA4D_5071_48A8_AB1F_82C6735FE4E4_" localSheetId="1" hidden="1">Key_Stats!$B$25,Key_Stats!$E$28:$M$52</x:definedName>
    <x:definedName name="snl__0306E13E_0115_437D_88C2_35F961CB0162_" localSheetId="9" hidden="1">'Ratios'!$C$7,'Ratios'!$D$12:$I$22</x:definedName>
    <x:definedName name="snl__034D3E68_C8E5_4E5D_83B2_DED9C7DD900A_" localSheetId="3" hidden="1">Balance_Sheet!$C$6,Balance_Sheet!$E$11:$Q$204</x:definedName>
    <x:definedName name="snl__03D6155C_B94C_4D9D_8BC2_65A3726DD666_" localSheetId="1" hidden="1">Key_Stats!$B$106,Key_Stats!$F$109:$I$115</x:definedName>
    <x:definedName name="snl__04042C50_9A53_41A0_9805_3FCB612A3D20_" localSheetId="9" hidden="1">'Ratios'!$C$7,'Ratios'!$D$12:$I$158</x:definedName>
    <x:definedName name="snl__045EC166_465C_4B39_A7F4_2F741FEAD50C_" localSheetId="7" hidden="1">'Capital_Structure_Summary'!$C$7,'Capital_Structure_Summary'!$F$29:$R$79</x:definedName>
    <x:definedName name="snl__0460B0F9_54CB_4600_A0D3_FCB06143B001_" localSheetId="1" hidden="1">Key_Stats!$B$62,Key_Stats!$E$57:$E$58</x:definedName>
    <x:definedName name="snl__050C7496_358A_4D35_B89A_BA4AF55DC357_" localSheetId="1" hidden="1">Key_Stats!$B$26,Key_Stats!$O$28:$P$52</x:definedName>
    <x:definedName name="snl__06073951_E230_490A_8FBB_C740ADBF33E0_" localSheetId="7" hidden="1">'Capital_Structure_Summary'!$C$6,'Capital_Structure_Summary'!$E$15:$O$169</x:definedName>
    <x:definedName name="snl__066CA295_82DF_4034_A490_0A22E19C337C_" localSheetId="10" hidden="1">Supplemental!$C$7,Supplemental!$D$12:$I$165</x:definedName>
    <x:definedName name="snl__06998653_C669_4E02_B431_2E93DD3AEED4_" localSheetId="2" hidden="1">Income_Statement!$C$6,Income_Statement!$E$11:$Q$190</x:definedName>
    <x:definedName name="snl__06CE4B57_EE4B_45FB_A803_4055C2F8615B_" localSheetId="9" hidden="1">'Ratios'!$C$7,'Ratios'!$D$12:$I$158</x:definedName>
    <x:definedName name="snl__06D7412A_1269_4933_A219_3F075AC78C53_" localSheetId="9" hidden="1">'Ratios'!$C$7,'Ratios'!$D$12:$I$158</x:definedName>
    <x:definedName name="snl__0721C610_A8DB_4771_AFCD_5C5C691533BF_" localSheetId="10" hidden="1">Supplemental!$C$7,Supplemental!$D$12:$I$165</x:definedName>
    <x:definedName name="snl__073136C0_4C00_4B1E_9CC4_38E05B42846B_" localSheetId="9" hidden="1">'Ratios'!$C$7,'Ratios'!$D$12:$I$158</x:definedName>
    <x:definedName name="snl__075C456F_6EEF_4648_88E0_DAAB2C9E3ADE_" localSheetId="8" hidden="1">'Capital_Structure_ Details '!$I$44:$I$69</x:definedName>
    <x:definedName name="snl__07930626_6838_4253_AD17_FD8A7ACCC73B_" localSheetId="9" hidden="1">'Ratios'!$C$7,'Ratios'!$D$12:$J$158</x:definedName>
    <x:definedName name="snl__0825A078_C522_40FE_B65A_7841E44EBB5A_" localSheetId="10" hidden="1">Supplemental!$C$7,Supplemental!$D$12:$I$165</x:definedName>
    <x:definedName name="snl__08272B9A_ACC0_4F79_8D76_D3E0F764F199_" localSheetId="9" hidden="1">'Ratios'!$C$7,'Ratios'!$D$12:$J$158</x:definedName>
    <x:definedName name="snl__08455F58_43BF_45A1_920F_2C09C61F590F_" localSheetId="10" hidden="1">Supplemental!$C$7,Supplemental!$D$12:$I$165</x:definedName>
    <x:definedName name="snl__08C4A497_B926_4A02_BF0E_E64C0475E78C_" localSheetId="2" hidden="1">Income_Statement!$C$6,Income_Statement!$E$11:$P$183</x:definedName>
    <x:definedName name="snl__0975492D_53E8_41CF_B249_8622E01DBC30_" localSheetId="1" hidden="1">Key_Stats!$B$107,Key_Stats!$E$109:$F$116</x:definedName>
    <x:definedName name="snl__0976EAF5_9E6A_40EC_92C6_515F5BFE1A5E_" localSheetId="1" hidden="1">Key_Stats!$B$107,Key_Stats!$E$111:$F$116</x:definedName>
    <x:definedName name="snl__09915FEE_084F_4976_B9EA_260528DB0194_" localSheetId="7" hidden="1">'Capital_Structure_Summary'!$C$7,'Capital_Structure_Summary'!$F$29:$R$79</x:definedName>
    <x:definedName name="snl__0A0E6C39_B05C_46EA_85EF_9239A253F335_" localSheetId="9" hidden="1">'Ratios'!$C$7,'Ratios'!$D$12:$J$158</x:definedName>
    <x:definedName name="snl__0A32545A_1033_42BB_8880_BEE1B6D9290D_" localSheetId="2" hidden="1">Income_Statement!$C$6,Income_Statement!$E$11:$Q$190</x:definedName>
    <x:definedName name="snl__0A407B9E_564D_4EF3_85AC_FD3355C7E9D3_" localSheetId="9" hidden="1">'Ratios'!$C$7,'Ratios'!$D$12:$I$158</x:definedName>
    <x:definedName name="snl__0A46E64C_2362_4E52_87B9_46AC10F94236_" localSheetId="9" hidden="1">'Ratios'!$C$7,'Ratios'!$D$12:$I$158</x:definedName>
    <x:definedName name="snl__0A5CC2E2_BDBE_432E_B58D_5887152AED92_" localSheetId="9" hidden="1">'Ratios'!$C$7,'Ratios'!$D$12:$J$158</x:definedName>
    <x:definedName name="snl__0B196E1C_8291_495E_98B7_6DDFF38B56CE_" localSheetId="9" hidden="1">'Ratios'!$C$7,'Ratios'!$D$12:$I$158</x:definedName>
    <x:definedName name="snl__0B5FAE5F_2123_4775_8205_48B48315BE35_" localSheetId="10" hidden="1">Supplemental!$C$7,Supplemental!$D$12:$I$165</x:definedName>
    <x:definedName name="snl__0B70D307_2D44_4C0D_8CDF_9F65258136DF_" localSheetId="7" hidden="1">'Capital_Structure_Summary'!$C$7,'Capital_Structure_Summary'!$F$29:$R$79</x:definedName>
    <x:definedName name="snl__0B9CD502_D6F4_4679_8EF5_915D4839C8E5_" localSheetId="10" hidden="1">Supplemental!$C$7,Supplemental!$D$12:$I$165</x:definedName>
    <x:definedName name="snl__0BA1463C_B60E_4BBD_BB34_A21C79E7C66F_" localSheetId="1" hidden="1">Key_Stats!$B$107,Key_Stats!$E$111:$F$116</x:definedName>
    <x:definedName name="snl__0BA5D544_8C62_4B89_8058_073916652101_" localSheetId="4" hidden="1">'Cash_Flow'!$C$6,'Cash_Flow'!$E$11:$Q$101</x:definedName>
    <x:definedName name="snl__0BC7870B_5D8F_42B7_855C_38044D141117_" localSheetId="3" hidden="1">Balance_Sheet!$C$6,Balance_Sheet!$E$11:$Q$204</x:definedName>
    <x:definedName name="snl__0C226F8F_87BB_4E23_9284_312E00619ADE_" localSheetId="10" hidden="1">Supplemental!$C$7,Supplemental!$D$12:$I$165</x:definedName>
    <x:definedName name="snl__0C5AB5EF_995C_42D5_A436_861A03E25A7B_" localSheetId="9" hidden="1">'Ratios'!$C$7,'Ratios'!$D$12:$I$158</x:definedName>
    <x:definedName name="snl__0C85D6E3_D282_40C3_AEB1_AB01E09FAA28_" localSheetId="9" hidden="1">'Ratios'!$C$7,'Ratios'!$D$12:$I$158</x:definedName>
    <x:definedName name="snl__0D5DA3FF_EE7D_4BBA_BF8D_3947599FAB8F_" localSheetId="10" hidden="1">Supplemental!$C$7,Supplemental!$D$12:$I$165</x:definedName>
    <x:definedName name="snl__0D7ADF2A_E12C_40E6_B317_2198B3A6B4BD_" localSheetId="9" hidden="1">'Ratios'!$C$7,'Ratios'!$D$12:$I$158</x:definedName>
    <x:definedName name="snl__0DA7B6C4_C11D_45EB_BD48_8553DA50365E_" localSheetId="1" hidden="1">Key_Stats!$B$25,Key_Stats!$E$28:$J$52</x:definedName>
    <x:definedName name="snl__0E9B8DD7_8A63_4A15_A93C_9A5C50AD0FAA_" localSheetId="1" hidden="1">Key_Stats!$B$106,Key_Stats!$G$109:$J$115</x:definedName>
    <x:definedName name="snl__0EC2B0D3_E547_498B_86B5_6985A99A2BCA_" localSheetId="10" hidden="1">Supplemental!$C$7,Supplemental!$D$12:$I$165</x:definedName>
    <x:definedName name="snl__0F011113_63D4_4664_8FFC_A0F1D7A8FAF6_" localSheetId="9" hidden="1">'Ratios'!$C$7,'Ratios'!$D$12:$I$158</x:definedName>
    <x:definedName name="snl__0F054A92_6AA1_479A_BD93_CF9BE0493377_" localSheetId="2" hidden="1">Income_Statement!$C$6,Income_Statement!$E$11:$Q$190</x:definedName>
    <x:definedName name="snl__0FF0F5CD_483C_4A42_9119_CE2152D53BAA_" localSheetId="6" hidden="1">'Capitalization'!$C$4,'Capitalization'!$E$9:$J$54</x:definedName>
    <x:definedName name="snl__100371E1_E256_4584_9FB8_9A4F765A8C30_" localSheetId="3" hidden="1">Balance_Sheet!$C$6,Balance_Sheet!$E$11:$Q$204</x:definedName>
    <x:definedName name="snl__10256353_D461_4C24_8730_821FBB4A3B95_" localSheetId="7" hidden="1">'Capital_Structure_Summary'!$C$7,'Capital_Structure_Summary'!$F$29:$R$79</x:definedName>
    <x:definedName name="snl__11320C32_A882_495C_81F8_4F42190BE6E4_" localSheetId="10" hidden="1">Supplemental!$C$7,Supplemental!$D$12:$I$165</x:definedName>
    <x:definedName name="snl__115BD039_779B_4A33_B37B_F24210EF68E8_" localSheetId="9" hidden="1">'Ratios'!$C$7,'Ratios'!$D$12:$I$158</x:definedName>
    <x:definedName name="snl__116C8CB3_546D_42F8_B60E_915C281BA2D4_" localSheetId="4" hidden="1">'Cash_Flow'!$C$6,'Cash_Flow'!$E$11:$Q$101</x:definedName>
    <x:definedName name="snl__1244A0D1_914B_4BB4_8D35_213C8DF78A62_" localSheetId="10" hidden="1">Supplemental!$C$7,Supplemental!$D$12:$I$165</x:definedName>
    <x:definedName name="snl__1257893E_4ED9_4652_A19F_59EA5968C39B_" localSheetId="3" hidden="1">Balance_Sheet!$C$6,Balance_Sheet!$E$11:$Q$204</x:definedName>
    <x:definedName name="snl__12B84584_8C1E_45FD_9955_76B838DA472B_" localSheetId="8" hidden="1">'Capital_Structure_ Details '!$G$12:$G$37</x:definedName>
    <x:definedName name="snl__1300E0A2_0B14_40F0_BFE7_946D00E723CD_" localSheetId="1" hidden="1">Key_Stats!$B$106,Key_Stats!$G$109:$J$115</x:definedName>
    <x:definedName name="snl__13AB9371_6DC1_4E15_BFCF_F1F1790E1BBE_" localSheetId="10" hidden="1">Supplemental!$C$7,Supplemental!$D$12:$I$165</x:definedName>
    <x:definedName name="snl__13B14B93_9E37_4FAC_9157_AA5A2BFC0227_" localSheetId="1" hidden="1">Key_Stats!$B$26,Key_Stats!$N$28:$P$71</x:definedName>
    <x:definedName name="snl__1426C4BF_CB10_41E0_8311_B36F128F30DB_" localSheetId="10" hidden="1">Supplemental!$C$7,Supplemental!$D$12:$I$165</x:definedName>
    <x:definedName name="snl__1436B5E0_3357_402C_924F_219BAA601100_" localSheetId="7" hidden="1">'Capital_Structure_Summary'!$C$7,'Capital_Structure_Summary'!$F$29:$R$79</x:definedName>
    <x:definedName name="snl__1443745E_21F9_4DE3_A816_D4F6E74AF926_" localSheetId="9" hidden="1">'Ratios'!$C$7,'Ratios'!$D$12:$I$158</x:definedName>
    <x:definedName name="snl__144572F2_46CA_4FC1_A625_0DBF029D791A_" localSheetId="1" hidden="1">Key_Stats!$B$25,Key_Stats!$F$33:$J$48</x:definedName>
    <x:definedName name="snl__1465CCBC_E094_4D98_865C_A7C662331325_" localSheetId="7" hidden="1">'Capital_Structure_Summary'!$C$7,'Capital_Structure_Summary'!$H$29:$P$126</x:definedName>
    <x:definedName name="snl__14C0D6AB_26BB_4F4A_8D59_3731B0997181_" localSheetId="10" hidden="1">Supplemental!$C$7,Supplemental!$D$12:$I$165</x:definedName>
    <x:definedName name="snl__14E774FC_9A85_4B60_A05C_D195C770F68D_" localSheetId="2" hidden="1">Income_Statement!$C$6,Income_Statement!$E$11:$Q$190</x:definedName>
    <x:definedName name="snl__1516551D_873B_4BF9_B4F1_AC36410F3BDE_" localSheetId="7" hidden="1">'Capital_Structure_Summary'!$C$7,'Capital_Structure_Summary'!$F$29:$R$79</x:definedName>
    <x:definedName name="snl__15E09D24_A196_4B7E_A647_ABCF1C0FAD71_" localSheetId="3" hidden="1">Balance_Sheet!$C$6,Balance_Sheet!$E$11:$Q$204</x:definedName>
    <x:definedName name="snl__15F6C4E4_3105_4D77_95A7_206121DBCCE7_" localSheetId="1" hidden="1">Key_Stats!$B$107,Key_Stats!$E$109:$E$116</x:definedName>
    <x:definedName name="snl__16044383_6199_44BB_87D7_EC65B3B2E3EA_" localSheetId="9" hidden="1">'Ratios'!$C$7,'Ratios'!$D$12:$I$158</x:definedName>
    <x:definedName name="snl__162444B3_15F8_4541_82E2_28281C6565BB_" localSheetId="3" hidden="1">Balance_Sheet!$C$6,Balance_Sheet!$E$11:$Q$204</x:definedName>
    <x:definedName name="snl__1629A778_8CA0_4F87_AF89_F5CD71A80EE6_" localSheetId="8" hidden="1">'Capital_Structure_ Details '!$J$12:$J$37</x:definedName>
    <x:definedName name="snl__1660DD80_62F3_4A8D_BB50_DACCF4646B05_" localSheetId="10" hidden="1">Supplemental!$C$7,Supplemental!$D$12:$I$165</x:definedName>
    <x:definedName name="snl__16B394AB_CD16_4F75_A728_3375E6094E32_" localSheetId="10" hidden="1">Supplemental!$C$7,Supplemental!$D$12:$I$165</x:definedName>
    <x:definedName name="snl__16FDB3EE_6B5D_4FCE_962C_446746AF365A_" localSheetId="8" hidden="1">'Capital_Structure_ Details '!$D$76:$D$101</x:definedName>
    <x:definedName name="snl__17DE8AB3_09BA_4640_904D_1D1612431595_" localSheetId="10" hidden="1">Supplemental!$C$7,Supplemental!$D$12:$I$165</x:definedName>
    <x:definedName name="snl__18002EBA_BE77_462C_B425_273E98BEE380_" localSheetId="10" hidden="1">Supplemental!$C$7,Supplemental!$D$12:$I$165</x:definedName>
    <x:definedName name="snl__1887FE57_5D37_42D8_A18A_F1F41124FBB7_" localSheetId="9" hidden="1">'Ratios'!$C$7,'Ratios'!$D$12:$I$158</x:definedName>
    <x:definedName name="snl__18DC7C7F_9FE4_4932_A1EB_E4390C1C90F1_" localSheetId="7" hidden="1">'Capital_Structure_Summary'!$C$6,'Capital_Structure_Summary'!$E$15:$Q$171</x:definedName>
    <x:definedName name="snl__1995A930_5351_464D_A6C3_511E0B12028B_" localSheetId="6" hidden="1">'Capitalization'!$C$4,'Capitalization'!$E$9:$J$28</x:definedName>
    <x:definedName name="snl__19CB64ED_768C_41AD_A853_34C1476F97AB_" localSheetId="2" hidden="1">Income_Statement!$C$6,Income_Statement!$E$11:$Q$190</x:definedName>
    <x:definedName name="snl__1A71EDD9_6588_4D5B_A8A5_7D9E6988CD1A_" localSheetId="7" hidden="1">'Capital_Structure_Summary'!$C$7,'Capital_Structure_Summary'!$F$29:$R$79</x:definedName>
    <x:definedName name="snl__1AEC0330_3C85_4C7E_8FF1_B593DB9FA942_" localSheetId="7" hidden="1">'Capital_Structure_Summary'!$C$7,'Capital_Structure_Summary'!$F$29:$R$79</x:definedName>
    <x:definedName name="snl__1D911F3B_C01A_428A_B3F8_97AE3B9DF32F_" localSheetId="2" hidden="1">Income_Statement!$C$6,Income_Statement!$E$11:$Q$190</x:definedName>
    <x:definedName name="snl__1DAAC351_72E7_4822_BD62_0F8B9AD54E43_" localSheetId="5" hidden="1">Multiples!$D$11,Multiples!#REF!</x:definedName>
    <x:definedName name="snl__1DC562B4_0F0B_41BC_8C13_F32853E1B9B8_" localSheetId="10" hidden="1">Supplemental!$C$7,Supplemental!$D$12:$I$165</x:definedName>
    <x:definedName name="snl__1E236E25_4831_424C_ABA5_FDDF976B45D0_" localSheetId="7" hidden="1">'Capital_Structure_Summary'!$C$6,'Capital_Structure_Summary'!$E$15:$Q$171</x:definedName>
    <x:definedName name="snl__1E37B457_E157_450C_B5AA_1C1D3047A99A_" localSheetId="7" hidden="1">'Capital_Structure_Summary'!$C$6,'Capital_Structure_Summary'!$E$15:$Q$171</x:definedName>
    <x:definedName name="snl__1F660E81_7D16_41EA_9E7C_867DBB492A9C_" localSheetId="9" hidden="1">'Ratios'!$C$7,'Ratios'!$D$12:$I$158</x:definedName>
    <x:definedName name="snl__1F6AF7D7_3344_470A_9E41_14F55C492113_" localSheetId="10" hidden="1">Supplemental!$C$7,Supplemental!$D$12:$I$165</x:definedName>
    <x:definedName name="snl__1F8FB4E8_FCE2_4185_9DC7_91719A12F1D3_" localSheetId="1" hidden="1">Key_Stats!$B$107,Key_Stats!$F$109:$F$116</x:definedName>
    <x:definedName name="snl__1FDB0536_2F53_4742_89DE_586B053D0158_" localSheetId="7" hidden="1">'Capital_Structure_Summary'!$C$6,'Capital_Structure_Summary'!$E$15:$Q$171</x:definedName>
    <x:definedName name="snl__1FE3F322_4D3B_48A8_AB75_72D08EF6306B_" localSheetId="2" hidden="1">Income_Statement!$C$6,Income_Statement!$E$11:$Q$190</x:definedName>
    <x:definedName name="snl__20B3B069_C5D5_49F1_9824_1E15461F1461_" localSheetId="7" hidden="1">'Capital_Structure_Summary'!$C$6,'Capital_Structure_Summary'!$E$15:$Q$171</x:definedName>
    <x:definedName name="snl__20C0B21D_122B_4FD2_A2A4_E6A061A4A6D9_" localSheetId="7" hidden="1">'Capital_Structure_Summary'!$C$6,'Capital_Structure_Summary'!$E$15:$Q$171</x:definedName>
    <x:definedName name="snl__20CC7D6D_ECF0_4E84_879D_B59625A8BD17_" localSheetId="10" hidden="1">Supplemental!$C$7,Supplemental!$D$12:$I$165</x:definedName>
    <x:definedName name="snl__210C3F48_A43B_4237_BEEE_CAA696853336_" localSheetId="9" hidden="1">'Ratios'!$C$7,'Ratios'!$D$12:$J$158</x:definedName>
    <x:definedName name="snl__21BC6DD4_3C35_4174_A257_E67F3EE02584_" localSheetId="9" hidden="1">'Ratios'!$C$7,'Ratios'!$D$12:$I$158</x:definedName>
    <x:definedName name="snl__21D6AD00_FA14_4CB4_83BF_140B8A5934BF_" localSheetId="1" hidden="1">Key_Stats!$B$25,Key_Stats!$F$28:$J$48</x:definedName>
    <x:definedName name="snl__224C2FE3_5A81_4975_9153_A9B66F4229EF_" localSheetId="9" hidden="1">'Ratios'!$C$7,'Ratios'!$D$12:$J$158</x:definedName>
    <x:definedName name="snl__229274EF_9529_4057_A50A_0ACE8BC52085_" localSheetId="7" hidden="1">'Capital_Structure_Summary'!$C$6,'Capital_Structure_Summary'!$E$15:$Q$171</x:definedName>
    <x:definedName name="snl__230755DB_9AFA_495D_B4E5_3438DDFC60D7_" localSheetId="7" hidden="1">'Capital_Structure_Summary'!$C$6,'Capital_Structure_Summary'!$E$15:$Q$171</x:definedName>
    <x:definedName name="snl__231C12DB_85B8_4985_8BF8_F977EB6EE8A2_" localSheetId="2" hidden="1">Income_Statement!$C$6,Income_Statement!$E$11:$Q$190</x:definedName>
    <x:definedName name="snl__2372C010_6997_48A0_8714_2701EA3C7684_" localSheetId="1" hidden="1">Key_Stats!$B$26,Key_Stats!$N$28:$P$52</x:definedName>
    <x:definedName name="snl__23D0DEE6_822B_4813_ACCF_1597F416CA06_" localSheetId="7" hidden="1">'Capital_Structure_Summary'!$C$6,'Capital_Structure_Summary'!$E$15:$Q$171</x:definedName>
    <x:definedName name="snl__24DE4C16_7D92_41B4_ABAE_72BD8850A5B3_" localSheetId="1" hidden="1">Key_Stats!$B$62,Key_Stats!$E$65:$E$71</x:definedName>
    <x:definedName name="snl__25DD6A77_2CF0_4EF4_98C1_C2F0373A4FAA_" localSheetId="9" hidden="1">'Ratios'!$C$7,'Ratios'!$D$12:$I$158</x:definedName>
    <x:definedName name="snl__2632E713_63D7_41DF_908D_E4B46DCDA8E8_" localSheetId="10" hidden="1">Supplemental!$C$7,Supplemental!$D$12:$I$165</x:definedName>
    <x:definedName name="snl__26549F16_6181_4D12_9156_14F83E2F8AC9_" localSheetId="2" hidden="1">Income_Statement!$C$6,Income_Statement!$E$11:$Q$190</x:definedName>
    <x:definedName name="snl__26961C26_03B7_4C41_BBAD_931CBAED71CC_" localSheetId="8" hidden="1">'Capital_Structure_ Details '!$H$76:$H$101</x:definedName>
    <x:definedName name="snl__26EF0FD6_596F_48F0_A0A9_73A402497C5A_" localSheetId="7" hidden="1">'Capital_Structure_Summary'!$C$6,'Capital_Structure_Summary'!$E$15:$Q$171</x:definedName>
    <x:definedName name="snl__2704E8CC_1725_49D3_87A6_9B4EDAFFAC3C_" localSheetId="10" hidden="1">Supplemental!$C$7,Supplemental!$D$12:$I$165</x:definedName>
    <x:definedName name="snl__2789FAB0_F294_4C65_83E6_0016D3636D90_" localSheetId="7" hidden="1">'Capital_Structure_Summary'!$C$6,'Capital_Structure_Summary'!$E$15:$Q$171</x:definedName>
    <x:definedName name="snl__28076576_40D8_462A_8F76_9B97F88D8F8C_" localSheetId="7" hidden="1">'Capital_Structure_Summary'!$C$7,'Capital_Structure_Summary'!$F$29:$R$79</x:definedName>
    <x:definedName name="snl__281B3C18_1718_4623_9DC5_9C6F9246543C_" localSheetId="7" hidden="1">'Capital_Structure_Summary'!$C$7,'Capital_Structure_Summary'!$F$29:$R$79</x:definedName>
    <x:definedName name="snl__28A4F990_6CBC_4D54_95EC_764C6FC77D5F_" localSheetId="1" hidden="1">Key_Stats!$B$26,Key_Stats!$N$28:$P$52</x:definedName>
    <x:definedName name="snl__2940A205_2FCA_4A26_9957_C926BE5308E7_" localSheetId="1" hidden="1">Key_Stats!$B$62,Key_Stats!$E$57</x:definedName>
    <x:definedName name="snl__29644113_8763_4D46_B48E_0467CFA79B02_" localSheetId="9" hidden="1">'Ratios'!$C$7,'Ratios'!$D$12:$I$158</x:definedName>
    <x:definedName name="snl__29F034AB_F708_490D_8EBD_785B9A3B87C4_" localSheetId="9" hidden="1">'Ratios'!$C$7,'Ratios'!$D$12:$I$158</x:definedName>
    <x:definedName name="snl__29F7FA46_A1ED_4C67_8BFD_0B1D0F0DC01A_" localSheetId="8" hidden="1">'Capital_Structure_ Details '!$C$12:$C$37</x:definedName>
    <x:definedName name="snl__2AC91C9E_DBBE_4F0E_9063_BE1C577EAB0B_" localSheetId="9" hidden="1">'Ratios'!$C$7,'Ratios'!$D$12:$J$158</x:definedName>
    <x:definedName name="snl__2B1B9AEB_D997_446E_8EF8_B599AFFC323D_" localSheetId="10" hidden="1">Supplemental!$C$7,Supplemental!$D$12:$I$165</x:definedName>
    <x:definedName name="snl__2B2BAE4F_7F42_4C45_8156_E85F8812E060_" localSheetId="2" hidden="1">Income_Statement!$C$6,Income_Statement!$E$11:$Q$190</x:definedName>
    <x:definedName name="snl__2C11EF7B_34E4_426E_960A_65003A3C04F2_" localSheetId="7" hidden="1">'Capital_Structure_Summary'!$C$7,'Capital_Structure_Summary'!$F$29:$R$79</x:definedName>
    <x:definedName name="snl__2C35FA57_2677_4384_A229_62AC5C395EAB_" localSheetId="10" hidden="1">Supplemental!$C$7,Supplemental!$D$12:$I$165</x:definedName>
    <x:definedName name="snl__2C778F13_D6EA_4B74_8091_D1B82328FA30_" localSheetId="7" hidden="1">'Capital_Structure_Summary'!$C$7,'Capital_Structure_Summary'!$F$29:$R$79</x:definedName>
    <x:definedName name="snl__2D6A1DBE_3C9E_458B_90A1_090591B06383_" localSheetId="9" hidden="1">'Ratios'!$C$7,'Ratios'!$D$12:$I$158</x:definedName>
    <x:definedName name="snl__2EB9CB25_7DD7_4B74_9414_3761CE278D6B_" localSheetId="10" hidden="1">Supplemental!$C$7,Supplemental!$D$12:$I$165</x:definedName>
    <x:definedName name="snl__2FD2948A_FCD3_4435_8324_DD6EDAE4F3A4_" localSheetId="2" hidden="1">Income_Statement!$C$6,Income_Statement!$E$11:$Q$190</x:definedName>
    <x:definedName name="snl__300A6317_3B75_4DFE_BA18_95714E0629FE_" localSheetId="7" hidden="1">'Capital_Structure_Summary'!$C$7,'Capital_Structure_Summary'!$F$29:$R$79</x:definedName>
    <x:definedName name="snl__3084E818_EFFB_4A88_8C5E_D36E656C2989_" localSheetId="4" hidden="1">'Cash_Flow'!$C$6,'Cash_Flow'!$E$11:$Q$101</x:definedName>
    <x:definedName name="snl__30AB6419_5BC7_4CC2_BB07_45E2771171A5_" localSheetId="9" hidden="1">'Ratios'!$C$7,'Ratios'!$D$12:$I$158</x:definedName>
    <x:definedName name="snl__30B5E342_8E76_4D17_961E_4A958D96857C_" localSheetId="9" hidden="1">'Ratios'!$C$7,'Ratios'!$D$12:$I$158</x:definedName>
    <x:definedName name="snl__323BDC7D_A6F6_4198_9DC9_F37DFE460EDD_" localSheetId="3" hidden="1">Balance_Sheet!$C$6,Balance_Sheet!$E$11:$Q$204</x:definedName>
    <x:definedName name="snl__3298404D_F20C_4D2C_B094_91C5A7BBF46A_" localSheetId="10" hidden="1">Supplemental!$C$7,Supplemental!$D$12:$I$165</x:definedName>
    <x:definedName name="snl__3302634E_284F_44B6_88F9_2AC025DFBCAF_" localSheetId="3" hidden="1">Balance_Sheet!$C$6,Balance_Sheet!$E$11:$Q$204</x:definedName>
    <x:definedName name="snl__33136B26_2F39_4EE3_BBA5_CFB15D502522_" localSheetId="1" hidden="1">Key_Stats!$B$25,Key_Stats!$F$33:$J$33</x:definedName>
    <x:definedName name="snl__3320CC66_C644_42CC_8CA9_EB9740AAC778_" localSheetId="7" hidden="1">'Capital_Structure_Summary'!$C$6,'Capital_Structure_Summary'!$E$15:$Q$171</x:definedName>
    <x:definedName name="snl__33638355_CB00_41ED_B2E5_95A75544ED7C_" localSheetId="9" hidden="1">'Ratios'!$C$7,'Ratios'!$D$12:$I$158</x:definedName>
    <x:definedName name="snl__34057A3A_8235_44E2_91AB_195F0E870CFB_" localSheetId="3" hidden="1">Balance_Sheet!$C$6,Balance_Sheet!$E$11:$Q$204</x:definedName>
    <x:definedName name="snl__34321082_0AEF_4ECA_A739_174867FC6CF4_" localSheetId="7" hidden="1">'Capital_Structure_Summary'!$C$6,'Capital_Structure_Summary'!$E$15:$Q$171</x:definedName>
    <x:definedName name="snl__344E290C_8E21_456A_AF41_5B7923C786F4_" localSheetId="7" hidden="1">'Capital_Structure_Summary'!$C$7,'Capital_Structure_Summary'!$F$29:$R$79</x:definedName>
    <x:definedName name="snl__34C58A5E_FCC7_4673_902B_49857A6E115A_" localSheetId="7" hidden="1">'Capital_Structure_Summary'!$C$6,'Capital_Structure_Summary'!$E$15:$Q$171</x:definedName>
    <x:definedName name="snl__34E20713_F759_4461_93F1_C1EC35300E82_" localSheetId="11" hidden="1">'Pension-OPEB'!$C$7,'Pension-OPEB'!$D$12:$I$576</x:definedName>
    <x:definedName name="snl__34FDD12D_17EB_4098_ADA3_A57FBE791696_" localSheetId="1" hidden="1">Key_Stats!$B$25,Key_Stats!$F$33:$H$33</x:definedName>
    <x:definedName name="snl__354F0039_3237_4286_86C7_3FE06B84E2C8_" localSheetId="7" hidden="1">'Capital_Structure_Summary'!$C$6,'Capital_Structure_Summary'!$E$15:$Q$171</x:definedName>
    <x:definedName name="snl__3562DE39_5A82_4A6D_BF7D_4DFB8C0D9A39_" localSheetId="7" hidden="1">'Capital_Structure_Summary'!$C$7,'Capital_Structure_Summary'!$F$29:$R$79</x:definedName>
    <x:definedName name="snl__361D5590_49F2_4B93_B5E9_52FF2B299AE9_" localSheetId="10" hidden="1">Supplemental!$C$7,Supplemental!$D$12:$I$165</x:definedName>
    <x:definedName name="snl__366E9566_E382_4EE8_B650_92081FD50B7A_" localSheetId="10" hidden="1">Supplemental!$C$7,Supplemental!$D$12:$I$165</x:definedName>
    <x:definedName name="snl__36705084_B177_43DE_A1C6_618520C233E1_" localSheetId="7" hidden="1">'Capital_Structure_Summary'!$C$7,'Capital_Structure_Summary'!$F$29:$R$79</x:definedName>
    <x:definedName name="snl__36A53290_7DB1_41F5_87E1_64E0C26EF13A_" localSheetId="1" hidden="1">Key_Stats!$B$62,Key_Stats!$E$65:$E$71</x:definedName>
    <x:definedName name="snl__36B7D4EC_04C6_4393_8038_932DAB9E60E4_" localSheetId="9" hidden="1">'Ratios'!$C$7,'Ratios'!$D$12:$I$158</x:definedName>
    <x:definedName name="snl__372CA270_C403_40E2_98A0_67A4E0D72C43_" localSheetId="10" hidden="1">Supplemental!$C$7,Supplemental!$D$12:$I$165</x:definedName>
    <x:definedName name="snl__38BB972E_DF00_4A15_961A_697EF3343BD7_" localSheetId="7" hidden="1">'Capital_Structure_Summary'!$C$6,'Capital_Structure_Summary'!$E$15:$Q$171</x:definedName>
    <x:definedName name="snl__394B6603_E2A9_43D9_B1B0_C93E1C777C53_" localSheetId="1" hidden="1">Key_Stats!$B$25,Key_Stats!$E$28:$J$52</x:definedName>
    <x:definedName name="snl__39A71A72_24BC_40B0_915E_2DBD34266648_" localSheetId="7" hidden="1">'Capital_Structure_Summary'!$C$6,'Capital_Structure_Summary'!$E$15:$Q$171</x:definedName>
    <x:definedName name="snl__3A3A2601_90C1_4D0C_8802_251CFB31A7A3_" localSheetId="7" hidden="1">'Capital_Structure_Summary'!$C$6,'Capital_Structure_Summary'!$E$15:$Q$171</x:definedName>
    <x:definedName name="snl__3AC44B22_610C_4B6A_B722_20C7E08CD6FA_" localSheetId="2" hidden="1">Income_Statement!$C$6,Income_Statement!$E$11:$Q$190</x:definedName>
    <x:definedName name="snl__3AD39812_2152_49E7_A164_9DBC10FD845E_" localSheetId="10" hidden="1">Supplemental!$C$7,Supplemental!$D$12:$I$165</x:definedName>
    <x:definedName name="snl__3AE200A7_DA29_4B77_AF6E_DEB1266F7ED5_" localSheetId="10" hidden="1">Supplemental!$C$7,Supplemental!$D$12:$I$165</x:definedName>
    <x:definedName name="snl__3BD707D4_B12D_4195_AC58_9202933D9DA7_" localSheetId="10" hidden="1">Supplemental!$C$7,Supplemental!$D$12:$I$165</x:definedName>
    <x:definedName name="snl__3C311ACC_B14D_4088_B2EB_F1C15559B3CE_" localSheetId="2" hidden="1">Income_Statement!$C$6,Income_Statement!$E$11:$Q$190</x:definedName>
    <x:definedName name="snl__3D083DEC_6152_4132_9F33_E86094BBE5B7_" localSheetId="10" hidden="1">Supplemental!$C$7,Supplemental!$D$12:$I$165</x:definedName>
    <x:definedName name="snl__3D1AC193_E78C_443F_B9A7_CB83545D94FC_" localSheetId="10" hidden="1">Supplemental!$C$7,Supplemental!$D$12:$I$165</x:definedName>
    <x:definedName name="snl__3E0B37A4_24FE_4E98_B28A_79B4EA24113C_" localSheetId="10" hidden="1">Supplemental!$C$7,Supplemental!$D$12:$I$165</x:definedName>
    <x:definedName name="snl__3EA22573_404D_4BAB_B14C_0454CF1A1D91_" localSheetId="7" hidden="1">'Capital_Structure_Summary'!$C$6,'Capital_Structure_Summary'!$E$15:$Q$171</x:definedName>
    <x:definedName name="snl__3EA31F22_20AE_4DAD_B918_999B4A33DDB2_" localSheetId="9" hidden="1">'Ratios'!$C$7,'Ratios'!$D$12:$I$158</x:definedName>
    <x:definedName name="snl__3ED6983C_C7B8_44FF_9E71_DD3086A861CA_" localSheetId="7" hidden="1">'Capital_Structure_Summary'!$C$6,'Capital_Structure_Summary'!$E$15:$Q$171</x:definedName>
    <x:definedName name="snl__3EE81707_2068_4E22_A50A_9ED6559C8739_" localSheetId="8" hidden="1">'Capital_Structure_ Details '!$I$12:$I$37</x:definedName>
    <x:definedName name="snl__3EF0563A_F1E0_42E5_811A_40909FD60F66_" localSheetId="9" hidden="1">'Ratios'!$C$7,'Ratios'!$D$12:$I$158</x:definedName>
    <x:definedName name="snl__3F388ACB_D428_466E_A5DA_F080E1C8FE43_" localSheetId="9" hidden="1">'Ratios'!$C$7,'Ratios'!$D$12:$J$158</x:definedName>
    <x:definedName name="snl__3F580E52_2729_4EE3_887B_65DBF616EBAD_" localSheetId="4" hidden="1">'Cash_Flow'!$C$6,'Cash_Flow'!$E$11:$Q$101</x:definedName>
    <x:definedName name="snl__3F62786A_6EE0_40FB_AA63_D1AE06239570_" localSheetId="9" hidden="1">'Ratios'!$C$7,'Ratios'!$D$12:$J$158</x:definedName>
    <x:definedName name="snl__4033AF52_7110_4059_8F83_F7750A6FA2D3_" localSheetId="10" hidden="1">Supplemental!$C$7,Supplemental!$D$12:$I$165</x:definedName>
    <x:definedName name="snl__4036755F_AE94_431D_BFAE_39CDE44A5697_" localSheetId="7" hidden="1">'Capital_Structure_Summary'!$C$7,'Capital_Structure_Summary'!$F$29:$R$79</x:definedName>
    <x:definedName name="snl__410BD0C9_7954_41CC_89B0_C2A23442CC3A_" localSheetId="7" hidden="1">'Capital_Structure_Summary'!$C$6,'Capital_Structure_Summary'!$E$15:$Q$171</x:definedName>
    <x:definedName name="snl__410EC84D_4D51_4C60_8998_DA5AF49E606C_" localSheetId="8" hidden="1">'Capital_Structure_ Details '!$K$76:$K$101</x:definedName>
    <x:definedName name="snl__42E83B55_2614_4EA8_8062_4FBC893AEFDA_" localSheetId="9" hidden="1">'Ratios'!$C$7,'Ratios'!$D$12:$J$158</x:definedName>
    <x:definedName name="snl__42EC90C0_BE59_433A_A97F_5F86BEBE7C82_" localSheetId="2" hidden="1">Income_Statement!$C$6,Income_Statement!$E$11:$Q$190</x:definedName>
    <x:definedName name="snl__4382F349_8939_4906_94A0_B73CB43919B3_" localSheetId="2" hidden="1">Income_Statement!$C$6,Income_Statement!$E$11:$Q$190</x:definedName>
    <x:definedName name="snl__43CF5B08_5CC2_4133_8CC5_0FEC1924A285_" localSheetId="7" hidden="1">'Capital_Structure_Summary'!$C$6,'Capital_Structure_Summary'!$E$15:$Q$171</x:definedName>
    <x:definedName name="snl__4428C3FE_AF81_460C_8413_CAE01311D777_" localSheetId="7" hidden="1">'Capital_Structure_Summary'!$C$6,'Capital_Structure_Summary'!$E$15:$Q$171</x:definedName>
    <x:definedName name="snl__448117C4_E97D_42AC_BEE0_EBD5D4345987_" localSheetId="1" hidden="1">Key_Stats!$B$62,Key_Stats!$E$57:$E$71</x:definedName>
    <x:definedName name="snl__4494477C_7C75_43DD_9A8A_234BAA191421_" localSheetId="4" hidden="1">'Cash_Flow'!$C$6,'Cash_Flow'!$E$11:$Q$101</x:definedName>
    <x:definedName name="snl__4528A902_46B2_4CDA_B13A_D8919018F8FC_" localSheetId="1" hidden="1">Key_Stats!$B$25,Key_Stats!$E$28:$J$52</x:definedName>
    <x:definedName name="snl__458378DB_530A_4024_ABDD_6E063F5DE99B_" localSheetId="10" hidden="1">Supplemental!$C$7,Supplemental!$D$12:$I$165</x:definedName>
    <x:definedName name="snl__45B897B4_5440_43ED_8B6A_47995AE4EF97_" localSheetId="7" hidden="1">'Capital_Structure_Summary'!$C$6,'Capital_Structure_Summary'!$E$15:$Q$171</x:definedName>
    <x:definedName name="snl__45BB946E_15F5_4D7C_869F_B8ABBD8A2AC1_" localSheetId="8" hidden="1">'Capital_Structure_ Details '!$J$76:$J$101</x:definedName>
    <x:definedName name="snl__46685F8B_073B_477E_984D_389DB2734217_" localSheetId="10" hidden="1">Supplemental!$C$7,Supplemental!$D$12:$I$165</x:definedName>
    <x:definedName name="snl__468E7485_2FD5_46DD_AA76_866B0C396BEC_" localSheetId="9" hidden="1">'Ratios'!$C$7,'Ratios'!$D$12:$I$158</x:definedName>
    <x:definedName name="snl__471D977E_F6AB_4ECC_8871_1DDE5338E7C3_" localSheetId="7" hidden="1">'Capital_Structure_Summary'!$C$7,'Capital_Structure_Summary'!$F$29:$R$79</x:definedName>
    <x:definedName name="snl__47709BDC_4E04_4930_8B0F_7DA0D87C95D3_" localSheetId="7" hidden="1">'Capital_Structure_Summary'!$C$7,'Capital_Structure_Summary'!$F$29:$R$79</x:definedName>
    <x:definedName name="snl__47F2250A_60EB_4BE0_9FFD_134C61CC6897_" localSheetId="7" hidden="1">'Capital_Structure_Summary'!$C$6,'Capital_Structure_Summary'!$E$15:$Q$171</x:definedName>
    <x:definedName name="snl__48F44B46_B312_44E5_B843_A17343D50858_" localSheetId="6" hidden="1">'Capitalization'!$C$4,'Capitalization'!$E$9:$J$29</x:definedName>
    <x:definedName name="snl__4914805E_09C6_4627_ADC9_EB662B8CD05A_" localSheetId="9" hidden="1">'Ratios'!$C$7,'Ratios'!$D$12:$I$158</x:definedName>
    <x:definedName name="snl__498633F6_D90B_4C57_8622_23D2B92FA511_" localSheetId="4" hidden="1">'Cash_Flow'!$C$6,'Cash_Flow'!$E$11:$Q$101</x:definedName>
    <x:definedName name="snl__4A506D32_8BA2_459B_AD18_5475A039117D_" localSheetId="2" hidden="1">Income_Statement!$C$6,Income_Statement!$E$11:$Q$190</x:definedName>
    <x:definedName name="snl__4AF21701_3D9F_4081_B6EF_6DA86CFBA12B_" localSheetId="2" hidden="1">Income_Statement!$C$6,Income_Statement!$E$11:$Q$190</x:definedName>
    <x:definedName name="snl__4B5DD885_23BE_44C9_841F_6D6398A730AB_" localSheetId="7" hidden="1">'Capital_Structure_Summary'!$C$7,'Capital_Structure_Summary'!$F$29:$R$79</x:definedName>
    <x:definedName name="snl__4B5FB87D_C4B1_48AA_B388_D17C40717C6A_" localSheetId="4" hidden="1">'Cash_Flow'!$C$6,'Cash_Flow'!$E$11:$Q$101</x:definedName>
    <x:definedName name="snl__4BBEF7A3_3621_4ECD_AE62_5CB2D1D1C1D1_" localSheetId="7" hidden="1">'Capital_Structure_Summary'!$C$6,'Capital_Structure_Summary'!$E$15:$Q$171</x:definedName>
    <x:definedName name="snl__4BEC43DE_EAF6_49CD_A075_3C71E261FCE5_" localSheetId="9" hidden="1">'Ratios'!$C$7,'Ratios'!$D$12:$I$158</x:definedName>
    <x:definedName name="snl__4C0FD194_984A_4BDF_B56B_DA3639480A3D_" localSheetId="7" hidden="1">'Capital_Structure_Summary'!$C$6,'Capital_Structure_Summary'!$E$15:$Q$171</x:definedName>
    <x:definedName name="snl__4C199B72_DDC3_4CD3_89AE_2E4D5D230D69_" localSheetId="9" hidden="1">'Ratios'!$C$7,'Ratios'!$D$12:$J$158</x:definedName>
    <x:definedName name="snl__4CD8540D_CD02_445E_A165_93430E192574_" localSheetId="10" hidden="1">Supplemental!$C$7,Supplemental!$D$12:$I$165</x:definedName>
    <x:definedName name="snl__4D03943F_1789_442B_AFA8_892E6E6B1DBE_" localSheetId="1" hidden="1">Key_Stats!$B$106,Key_Stats!$G$109:$J$115</x:definedName>
    <x:definedName name="snl__4D4847B0_1BA7_4FC1_ACDD_1B8EC16C14EB_" localSheetId="7" hidden="1">'Capital_Structure_Summary'!$C$6,'Capital_Structure_Summary'!$E$15:$Q$171</x:definedName>
    <x:definedName name="snl__4D9D2D75_0DE3_4D4B_B9A6_1F71F8AC1A1E_" localSheetId="2" hidden="1">Income_Statement!$C$6,Income_Statement!$E$11:$Q$190</x:definedName>
    <x:definedName name="snl__4DA32F02_BEFC_48C5_BFF9_B29720ED575A_" localSheetId="7" hidden="1">'Capital_Structure_Summary'!$C$6,'Capital_Structure_Summary'!$E$15:$Q$171</x:definedName>
    <x:definedName name="snl__4DD22ADF_6A32_40C0_A2D9_9C2382F28DC0_" localSheetId="10" hidden="1">Supplemental!$C$7,Supplemental!$D$12:$I$165</x:definedName>
    <x:definedName name="snl__4DDEC301_4DFC_475F_A267_9892A253CC51_" localSheetId="9" hidden="1">'Ratios'!$C$7,'Ratios'!$D$12:$I$158</x:definedName>
    <x:definedName name="snl__4E2AE1D2_9C0A_4D86_98AA_90DA067A9941_" localSheetId="7" hidden="1">'Capital_Structure_Summary'!$C$7,'Capital_Structure_Summary'!$F$29:$R$79</x:definedName>
    <x:definedName name="snl__4EC8A8E2_981B_4153_82C2_191EED8B7759_" localSheetId="9" hidden="1">'Ratios'!$C$7,'Ratios'!$D$12:$I$158</x:definedName>
    <x:definedName name="snl__4EEB4AE4_831A_453E_8186_F15F3D32F602_" localSheetId="4" hidden="1">'Cash_Flow'!$C$6,'Cash_Flow'!$E$11:$Q$101</x:definedName>
    <x:definedName name="snl__4F84F79A_F96B_43F5_BE56_FA57AC8C38C0_" localSheetId="10" hidden="1">Supplemental!$C$7,Supplemental!$D$12:$I$165</x:definedName>
    <x:definedName name="snl__50CAC8E0_E184_4D7E_A41F_28326A9F9BCB_" localSheetId="9" hidden="1">'Ratios'!$C$7,'Ratios'!$D$12:$I$158</x:definedName>
    <x:definedName name="snl__51F2BE1D_2A6D_4ED4_9C7C_915387024996_" localSheetId="1" hidden="1">Key_Stats!$B$106,Key_Stats!$F$110:$I$115</x:definedName>
    <x:definedName name="snl__51F598CB_A134_41D0_A761_111981E59C4F_" localSheetId="2" hidden="1">Income_Statement!$C$6,Income_Statement!$E$11:$Q$190</x:definedName>
    <x:definedName name="snl__520E15F1_3CDA_4DF3_AC48_A4B4CC9CB54C_" localSheetId="9" hidden="1">'Ratios'!$C$7,'Ratios'!$D$12:$J$158</x:definedName>
    <x:definedName name="snl__52987AC5_4499_42F7_8140_326C272C0CAA_" localSheetId="9" hidden="1">'Ratios'!$C$7,'Ratios'!$D$12:$I$158</x:definedName>
    <x:definedName name="snl__530F5DD3_93C7_490F_AC23_08852D2D6A9F_" localSheetId="7" hidden="1">'Capital_Structure_Summary'!$C$7,'Capital_Structure_Summary'!$F$29:$R$79</x:definedName>
    <x:definedName name="snl__5345AAFA_5347_4E78_888E_5D0FD0C7318C_" localSheetId="10" hidden="1">Supplemental!$C$7,Supplemental!$D$12:$I$165</x:definedName>
    <x:definedName name="snl__53E7CE4D_EA66_48D5_AAC3_449DE8E19A08_" localSheetId="9" hidden="1">'Ratios'!$C$7,'Ratios'!$D$12:$I$158</x:definedName>
    <x:definedName name="snl__54533F78_31A5_4E61_A07A_15E40AECE4C1_" localSheetId="1" hidden="1">Key_Stats!$B$25,Key_Stats!$F$28:$J$52</x:definedName>
    <x:definedName name="snl__54586A6D_DCCA_4106_B15C_F1E0D8922F06_" localSheetId="8" hidden="1">'Capital_Structure_ Details '!$D$12:$D$37</x:definedName>
    <x:definedName name="snl__54AA76CF_6766_45DD_9303_00F1CABBD3BA_" localSheetId="10" hidden="1">Supplemental!$C$7,Supplemental!$D$12:$I$165</x:definedName>
    <x:definedName name="snl__54B78212_726E_473E_9EE4_41DD8D141822_" localSheetId="1" hidden="1">Key_Stats!$B$25,Key_Stats!$F$28:$N$52</x:definedName>
    <x:definedName name="snl__5546A658_A00B_4531_9CCB_59EA1E8A5F28_" localSheetId="7" hidden="1">'Capital_Structure_Summary'!$C$6,'Capital_Structure_Summary'!$E$15:$Q$171</x:definedName>
    <x:definedName name="snl__558C9F43_1A04_419B_81D0_C69ABF558B9B_" localSheetId="9" hidden="1">'Ratios'!$C$7,'Ratios'!$D$12:$I$158</x:definedName>
    <x:definedName name="snl__565EEFF1_5A35_43BB_8F90_78FD84F4977D_" localSheetId="10" hidden="1">Supplemental!$C$7,Supplemental!$D$12:$I$165</x:definedName>
    <x:definedName name="snl__56C8364C_E777_43C0_A5B1_AA30231DAA18_" localSheetId="7" hidden="1">'Capital_Structure_Summary'!$C$6,'Capital_Structure_Summary'!$G$15:$K$25</x:definedName>
    <x:definedName name="snl__5711B9BC_C6EC_4073_A79B_B5B6C09EE2C3_" localSheetId="2" hidden="1">Income_Statement!$C$6,Income_Statement!$E$11:$Q$190</x:definedName>
    <x:definedName name="snl__577E8B34_1A78_4EAE_9EA2_E9F44C699B24_" localSheetId="10" hidden="1">Supplemental!$C$7,Supplemental!$D$12:$I$165</x:definedName>
    <x:definedName name="snl__5783938B_18EB_488F_9427_C447B098BB04_" localSheetId="2" hidden="1">Income_Statement!$C$6,Income_Statement!$E$11:$Q$190</x:definedName>
    <x:definedName name="snl__57EAC11A_C0CF_48C2_A8F6_2BCEB93B358D_" localSheetId="7" hidden="1">'Capital_Structure_Summary'!$C$7,'Capital_Structure_Summary'!$F$29:$R$79</x:definedName>
    <x:definedName name="snl__5828713C_AFCF_47AF_A05A_10B61A796F6D_" localSheetId="7" hidden="1">'Capital_Structure_Summary'!$C$7,'Capital_Structure_Summary'!$F$29:$R$79</x:definedName>
    <x:definedName name="snl__58EB1904_7444_426E_8CE7_C59E15EA4DE6_" localSheetId="7" hidden="1">'Capital_Structure_Summary'!$C$7,'Capital_Structure_Summary'!$F$29:$R$79</x:definedName>
    <x:definedName name="snl__592A1E33_82EB_48EE_A8B4_AE3A2EC7D39F_" localSheetId="7" hidden="1">'Capital_Structure_Summary'!$C$7,'Capital_Structure_Summary'!$F$29:$R$79</x:definedName>
    <x:definedName name="snl__5A55F9F2_B60B_4C33_A289_36595D7181E0_" localSheetId="7" hidden="1">'Capital_Structure_Summary'!$C$7,'Capital_Structure_Summary'!$F$29:$R$79</x:definedName>
    <x:definedName name="snl__5AB01C9F_A3BC_4F0E_B03A_E9A05BDE0CD8_" localSheetId="9" hidden="1">'Ratios'!$C$7,'Ratios'!$D$12:$J$158</x:definedName>
    <x:definedName name="snl__5AC45167_36E4_46F5_8B04_07535D505232_" localSheetId="10" hidden="1">Supplemental!$C$7,Supplemental!$D$12:$I$165</x:definedName>
    <x:definedName name="snl__5AF5F230_5E0D_429E_AA45_F01740B22FD6_" localSheetId="11" hidden="1">'Pension-OPEB'!$C$7,'Pension-OPEB'!$D$12:$I$576</x:definedName>
    <x:definedName name="snl__5B18A831_BE20_4A59_B962_0BE1B33519B0_" localSheetId="2" hidden="1">Income_Statement!$C$6,Income_Statement!$E$11:$Q$190</x:definedName>
    <x:definedName name="snl__5B54853E_F787_4722_8EE5_DCD62B4938AC_" localSheetId="10" hidden="1">Supplemental!$C$7,Supplemental!$D$12:$I$165</x:definedName>
    <x:definedName name="snl__5B756D17_8FB4_4EFF_8439_E4455D391CA8_" localSheetId="2" hidden="1">Income_Statement!$C$6,Income_Statement!$E$11:$Q$190</x:definedName>
    <x:definedName name="snl__5BE4589A_44DF_4941_AF28_5233B91D8BFE_" localSheetId="11" hidden="1">'Pension-OPEB'!$C$7,'Pension-OPEB'!$D$12:$I$576</x:definedName>
    <x:definedName name="snl__5C08A5F9_04A5_4D8E_9CDA_10015BAF1BE2_" localSheetId="9" hidden="1">'Ratios'!$C$7,'Ratios'!$D$12:$I$158</x:definedName>
    <x:definedName name="snl__5C10ED24_1161_4106_B9CD_16B424BE93BC_" localSheetId="9" hidden="1">'Ratios'!$C$7,'Ratios'!$D$12:$I$158</x:definedName>
    <x:definedName name="snl__5C42C7B4_CFD2_4357_9505_19B2CD1E61C1_" localSheetId="9" hidden="1">'Ratios'!$C$7,'Ratios'!$D$12:$I$158</x:definedName>
    <x:definedName name="snl__5C9ADE4F_38AA_49D0_A176_677CBAA40C8E_" localSheetId="9" hidden="1">'Ratios'!$C$7,'Ratios'!$D$12:$J$158</x:definedName>
    <x:definedName name="snl__5D3C5517_25E7_4C53_B5E1_5C240332955D_" localSheetId="9" hidden="1">'Ratios'!$C$7,'Ratios'!$D$12:$I$158</x:definedName>
    <x:definedName name="snl__5D3FF3D6_B2B7_4EF7_A873_2E3F288167B1_" localSheetId="8" hidden="1">'Capital_Structure_ Details '!$B$12:$B$37</x:definedName>
    <x:definedName name="snl__5D697B79_0505_4CDE_8792_540648E39868_" localSheetId="9" hidden="1">'Ratios'!$C$7,'Ratios'!$D$12:$J$158</x:definedName>
    <x:definedName name="snl__5DF7BB3C_189D_4F39_B090_495A17BDBA60_" localSheetId="7" hidden="1">'Capital_Structure_Summary'!$C$7,'Capital_Structure_Summary'!$F$29:$R$79</x:definedName>
    <x:definedName name="snl__5DF806E6_F69B_43BF_AF77_B943A88540AF_" localSheetId="7" hidden="1">'Capital_Structure_Summary'!$C$7,'Capital_Structure_Summary'!$F$29:$R$79</x:definedName>
    <x:definedName name="snl__5E3DC573_66F6_46CF_8E37_CE1FF8157650_" localSheetId="10" hidden="1">Supplemental!$C$7,Supplemental!$D$12:$I$165</x:definedName>
    <x:definedName name="snl__5E77B3CC_8B89_44F7_B771_9F358CFDA6F9_" localSheetId="7" hidden="1">'Capital_Structure_Summary'!$C$7,'Capital_Structure_Summary'!$F$29:$R$79</x:definedName>
    <x:definedName name="snl__60010885_FA09_4CBD_A91E_54380B25362C_" localSheetId="2" hidden="1">Income_Statement!$C$6,Income_Statement!$E$11:$Q$190</x:definedName>
    <x:definedName name="snl__604CC556_41EC_4894_87C4_353452F0C966_" localSheetId="10" hidden="1">Supplemental!$C$7,Supplemental!$D$12:$I$165</x:definedName>
    <x:definedName name="snl__61298C36_17C3_4D68_BB05_B8A51B2BEB81_" localSheetId="2" hidden="1">Income_Statement!$C$6,Income_Statement!$E$11:$Q$190</x:definedName>
    <x:definedName name="snl__615F157F_4B80_4695_A1E6_60F9CF1AC41B_" localSheetId="10" hidden="1">Supplemental!$C$7,Supplemental!$D$12:$I$165</x:definedName>
    <x:definedName name="snl__6163703C_3540_47B9_9B8B_AE32997A26EC_" localSheetId="4" hidden="1">'Cash_Flow'!$C$6,'Cash_Flow'!$E$11:$Q$101</x:definedName>
    <x:definedName name="snl__62221003_950C_4071_84C6_469EAEE06EA4_" localSheetId="4" hidden="1">'Cash_Flow'!$C$6,'Cash_Flow'!$E$11:$Q$101</x:definedName>
    <x:definedName name="snl__623B9C32_2B75_4E0C_B9FC_1CC1C941AFC7_" localSheetId="10" hidden="1">Supplemental!$C$7,Supplemental!$D$12:$I$165</x:definedName>
    <x:definedName name="snl__625FCFEC_95B2_477F_9B2F_EA92C19C3465_" localSheetId="11" hidden="1">'Pension-OPEB'!$C$7,'Pension-OPEB'!$D$12:$I$576</x:definedName>
    <x:definedName name="snl__62A4274A_A893_4CA9_9EC8_DD9E0EFF276B_" localSheetId="9" hidden="1">'Ratios'!$C$7,'Ratios'!$D$12:$I$158</x:definedName>
    <x:definedName name="snl__62D2955A_2450_47F8_B94E_283477E64000_" localSheetId="9" hidden="1">'Ratios'!$C$7,'Ratios'!$D$12:$I$158</x:definedName>
    <x:definedName name="snl__62FDC24C_79E7_49A1_9941_3BAEF04C7F07_" localSheetId="9" hidden="1">'Ratios'!$C$7,'Ratios'!$D$12:$I$158</x:definedName>
    <x:definedName name="snl__635C1529_F65B_4C3A_83FF_1C6154070307_" localSheetId="7" hidden="1">'Capital_Structure_Summary'!$C$7,'Capital_Structure_Summary'!$F$29:$R$79</x:definedName>
    <x:definedName name="snl__63715796_BAB2_4BF9_A7DD_0DAB8C1A68A4_" localSheetId="4" hidden="1">'Cash_Flow'!$C$6,'Cash_Flow'!$E$11:$Q$101</x:definedName>
    <x:definedName name="snl__63BBCF2A_B3E6_456A_A6F9_181A72583C99_" localSheetId="9" hidden="1">'Ratios'!$C$7,'Ratios'!$D$12:$I$158</x:definedName>
    <x:definedName name="snl__6413C868_79E4_424A_A683_398932D8A06C_" localSheetId="7" hidden="1">'Capital_Structure_Summary'!$C$6,'Capital_Structure_Summary'!$E$15:$Q$171</x:definedName>
    <x:definedName name="snl__64989D66_D72B_4D7D_AC47_430B81965531_" localSheetId="9" hidden="1">'Ratios'!$C$7,'Ratios'!$D$12:$I$158</x:definedName>
    <x:definedName name="snl__64BA844C_74C8_4B13_8B26_72772F83EB29_" localSheetId="7" hidden="1">'Capital_Structure_Summary'!$C$6,'Capital_Structure_Summary'!$E$15:$Q$171</x:definedName>
    <x:definedName name="snl__64BCFA2E_3044_4EC2_A860_0A28ABE6D287_" localSheetId="9" hidden="1">'Ratios'!$C$7,'Ratios'!$D$12:$I$158</x:definedName>
    <x:definedName name="snl__64C4751C_07D0_43AC_9F92_9CC0A04915DF_" localSheetId="8" hidden="1">'Capital_Structure_ Details '!$I$76:$I$101</x:definedName>
    <x:definedName name="snl__64FFBAFF_D230_4CEA_9FF3_DEBBAC2F136F_" localSheetId="7" hidden="1">'Capital_Structure_Summary'!$C$7,'Capital_Structure_Summary'!$F$29:$R$79</x:definedName>
    <x:definedName name="snl__65F9BD23_B28F_4A9B_B879_D104FF26996D_" localSheetId="9" hidden="1">'Ratios'!$C$7,'Ratios'!$D$12:$I$158</x:definedName>
    <x:definedName name="snl__65FC9830_A094_45D1_B9BE_2DD5D19D85C8_" localSheetId="1" hidden="1">Key_Stats!$B$107,Key_Stats!$E$111:$F$116</x:definedName>
    <x:definedName name="snl__667C176C_03B9_4ADC_AFAF_FE5DBFEDD4F1_" localSheetId="1" hidden="1">Key_Stats!$B$26,Key_Stats!$N$28:$P$52</x:definedName>
    <x:definedName name="snl__67445204_55A0_4686_8CA8_9AF9F71875A2_" localSheetId="3" hidden="1">Balance_Sheet!$C$6,Balance_Sheet!$E$11:$Q$204</x:definedName>
    <x:definedName name="snl__67825572_2946_40B0_AC9A_859F81D5E264_" localSheetId="7" hidden="1">'Capital_Structure_Summary'!$C$7,'Capital_Structure_Summary'!$F$29:$R$79</x:definedName>
    <x:definedName name="snl__67EBD28D_784F_46F0_BCF4_3FED16463FF8_" localSheetId="7" hidden="1">'Capital_Structure_Summary'!$C$6,'Capital_Structure_Summary'!$E$15:$Q$171</x:definedName>
    <x:definedName name="snl__687BD20F_4475_4B1E_AA25_F5C30167DA50_" localSheetId="10" hidden="1">Supplemental!$C$7,Supplemental!$D$12:$I$165</x:definedName>
    <x:definedName name="snl__68E9190B_F206_49E8_B2B2_CA05EC3A2CB7_" localSheetId="7" hidden="1">'Capital_Structure_Summary'!$C$7,'Capital_Structure_Summary'!$F$29:$R$79</x:definedName>
    <x:definedName name="snl__69ED664B_DDB3_4A4C_B8F2_F23563DBA6C3_" localSheetId="11" hidden="1">'Pension-OPEB'!$C$7,'Pension-OPEB'!$D$12:$I$576</x:definedName>
    <x:definedName name="snl__6A236BF4_AE2E_4AF6_8324_95B0A6437B29_" localSheetId="10" hidden="1">Supplemental!$C$7,Supplemental!$D$12:$I$165</x:definedName>
    <x:definedName name="snl__6C59CF8A_898E_4F7D_B127_97C8D56E7F45_" localSheetId="9" hidden="1">'Ratios'!$C$7,'Ratios'!$D$12:$I$158</x:definedName>
    <x:definedName name="snl__6C770847_312F_446A_BAA1_9C48811B64C6_" localSheetId="7" hidden="1">'Capital_Structure_Summary'!$C$7,'Capital_Structure_Summary'!$F$29:$R$79</x:definedName>
    <x:definedName name="snl__6C9A6B9D_E1BA_48C7_9143_DB6A1A8FF645_" localSheetId="2" hidden="1">Income_Statement!$C$6,Income_Statement!$E$11:$Q$190</x:definedName>
    <x:definedName name="snl__6CB02E9D_1864_4582_81E3_0F3C9AE043D3_" localSheetId="7" hidden="1">'Capital_Structure_Summary'!$C$6,'Capital_Structure_Summary'!$E$15:$Q$171</x:definedName>
    <x:definedName name="snl__6CC38C64_C398_43ED_974A_9BE23E48B6F4_" localSheetId="7" hidden="1">'Capital_Structure_Summary'!$C$7,'Capital_Structure_Summary'!$F$29:$R$79</x:definedName>
    <x:definedName name="snl__6DD86C90_04DE_4274_9397_4167002608C9_" localSheetId="1" hidden="1">Key_Stats!$B$26,Key_Stats!$N$28:$P$52</x:definedName>
    <x:definedName name="snl__6EBDA00D_EA1D_4859_ACFB_0CC2373C8847_" localSheetId="10" hidden="1">Supplemental!$C$7,Supplemental!$D$12:$I$165</x:definedName>
    <x:definedName name="snl__6ED21A71_FB1B_4EC1_B31C_2665923A17EE_" localSheetId="9" hidden="1">'Ratios'!$C$7,'Ratios'!$D$12:$I$158</x:definedName>
    <x:definedName name="snl__6F0586E7_5F64_431F_9EA6_ACF9EE244DA5_" localSheetId="2" hidden="1">Income_Statement!$C$6,Income_Statement!$E$11:$Q$190</x:definedName>
    <x:definedName name="snl__6F095480_B331_4907_9369_179692EB6133_" localSheetId="7" hidden="1">'Capital_Structure_Summary'!$C$7,'Capital_Structure_Summary'!$F$29:$R$79</x:definedName>
    <x:definedName name="snl__6F42A89F_6AB6_4AE2_B315_110960691ECD_" localSheetId="4" hidden="1">'Cash_Flow'!$C$6,'Cash_Flow'!$E$11:$Q$101</x:definedName>
    <x:definedName name="snl__70BBEDEA_00B9_4993_92B6_D560A30FCF76_" localSheetId="1" hidden="1">Key_Stats!$B$25,Key_Stats!$E$28:$J$52</x:definedName>
    <x:definedName name="snl__70C4F478_05CB_4DD8_A703_7D36D604BD4C_" localSheetId="7" hidden="1">'Capital_Structure_Summary'!$C$6,'Capital_Structure_Summary'!$E$15:$Q$171</x:definedName>
    <x:definedName name="snl__70DBD796_2BDF_4657_B390_91BFB8C95F0C_" localSheetId="7" hidden="1">'Capital_Structure_Summary'!$C$6,'Capital_Structure_Summary'!$E$15:$Q$171</x:definedName>
    <x:definedName name="snl__70DD29AF_F941_44CD_B2C3_8AFA16242701_" localSheetId="7" hidden="1">'Capital_Structure_Summary'!$C$7,'Capital_Structure_Summary'!$F$29:$P$79</x:definedName>
    <x:definedName name="snl__711DDEB2_3AD1_4B62_A954_92C467CAC086_" localSheetId="2" hidden="1">Income_Statement!$C$6,Income_Statement!$E$11:$Q$190</x:definedName>
    <x:definedName name="snl__719FF465_7171_4A0E_B414_51152D146C60_" localSheetId="10" hidden="1">Supplemental!$C$7,Supplemental!$D$12:$I$165</x:definedName>
    <x:definedName name="snl__7218F8FA_11FD_4FE9_B135_DC89353E16BE_" localSheetId="9" hidden="1">'Ratios'!$C$7,'Ratios'!$D$12:$J$158</x:definedName>
    <x:definedName name="snl__7460878A_230E_44CB_82B8_D2049069905B_" localSheetId="1" hidden="1">Key_Stats!$B$26,Key_Stats!$N$28:$P$52</x:definedName>
    <x:definedName name="snl__751C1F21_08EB_48FC_B8FB_751805ED158B_" localSheetId="1" hidden="1">Key_Stats!$B$62,Key_Stats!$E$65:$E$71</x:definedName>
    <x:definedName name="snl__7568F93B_2A8A_48CC_ADE5_77FE6773E30C_" localSheetId="7" hidden="1">'Capital_Structure_Summary'!$C$7,'Capital_Structure_Summary'!$F$29:$R$79</x:definedName>
    <x:definedName name="snl__75C72BC6_84EC_4784_AAA0_B276BA1AFF9D_" localSheetId="10" hidden="1">Supplemental!$C$7,Supplemental!$D$12:$I$165</x:definedName>
    <x:definedName name="snl__762B051A_E4DA_4FBF_BA3C_944863E18F86_" localSheetId="9" hidden="1">'Ratios'!$C$7,'Ratios'!$D$12:$I$158</x:definedName>
    <x:definedName name="snl__764364F3_A532_4078_9E73_A694396327D3_" localSheetId="9" hidden="1">'Ratios'!$C$7,'Ratios'!$D$12:$J$158</x:definedName>
    <x:definedName name="snl__76CBBE77_9C45_40F7_8D36_153F4E515503_" localSheetId="9" hidden="1">'Ratios'!$C$7,'Ratios'!$D$12:$I$158</x:definedName>
    <x:definedName name="snl__76D2417C_6EC3_412E_81DE_C4B96A8D310A_" localSheetId="10" hidden="1">Supplemental!$C$7,Supplemental!$D$12:$I$165</x:definedName>
    <x:definedName name="snl__777154C8_26D8_493F_AB99_6128DF2F2B71_" localSheetId="2" hidden="1">Income_Statement!$C$6,Income_Statement!$E$11:$Q$190</x:definedName>
    <x:definedName name="snl__77AC45CA_AB18_4170_9110_10CE53F09DEC_" localSheetId="11" hidden="1">'Pension-OPEB'!$C$7,'Pension-OPEB'!$D$12:$I$576</x:definedName>
    <x:definedName name="snl__77B2E414_0752_409B_93CA_538056794248_" localSheetId="10" hidden="1">Supplemental!$C$7,Supplemental!$D$12:$I$165</x:definedName>
    <x:definedName name="snl__77E2F7B2_EED6_4ECC_87C8_3732EFBF53F8_" localSheetId="9" hidden="1">'Ratios'!$C$7,'Ratios'!$D$12:$I$158</x:definedName>
    <x:definedName name="snl__78336F7D_818F_407B_915B_8B4C743CA0BD_" localSheetId="7" hidden="1">'Capital_Structure_Summary'!$C$7,'Capital_Structure_Summary'!$F$29:$R$79</x:definedName>
    <x:definedName name="snl__78427B20_D68B_4BE2_89D8_A224C9D32480_" localSheetId="9" hidden="1">'Ratios'!$C$7,'Ratios'!$D$12:$I$158</x:definedName>
    <x:definedName name="snl__7880D61C_DE43_4A5D_A898_916BEF715A59_" localSheetId="8" hidden="1">'Capital_Structure_ Details '!$C$76:$C$101</x:definedName>
    <x:definedName name="snl__793A0D80_9C5D_4AFB_A398_8D01CFDE296D_" localSheetId="9" hidden="1">'Ratios'!$C$7,'Ratios'!$D$12:$J$158</x:definedName>
    <x:definedName name="snl__79B2FBDE_E80F_4DB8_879E_93D884FA736E_" localSheetId="9" hidden="1">'Ratios'!$C$7,'Ratios'!$D$12:$I$158</x:definedName>
    <x:definedName name="snl__79E23608_03A7_476D_ACC1_CD0FAD77CE37_" localSheetId="9" hidden="1">'Ratios'!$C$7,'Ratios'!$D$12:$I$158</x:definedName>
    <x:definedName name="snl__79F0FC89_64E3_4C71_B6BB_3F6A97343E23_" localSheetId="10" hidden="1">Supplemental!$C$7,Supplemental!$D$12:$I$165</x:definedName>
    <x:definedName name="snl__7A640F67_CD54_4E70_8310_199A072D0674_" localSheetId="9" hidden="1">'Ratios'!$C$7,'Ratios'!$D$12:$J$158</x:definedName>
    <x:definedName name="snl__7A738DD8_B255_422F_8456_05ADC23A02CE_" localSheetId="8" hidden="1">'Capital_Structure_ Details '!$E$12:$E$37</x:definedName>
    <x:definedName name="snl__7A86E95C_F397_43ED_A380_119B744F14E5_" localSheetId="11" hidden="1">'Pension-OPEB'!$C$7,'Pension-OPEB'!$D$12:$I$576</x:definedName>
    <x:definedName name="snl__7BDDA170_E827_407F_A8C9_A279FED2687A_" localSheetId="10" hidden="1">Supplemental!$C$7,Supplemental!$D$12:$I$165</x:definedName>
    <x:definedName name="snl__7E271F52_D6A3_4F24_8175_CECA28968A3A_" localSheetId="3" hidden="1">Balance_Sheet!$C$6,Balance_Sheet!$E$11:$Q$204</x:definedName>
    <x:definedName name="snl__7E627F40_3D7D_4564_8BF0_AF3120BA585E_" localSheetId="7" hidden="1">'Capital_Structure_Summary'!$C$6,'Capital_Structure_Summary'!$E$15:$Q$171</x:definedName>
    <x:definedName name="snl__7E7585E3_61CB_49F9_85F0_ECF9F71836E7_" localSheetId="8" hidden="1">'Capital_Structure_ Details '!$F$44:$F$69</x:definedName>
    <x:definedName name="snl__7F99C594_2C9C_42BF_8B9B_6B9E6AA56321_" localSheetId="1" hidden="1">Key_Stats!$B$106,Key_Stats!$G$109:$J$115</x:definedName>
    <x:definedName name="snl__7FB33B97_656A_4E2F_802A_40DA624CB0BC_" localSheetId="9" hidden="1">'Ratios'!$C$7,'Ratios'!$D$12:$I$158</x:definedName>
    <x:definedName name="snl__7FCC5721_5A85_4BC4_A642_216C0838E976_" localSheetId="10" hidden="1">Supplemental!$C$7,Supplemental!$D$12:$I$165</x:definedName>
    <x:definedName name="snl__7FF3CD5D_8F7A_43C5_A1A9_B46806EEB978_" localSheetId="10" hidden="1">Supplemental!$C$7,Supplemental!$D$12:$I$165</x:definedName>
    <x:definedName name="snl__804617AC_6946_4EFD_91A7_3DD801716BED_" localSheetId="8" hidden="1">'Capital_Structure_ Details '!$K$44:$K$69</x:definedName>
    <x:definedName name="snl__8047A764_2775_4B7D_91E3_E118AF437742_" localSheetId="7" hidden="1">'Capital_Structure_Summary'!$C$7,'Capital_Structure_Summary'!$F$29:$R$79</x:definedName>
    <x:definedName name="snl__804A2320_50B5_4EA7_884F_21B94484869F_" localSheetId="7" hidden="1">'Capital_Structure_Summary'!$C$7,'Capital_Structure_Summary'!$F$29:$R$79</x:definedName>
    <x:definedName name="snl__80776748_E844_432B_B3FA_00D75B8232DA_" localSheetId="9" hidden="1">'Ratios'!$C$7,'Ratios'!$D$12:$I$158</x:definedName>
    <x:definedName name="snl__80E3C45E_A8B7_4259_B563_3E4A6AC06DD3_" localSheetId="10" hidden="1">Supplemental!$C$7,Supplemental!$D$12:$I$165</x:definedName>
    <x:definedName name="snl__80F4A1A9_256B_40E2_BDE1_FF7BDD5DB4A1_" localSheetId="7" hidden="1">'Capital_Structure_Summary'!$C$7,'Capital_Structure_Summary'!$F$29:$R$79</x:definedName>
    <x:definedName name="snl__811B102B_A557_4003_8BE9_EA87D57AB4B3_" localSheetId="1" hidden="1">Key_Stats!$B$26,Key_Stats!$N$28:$P$52</x:definedName>
    <x:definedName name="snl__814D423D_A629_451D_8EF0_88EADB732AC2_" localSheetId="2" hidden="1">Income_Statement!$C$6,Income_Statement!$E$11:$Q$190</x:definedName>
    <x:definedName name="snl__815AC44B_F015_470E_B680_CAB4F9D6ADB5_" localSheetId="7" hidden="1">'Capital_Structure_Summary'!$C$7,'Capital_Structure_Summary'!$F$29:$R$79</x:definedName>
    <x:definedName name="snl__82999E0A_5CB3_48CE_8567_7851EF1AFDF7_" localSheetId="2" hidden="1">Income_Statement!$C$6,Income_Statement!$E$11:$P$35</x:definedName>
    <x:definedName name="snl__831FCCB8_73D6_44BD_8885_5639EE6B5775_" localSheetId="10" hidden="1">Supplemental!$C$7,Supplemental!$D$12:$I$165</x:definedName>
    <x:definedName name="snl__838411AE_985C_4C10_BAA7_DDF0C2C913B0_" localSheetId="10" hidden="1">Supplemental!$C$7,Supplemental!$D$12:$I$165</x:definedName>
    <x:definedName name="snl__83E5A582_5287_4337_8457_B759F80243CF_" localSheetId="1" hidden="1">Key_Stats!$B$62,Key_Stats!$E$65:$E$71</x:definedName>
    <x:definedName name="snl__83F45E89_E236_4873_A192_19E6AAAC507E_" localSheetId="1" hidden="1">Key_Stats!$B$25,Key_Stats!$F$33</x:definedName>
    <x:definedName name="snl__85631B42_A0E8_4E00_BF79_70A165978114_" localSheetId="10" hidden="1">Supplemental!$C$7,Supplemental!$D$12:$I$165</x:definedName>
    <x:definedName name="snl__858D9890_BBCA_4DCB_B0E1_4F13BA940ABE_" localSheetId="1" hidden="1">Key_Stats!$B$25,Key_Stats!$G$33:$J$33</x:definedName>
    <x:definedName name="snl__85CEC058_4AEC_4CAE_A8FB_294B6EAAB1E5_" localSheetId="2" hidden="1">Income_Statement!$C$6,Income_Statement!$E$11:$Q$190</x:definedName>
    <x:definedName name="snl__8610199E_D0DE_4C25_B017_55B123399DCE_" localSheetId="9" hidden="1">'Ratios'!$C$7,'Ratios'!$D$12:$I$158</x:definedName>
    <x:definedName name="snl__86598004_00E3_4E24_8820_B893EB8336C2_" localSheetId="7" hidden="1">'Capital_Structure_Summary'!$C$7,'Capital_Structure_Summary'!$F$29:$R$79</x:definedName>
    <x:definedName name="snl__86AC2D82_7DA3_4D53_AF0D_376B818D9240_" localSheetId="10" hidden="1">Supplemental!$C$7,Supplemental!$D$12:$I$165</x:definedName>
    <x:definedName name="snl__86ACB4EF_8FFC_4461_8DE8_02261063AA71_" localSheetId="7" hidden="1">'Capital_Structure_Summary'!$C$6,'Capital_Structure_Summary'!$G$15:$O$110</x:definedName>
    <x:definedName name="snl__86E9BE89_8F22_4024_8A6A_E6F0B8AA4BED_" localSheetId="10" hidden="1">Supplemental!$C$7,Supplemental!$D$12:$I$165</x:definedName>
    <x:definedName name="snl__86EF3BAA_D03E_46CC_A43E_84013640D9BF_" localSheetId="10" hidden="1">Supplemental!$C$7,Supplemental!$D$12:$I$165</x:definedName>
    <x:definedName name="snl__8749645A_6CAA_4A62_B25A_DDDD0D8667E4_" localSheetId="1" hidden="1">Key_Stats!$B$26,Key_Stats!$N$33:$P$33</x:definedName>
    <x:definedName name="snl__87B188EE_3E9E_40D4_9DE8_175C90CDD395_" localSheetId="9" hidden="1">'Ratios'!$C$7,'Ratios'!$D$12:$I$158</x:definedName>
    <x:definedName name="snl__88C3AA32_8247_43BD_98FD_7E20885E961D_" localSheetId="4" hidden="1">'Cash_Flow'!$C$6,'Cash_Flow'!$E$11:$Q$101</x:definedName>
    <x:definedName name="snl__890A423B_0484_41B6_BCF0_EFC831BB1865_" localSheetId="8" hidden="1">'Capital_Structure_ Details '!$B$44:$B$69</x:definedName>
    <x:definedName name="snl__8932B768_CB9E_48DD_8886_713A8392C199_" localSheetId="10" hidden="1">Supplemental!$C$7,Supplemental!$D$12:$I$165</x:definedName>
    <x:definedName name="snl__8ACB989C_E21B_4DA1_9944_B5A2311216F5_" localSheetId="4" hidden="1">'Cash_Flow'!$C$6,'Cash_Flow'!$E$11:$Q$101</x:definedName>
    <x:definedName name="snl__8ACE9570_060A_4D6B_986B_3B7C8A24C690_" localSheetId="7" hidden="1">'Capital_Structure_Summary'!$C$7,'Capital_Structure_Summary'!$F$29:$R$79</x:definedName>
    <x:definedName name="snl__8AD5FB25_7510_457B_984F_5086029D468B_" localSheetId="2" hidden="1">Income_Statement!$C$6,Income_Statement!$E$11:$Q$190</x:definedName>
    <x:definedName name="snl__8B938A90_BAF6_4D9A_8907_2B061F4C0C08_" localSheetId="10" hidden="1">Supplemental!$C$7,Supplemental!$D$12:$I$165</x:definedName>
    <x:definedName name="snl__8BB5FB0A_4017_44B6_B116_2107C04F075C_" localSheetId="2" hidden="1">Income_Statement!$C$6,Income_Statement!$E$11:$Q$190</x:definedName>
    <x:definedName name="snl__8C6E203F_9EB0_4A53_BCF4_6AF5CF4E0ADE_" localSheetId="1" hidden="1">Key_Stats!$B$107,Key_Stats!$E$111:$F$116</x:definedName>
    <x:definedName name="snl__8D361F2D_4063_4708_910D_D60FD922379C_" localSheetId="10" hidden="1">Supplemental!$C$7,Supplemental!$D$12:$I$165</x:definedName>
    <x:definedName name="snl__8D57A1B3_1E12_49EA_BCD3_A91B1CA7CCBE_" localSheetId="10" hidden="1">Supplemental!$C$7,Supplemental!$D$12:$I$165</x:definedName>
    <x:definedName name="snl__8DA66008_3B1A_4C7D_B74C_7827B1A7634B_" localSheetId="7" hidden="1">'Capital_Structure_Summary'!$C$7,'Capital_Structure_Summary'!$F$29:$R$79</x:definedName>
    <x:definedName name="snl__8E33CB16_8DB7_461E_A8CB_6DC6709BE077_" localSheetId="9" hidden="1">'Ratios'!$C$7,'Ratios'!$D$12:$I$158</x:definedName>
    <x:definedName name="snl__8F1FEACF_8FC5_4080_B847_99782C75E0B0_" localSheetId="4" hidden="1">'Cash_Flow'!$C$6,'Cash_Flow'!$E$11:$Q$101</x:definedName>
    <x:definedName name="snl__8F7D805C_57A4_4101_B619_150182676696_" localSheetId="7" hidden="1">'Capital_Structure_Summary'!$C$6,'Capital_Structure_Summary'!$E$15:$Q$171</x:definedName>
    <x:definedName name="snl__8FD60795_81A5_47E9_BB8A_14CC53055CD1_" localSheetId="7" hidden="1">'Capital_Structure_Summary'!$C$6,'Capital_Structure_Summary'!$E$15:$Q$171</x:definedName>
    <x:definedName name="snl__9068E020_4B53_45C0_B155_FCC5A96F16CB_" localSheetId="11" hidden="1">'Pension-OPEB'!$C$7,'Pension-OPEB'!$D$12:$I$576</x:definedName>
    <x:definedName name="snl__90E3B9B7_A01B_4ECF_BD44_CF0CAE353EFA_" localSheetId="10" hidden="1">Supplemental!$C$7,Supplemental!$D$12:$I$165</x:definedName>
    <x:definedName name="snl__91E3234C_84E7_435C_BC32_984FBC6A51B3_" localSheetId="11" hidden="1">'Pension-OPEB'!$C$7,'Pension-OPEB'!$D$12:$I$576</x:definedName>
    <x:definedName name="snl__929DF018_86ED_433A_BEA0_AA43DCCBDC58_" localSheetId="11" hidden="1">'Pension-OPEB'!$C$7,'Pension-OPEB'!$D$12:$I$576</x:definedName>
    <x:definedName name="snl__92E44F07_F761_4B14_BF1B_08FD8C8B2D92_" localSheetId="7" hidden="1">'Capital_Structure_Summary'!$C$6,'Capital_Structure_Summary'!$E$15:$Q$171</x:definedName>
    <x:definedName name="snl__94126083_B4BD_4D8C_ADF7_28B86B5549F5_" localSheetId="9" hidden="1">'Ratios'!$C$7,'Ratios'!$D$12:$I$158</x:definedName>
    <x:definedName name="snl__9415B648_9B1A_4594_A129_C431B1F93613_" localSheetId="7" hidden="1">'Capital_Structure_Summary'!$C$6,'Capital_Structure_Summary'!$E$15:$Q$171</x:definedName>
    <x:definedName name="snl__941CEE22_0216_4E0B_B68E_D81B108E044C_" localSheetId="7" hidden="1">'Capital_Structure_Summary'!$C$7,'Capital_Structure_Summary'!$F$29:$R$79</x:definedName>
    <x:definedName name="snl__94316B3F_FDFB_4A7F_AA4B_DC6F21FB8B4C_" localSheetId="10" hidden="1">Supplemental!$C$7,Supplemental!$D$12:$I$165</x:definedName>
    <x:definedName name="snl__94C000B4_881D_4B88_BEFA_604DDE156CB3_" localSheetId="3" hidden="1">Balance_Sheet!$C$6,Balance_Sheet!$E$11:$Q$204</x:definedName>
    <x:definedName name="snl__95313553_1FA0_49E0_AA5A_A253B9D294E9_" localSheetId="5" hidden="1">Multiples!$D$11,Multiples!$E$12:$L$12</x:definedName>
    <x:definedName name="snl__95A97001_DB06_41A1_AA37_D03335DBD67A_" localSheetId="7" hidden="1">'Capital_Structure_Summary'!$C$6,'Capital_Structure_Summary'!$E$15:$Q$171</x:definedName>
    <x:definedName name="snl__966D494D_5E49_4818_B866_7103EE3DD61E_" localSheetId="7" hidden="1">'Capital_Structure_Summary'!$C$6,'Capital_Structure_Summary'!$E$15:$Q$171</x:definedName>
    <x:definedName name="snl__978A8E78_C1A3_4666_975F_BC96B378AA4F_" localSheetId="10" hidden="1">Supplemental!$C$7,Supplemental!$D$12:$I$165</x:definedName>
    <x:definedName name="snl__989B8A87_8B11_4762_9A86_AE4637BE2041_" localSheetId="7" hidden="1">'Capital_Structure_Summary'!$C$6,'Capital_Structure_Summary'!$E$15:$Q$171</x:definedName>
    <x:definedName name="snl__9905F39B_3DB5_4066_91DC_765B45C5ACFA_" localSheetId="7" hidden="1">'Capital_Structure_Summary'!$C$7,'Capital_Structure_Summary'!$F$29:$R$79</x:definedName>
    <x:definedName name="snl__999AD692_AFE1_4C32_AEDE_4B8628F3F259_" localSheetId="10" hidden="1">Supplemental!$C$7,Supplemental!$D$12:$I$165</x:definedName>
    <x:definedName name="snl__999C180F_59B3_4535_BBC7_9598A3B9DF4E_" localSheetId="2" hidden="1">Income_Statement!$C$6,Income_Statement!$E$11:$Q$190</x:definedName>
    <x:definedName name="snl__99B8835F_4AB3_422C_B619_D26F084BD78F_" localSheetId="4" hidden="1">'Cash_Flow'!$C$6,'Cash_Flow'!$E$11:$Q$101</x:definedName>
    <x:definedName name="snl__99D998F5_0748_406F_9A64_830AFE11A028_" localSheetId="10" hidden="1">Supplemental!$C$7,Supplemental!$D$12:$I$165</x:definedName>
    <x:definedName name="snl__99DFD746_360E_404F_889B_28B4430F8E00_" localSheetId="9" hidden="1">'Ratios'!$C$7,'Ratios'!$D$12:$J$158</x:definedName>
    <x:definedName name="snl__9A13BDE4_E454_4A87_8B24_3C83DA4774F2_" localSheetId="7" hidden="1">'Capital_Structure_Summary'!$C$7,'Capital_Structure_Summary'!$F$29:$R$79</x:definedName>
    <x:definedName name="snl__9A6D85E9_1C39_4F15_AC98_3E205F7E2D77_" localSheetId="2" hidden="1">Income_Statement!$C$6,Income_Statement!$E$11:$Q$190</x:definedName>
    <x:definedName name="snl__9AB9EDF5_3B5F_4BA7_AA17_EC362F33DCD9_" localSheetId="7" hidden="1">'Capital_Structure_Summary'!$C$7,'Capital_Structure_Summary'!$F$29:$R$79</x:definedName>
    <x:definedName name="snl__9B4C4F65_E6AD_4B58_A68D_FFE3D056047D_" localSheetId="7" hidden="1">'Capital_Structure_Summary'!$C$6,'Capital_Structure_Summary'!$E$15:$Q$171</x:definedName>
    <x:definedName name="snl__9C3E5F9E_91D7_48A9_B805_56F628E991D6_" localSheetId="9" hidden="1">'Ratios'!$C$7,'Ratios'!$D$12:$J$158</x:definedName>
    <x:definedName name="snl__9C9E82AD_8C90_4DED_B5AD_3F6B352D9AB4_" localSheetId="10" hidden="1">Supplemental!$C$7,Supplemental!$D$12:$I$165</x:definedName>
    <x:definedName name="snl__9D11B780_27E4_494D_B847_09EC1EC33C2D_" localSheetId="10" hidden="1">Supplemental!$C$7,Supplemental!$D$12:$I$165</x:definedName>
    <x:definedName name="snl__9D2CA506_0B2A_442F_98BC_BB802C6F08DD_" localSheetId="2" hidden="1">Income_Statement!$C$6,Income_Statement!$E$11:$Q$190</x:definedName>
    <x:definedName name="snl__9DBF69FC_B1E8_48AF_BE5C_476AEA5A3AE7_" localSheetId="7" hidden="1">'Capital_Structure_Summary'!$C$6,'Capital_Structure_Summary'!$E$15:$Q$171</x:definedName>
    <x:definedName name="snl__9F7347A2_501C_4965_9C00_E19C1ADE3136_" localSheetId="9" hidden="1">'Ratios'!$C$7,'Ratios'!$D$12:$I$158</x:definedName>
    <x:definedName name="snl__A0CD2A52_07BC_4EC3_A2DD_42DFD9C9738F_" localSheetId="11" hidden="1">'Pension-OPEB'!$C$7,'Pension-OPEB'!$D$12:$I$576</x:definedName>
    <x:definedName name="snl__A1ACB7A7_7B34_40E1_85F7_DC69519D90E4_" localSheetId="10" hidden="1">Supplemental!$C$7,Supplemental!$D$12:$I$165</x:definedName>
    <x:definedName name="snl__A1C37E7C_64F8_4A86_A40B_EF9CEBFB6357_" localSheetId="7" hidden="1">'Capital_Structure_Summary'!$C$7,'Capital_Structure_Summary'!$F$29:$R$79</x:definedName>
    <x:definedName name="snl__A2CFBA63_D4C7_409A_A49F_A92F81C79E2E_" localSheetId="3" hidden="1">Balance_Sheet!$C$6,Balance_Sheet!$E$11:$Q$204</x:definedName>
    <x:definedName name="snl__A2FA1753_A2E2_42F5_AF70_E9B0B9CB6536_" localSheetId="7" hidden="1">'Capital_Structure_Summary'!$C$6,'Capital_Structure_Summary'!$E$15:$Q$171</x:definedName>
    <x:definedName name="snl__A3165E14_90CA_426D_BE35_EF87C945764A_" localSheetId="4" hidden="1">'Cash_Flow'!$C$6,'Cash_Flow'!$E$11:$Q$101</x:definedName>
    <x:definedName name="snl__A38644F5_40AD_45BB_8929_A160F44689AB_" localSheetId="7" hidden="1">'Capital_Structure_Summary'!$C$6,'Capital_Structure_Summary'!$E$15:$Q$171</x:definedName>
    <x:definedName name="snl__A3C0CD6A_63E4_4CFB_B79E_0A3C1E03947E_" localSheetId="7" hidden="1">'Capital_Structure_Summary'!$C$7,'Capital_Structure_Summary'!$F$29:$R$79</x:definedName>
    <x:definedName name="snl__A3DA951D_40CF_410D_B2A6_FFBF6B452831_" localSheetId="8" hidden="1">'Capital_Structure_ Details '!$G$76:$G$101</x:definedName>
    <x:definedName name="snl__A4DC9FBF_69AF_4F15_95F5_8AA2710ACCE5_" localSheetId="7" hidden="1">'Capital_Structure_Summary'!$C$6,'Capital_Structure_Summary'!$E$15:$Q$171</x:definedName>
    <x:definedName name="snl__A4F66809_3EC9_4248_A009_DD84DF730789_" localSheetId="9" hidden="1">'Ratios'!$C$7,'Ratios'!$D$12:$I$158</x:definedName>
    <x:definedName name="snl__A52AE109_9CFA_4A1B_B597_CB22B1F584B3_" localSheetId="2" hidden="1">Income_Statement!$C$6,Income_Statement!$E$11:$Q$190</x:definedName>
    <x:definedName name="snl__A55554CD_03A6_4BA2_8275_2DE9374D7825_" localSheetId="7" hidden="1">'Capital_Structure_Summary'!$C$6,'Capital_Structure_Summary'!$E$15:$Q$171</x:definedName>
    <x:definedName name="snl__A5F0A3D0_6171_477F_A4F6_8B253AE85813_" localSheetId="2" hidden="1">Income_Statement!$C$6,Income_Statement!$E$11:$Q$190</x:definedName>
    <x:definedName name="snl__A603D588_6F1F_42BE_9624_2CCFFA46DA73_" localSheetId="2" hidden="1">Income_Statement!$C$6,Income_Statement!$E$11:$Q$190</x:definedName>
    <x:definedName name="snl__A61F9042_F5CF_4308_BD06_F441AEF4D9A8_" localSheetId="7" hidden="1">'Capital_Structure_Summary'!$C$7,'Capital_Structure_Summary'!$F$29:$R$79</x:definedName>
    <x:definedName name="snl__A6D7F29A_DC56_432D_B8DE_A7A7B0780B94_" localSheetId="9" hidden="1">'Ratios'!$C$7,'Ratios'!$D$12:$I$158</x:definedName>
    <x:definedName name="snl__A6DB3797_9801_4062_AB7B_5253695FC0A1_" localSheetId="9" hidden="1">'Ratios'!$C$7,'Ratios'!$D$12:$I$158</x:definedName>
    <x:definedName name="snl__A76F0F39_894B_4234_A771_056E7468737B_" localSheetId="9" hidden="1">'Ratios'!$C$7,'Ratios'!$D$12:$J$158</x:definedName>
    <x:definedName name="snl__A7DC4E3E_9011_4F95_9947_8557AB729F39_" localSheetId="9" hidden="1">'Ratios'!$C$7,'Ratios'!$D$12:$I$158</x:definedName>
    <x:definedName name="snl__A7F06837_2376_43A7_A42F_5E3FC7CAA3AC_" localSheetId="9" hidden="1">'Ratios'!$C$7,'Ratios'!$D$12:$I$158</x:definedName>
    <x:definedName name="snl__A81AF752_E946_4E01_BDB7_C9EB32B72773_" localSheetId="9" hidden="1">'Ratios'!$C$7,'Ratios'!$D$12:$I$158</x:definedName>
    <x:definedName name="snl__A91DA35C_4165_4096_9535_5BADC435F793_" localSheetId="10" hidden="1">Supplemental!$C$7,Supplemental!$D$12:$I$165</x:definedName>
    <x:definedName name="snl__A94295F8_6160_416F_B045_4E2D2FB092B9_" localSheetId="2" hidden="1">Income_Statement!$C$6,Income_Statement!$E$11:$Q$190</x:definedName>
    <x:definedName name="snl__A9EB2982_1294_43F4_BB1E_0233D2275572_" localSheetId="10" hidden="1">Supplemental!$C$7,Supplemental!$D$12:$I$165</x:definedName>
    <x:definedName name="snl__AA08408D_AB99_4783_AAF7_B8A8E2C7FE9A_" localSheetId="7" hidden="1">'Capital_Structure_Summary'!$C$6,'Capital_Structure_Summary'!$E$15:$Q$171</x:definedName>
    <x:definedName name="snl__AA9A900A_D4C3_4D1E_944E_EC38AFFF2A8C_" localSheetId="8" hidden="1">'Capital_Structure_ Details '!$F$76:$F$101</x:definedName>
    <x:definedName name="snl__AB6FC334_3F1A_4603_B37B_475F02A69FDF_" localSheetId="3" hidden="1">Balance_Sheet!$C$6,Balance_Sheet!$E$11:$Q$204</x:definedName>
    <x:definedName name="snl__ABA85FB6_B405_41BB_8FEB_E1D158EE11F9_" localSheetId="7" hidden="1">'Capital_Structure_Summary'!$C$7,'Capital_Structure_Summary'!$F$29:$R$79</x:definedName>
    <x:definedName name="snl__ABD7BBC7_EBAD_4087_9EE4_3674535A875B_" localSheetId="3" hidden="1">Balance_Sheet!$C$6,Balance_Sheet!$E$11:$Q$204</x:definedName>
    <x:definedName name="snl__AC405381_9698_4FE3_B5D7_FD2A75E5C3FB_" localSheetId="1" hidden="1">Key_Stats!$B$107,Key_Stats!$F$109:$H$116</x:definedName>
    <x:definedName name="snl__AC5D83D0_B092_4101_ADFC_A4B6567DAFAD_" localSheetId="2" hidden="1">Income_Statement!$C$6,Income_Statement!$E$11:$Q$190</x:definedName>
    <x:definedName name="snl__AC74FA77_1E4F_4131_B3DE_3E43538AA6D8_" localSheetId="7" hidden="1">'Capital_Structure_Summary'!$C$7,'Capital_Structure_Summary'!$F$29:$R$79</x:definedName>
    <x:definedName name="snl__AD6123E6_104E_429F_A193_3CD1F6A76CFB_" localSheetId="7" hidden="1">'Capital_Structure_Summary'!$C$7,'Capital_Structure_Summary'!$F$29:$R$79</x:definedName>
    <x:definedName name="snl__ADAF0C62_56F7_40D6_97CC_DA644BEEF521_" localSheetId="11" hidden="1">'Pension-OPEB'!$C$7,'Pension-OPEB'!$D$12:$I$576</x:definedName>
    <x:definedName name="snl__AE314180_9E8B_40F1_B633_2F3E346C7F45_" localSheetId="7" hidden="1">'Capital_Structure_Summary'!$C$7,'Capital_Structure_Summary'!$F$29:$R$79</x:definedName>
    <x:definedName name="snl__AEC10773_6CED_421E_998E_BD1C7E135EEF_" localSheetId="2" hidden="1">Income_Statement!$C$6,Income_Statement!$E$11:$Q$190</x:definedName>
    <x:definedName name="snl__AF6AB13E_8CD9_47D1_8B94_E8D1773DC222_" localSheetId="4" hidden="1">'Cash_Flow'!$C$6,'Cash_Flow'!$E$11:$Q$101</x:definedName>
    <x:definedName name="snl__AF78653C_03CB_4696_BF0C_CD60549BB676_" localSheetId="10" hidden="1">Supplemental!$C$7,Supplemental!$D$12:$I$165</x:definedName>
    <x:definedName name="snl__B0C9DF6E_E581_4928_B822_3519E09FC8A7_" localSheetId="11" hidden="1">'Pension-OPEB'!$C$7,'Pension-OPEB'!$D$12:$I$576</x:definedName>
    <x:definedName name="snl__B13569D9_FD0A_4E39_8363_862636530009_" localSheetId="2" hidden="1">Income_Statement!$C$6,Income_Statement!$E$11:$Q$190</x:definedName>
    <x:definedName name="snl__B1BBBFB0_F01F_4F4D_8038_10A4CF0FFF48_" localSheetId="10" hidden="1">Supplemental!$C$7,Supplemental!$D$12:$I$165</x:definedName>
    <x:definedName name="snl__B235BEDC_E3C7_4082_9431_6EAEF53D9966_" localSheetId="7" hidden="1">'Capital_Structure_Summary'!$C$6,'Capital_Structure_Summary'!$G$15:$O$51</x:definedName>
    <x:definedName name="snl__B2B5D748_54DA_4303_90B0_5DC28F13712F_" localSheetId="9" hidden="1">'Ratios'!$C$7,'Ratios'!$D$12:$J$158</x:definedName>
    <x:definedName name="snl__B3049F31_D6A2_4034_A769_4E946C4B172D_" localSheetId="1" hidden="1">Key_Stats!$B$25,Key_Stats!$E$28:$J$52</x:definedName>
    <x:definedName name="snl__B338CD95_290D_40AB_8FF3_C34EB24B6FB7_" localSheetId="7" hidden="1">'Capital_Structure_Summary'!$C$6,'Capital_Structure_Summary'!$E$15:$Q$171</x:definedName>
    <x:definedName name="snl__B3531860_3EBD_4A96_8DAE_6FA6EC69BEF2_" localSheetId="7" hidden="1">'Capital_Structure_Summary'!$C$7,'Capital_Structure_Summary'!$F$29:$R$79</x:definedName>
    <x:definedName name="snl__B42A057B_050C_4018_8894_5FDB163645A9_" localSheetId="8" hidden="1">'Capital_Structure_ Details '!$K$12:$K$37</x:definedName>
    <x:definedName name="snl__B42C3918_4334_4548_8542_622BE123445E_" localSheetId="4" hidden="1">'Cash_Flow'!$C$6,'Cash_Flow'!$E$11:$Q$101</x:definedName>
    <x:definedName name="snl__B447EE85_B0C0_4544_BDE6_C00EF2CC926A_" localSheetId="7" hidden="1">'Capital_Structure_Summary'!$C$7,'Capital_Structure_Summary'!$F$29:$R$79</x:definedName>
    <x:definedName name="snl__B48EB214_1939_44D8_8668_B1969CB2B5BE_" localSheetId="1" hidden="1">Key_Stats!$B$62,Key_Stats!$E$65:$E$71</x:definedName>
    <x:definedName name="snl__B4CBFF9B_F5DB_4E1F_A9CC_B815808A780A_" localSheetId="9" hidden="1">'Ratios'!$C$7,'Ratios'!$D$12:$I$158</x:definedName>
    <x:definedName name="snl__B4CCD298_F8D3_489F_8EF3_1DAAE35D2E88_" localSheetId="2" hidden="1">Income_Statement!$C$6,Income_Statement!$E$11:$Q$190</x:definedName>
    <x:definedName name="snl__B5A807B4_105A_46D1_93B6_9320DB700557_" localSheetId="7" hidden="1">'Capital_Structure_Summary'!$C$6,'Capital_Structure_Summary'!$E$15:$Q$171</x:definedName>
    <x:definedName name="snl__B6F411B4_2319_428E_929C_7B83C937A90B_" localSheetId="7" hidden="1">'Capital_Structure_Summary'!$C$6,'Capital_Structure_Summary'!$E$15:$Q$171</x:definedName>
    <x:definedName name="snl__B7A4E69B_B427_4248_A408_05F07227A92B_" localSheetId="3" hidden="1">Balance_Sheet!$C$6,Balance_Sheet!$E$11:$Q$204</x:definedName>
    <x:definedName name="snl__B81A6B7D_A853_4936_A27F_3270945129E5_" localSheetId="9" hidden="1">'Ratios'!$C$7,'Ratios'!$D$12:$I$158</x:definedName>
    <x:definedName name="snl__B8262323_0CAA_4F64_BA4D_7EFB3DF61A4A_" localSheetId="5" hidden="1">Multiples!$D$11,Multiples!#REF!</x:definedName>
    <x:definedName name="snl__B8AC0F83_85A2_4C98_95AB_47989BB7A311_" localSheetId="7" hidden="1">'Capital_Structure_Summary'!$C$7,'Capital_Structure_Summary'!$F$29:$R$79</x:definedName>
    <x:definedName name="snl__B8E404E1_FD27_4402_A358_E41967E415E4_" localSheetId="9" hidden="1">'Ratios'!$C$7,'Ratios'!$D$12:$I$78</x:definedName>
    <x:definedName name="snl__B92AABD6_849E_41AD_9A46_DDC85C30239B_" localSheetId="7" hidden="1">'Capital_Structure_Summary'!$C$6,'Capital_Structure_Summary'!$E$15:$Q$171</x:definedName>
    <x:definedName name="snl__B9BFFCC2_4E6D_462D_BDFF_CEC6AE0758C8_" localSheetId="9" hidden="1">'Ratios'!$C$7,'Ratios'!$D$12:$I$158</x:definedName>
    <x:definedName name="snl__BA7FF554_DF8B_46E3_BAD3_00374ABB9E36_" localSheetId="10" hidden="1">Supplemental!$C$7,Supplemental!$D$12:$I$165</x:definedName>
    <x:definedName name="snl__BB0A78E4_5EB9_4D78_BB54_B59284472F64_" localSheetId="2" hidden="1">Income_Statement!$C$6,Income_Statement!$E$11:$Q$190</x:definedName>
    <x:definedName name="snl__BBDB4DFE_4263_40CC_9595_B5D8E1C20038_" localSheetId="8" hidden="1">'Capital_Structure_ Details '!$E$44:$E$69</x:definedName>
    <x:definedName name="snl__BC92863E_9E01_45F8_8CEA_0C75EF11F0C8_" localSheetId="1" hidden="1">Key_Stats!$B$107,Key_Stats!$E$111:$F$116</x:definedName>
    <x:definedName name="snl__BCFDA0B0_01FF_445A_946E_E2E9C25E2F95_" localSheetId="2" hidden="1">Income_Statement!$C$6,Income_Statement!$E$11:$Q$190</x:definedName>
    <x:definedName name="snl__BD6782B6_6DCF_4D17_A51E_E8D073E1B2F8_" localSheetId="9" hidden="1">'Ratios'!$C$7,'Ratios'!$D$12:$I$158</x:definedName>
    <x:definedName name="snl__BD6BF6A4_1FEF_467D_B34C_DA81492AE828_" localSheetId="9" hidden="1">'Ratios'!$C$7,'Ratios'!$D$12:$I$158</x:definedName>
    <x:definedName name="snl__BDCED53A_8CAF_4D49_A7DB_16AE5E370DFE_" localSheetId="6" hidden="1">'Capitalization'!$C$4,'Capitalization'!$E$9:$J$24</x:definedName>
    <x:definedName name="snl__BEB3703F_9B17_49A1_93A6_C9992E824599_" localSheetId="10" hidden="1">Supplemental!$C$7,Supplemental!$D$12:$I$165</x:definedName>
    <x:definedName name="snl__BF7D7289_AD3D_46AD_B278_47A608715B38_" localSheetId="2" hidden="1">Income_Statement!$C$6,Income_Statement!$E$11:$Q$190</x:definedName>
    <x:definedName name="snl__BF81CCBB_AA73_432C_80F5_C12CD9C62CE5_" localSheetId="7" hidden="1">'Capital_Structure_Summary'!$C$6,'Capital_Structure_Summary'!$E$15:$Q$171</x:definedName>
    <x:definedName name="snl__BFC5E723_0C4F_4494_94A6_D31B0D1A0358_" localSheetId="1" hidden="1">Key_Stats!$B$26,Key_Stats!$O$28:$P$51</x:definedName>
    <x:definedName name="snl__BFCDEA8A_15BA_4F60_B1F2_2E5F1B34E6A0_" localSheetId="7" hidden="1">'Capital_Structure_Summary'!$C$7,'Capital_Structure_Summary'!$F$29:$R$79</x:definedName>
    <x:definedName name="snl__C158FDE8_9D17_46BF_8E0D_3800AE4E4393_" localSheetId="9" hidden="1">'Ratios'!$C$7,'Ratios'!$D$12:$J$158</x:definedName>
    <x:definedName name="snl__C1F8DBF1_EB65_48F4_A3EF_E580CA3BA5CE_" localSheetId="11" hidden="1">'Pension-OPEB'!$C$7,'Pension-OPEB'!$D$12:$I$576</x:definedName>
    <x:definedName name="snl__C3F433E1_0C18_44C2_9939_1F5309E0A031_" localSheetId="9" hidden="1">'Ratios'!$C$7,'Ratios'!$D$12:$I$158</x:definedName>
    <x:definedName name="snl__C45BDD2F_BFF9_4222_8CDC_B7ABCBBC4CF0_" localSheetId="10" hidden="1">Supplemental!$C$7,Supplemental!$D$12:$I$165</x:definedName>
    <x:definedName name="snl__C4E486E4_8E25_4D38_86A1_04A59BAA03C3_" localSheetId="4" hidden="1">'Cash_Flow'!$C$6,'Cash_Flow'!$E$11:$Q$101</x:definedName>
    <x:definedName name="snl__C5A00A94_6549_4CAA_BEED_FF762AFBA334_" localSheetId="9" hidden="1">'Ratios'!$C$7,'Ratios'!$D$12:$I$158</x:definedName>
    <x:definedName name="snl__C5C89A66_C162_416D_ADCD_8B82A58C37B7_" localSheetId="7" hidden="1">'Capital_Structure_Summary'!$C$7,'Capital_Structure_Summary'!$F$29:$R$79</x:definedName>
    <x:definedName name="snl__C5F4DC2F_3012_474C_82B0_22155EF7D811_" localSheetId="9" hidden="1">'Ratios'!$C$7,'Ratios'!$D$12:$I$158</x:definedName>
    <x:definedName name="snl__C5FDB857_7DCB_4CC1_9308_0733F4BC6AD8_" localSheetId="2" hidden="1">Income_Statement!$C$6,Income_Statement!$E$11:$Q$190</x:definedName>
    <x:definedName name="snl__C64489F7_6493_4E73_9C2A_2497642A901C_" localSheetId="10" hidden="1">Supplemental!$C$7,Supplemental!$D$12:$I$165</x:definedName>
    <x:definedName name="snl__C64AF1DC_C267_4596_B1DE_ED17FBC6E2A9_" localSheetId="2" hidden="1">Income_Statement!$C$6,Income_Statement!$E$11:$Q$190</x:definedName>
    <x:definedName name="snl__C7150082_3E42_4552_8327_095F66527A58_" localSheetId="10" hidden="1">Supplemental!$C$7,Supplemental!$D$12:$I$165</x:definedName>
    <x:definedName name="snl__C8360F45_3407_4C50_8D4D_A87CB05D74EA_" localSheetId="2" hidden="1">Income_Statement!$C$6,Income_Statement!$E$11:$Q$190</x:definedName>
    <x:definedName name="snl__C8848250_3497_4262_B5F7_CBE31AD7C06E_" localSheetId="9" hidden="1">'Ratios'!$C$7,'Ratios'!$D$12:$J$158</x:definedName>
    <x:definedName name="snl__C898FE63_AFBD_4E47_AA0F_26F06F567AC3_" localSheetId="11" hidden="1">'Pension-OPEB'!$C$7,'Pension-OPEB'!$D$12:$I$22</x:definedName>
    <x:definedName name="snl__C91968E3_6BEA_4900_9734_53FC9BE01569_" localSheetId="7" hidden="1">'Capital_Structure_Summary'!$C$7,'Capital_Structure_Summary'!$F$29:$R$79</x:definedName>
    <x:definedName name="snl__C92D411E_21FB_435B_9490_6D4969E5B215_" localSheetId="8" hidden="1">'Capital_Structure_ Details '!$H$44:$H$69</x:definedName>
    <x:definedName name="snl__C979A791_5C99_441F_A782_08FF3AA31E05_" localSheetId="10" hidden="1">Supplemental!$C$7,Supplemental!$D$12:$I$165</x:definedName>
    <x:definedName name="snl__C9E861DA_F294_4B63_B28D_E3BAD57D0470_" localSheetId="8" hidden="1">'Capital_Structure_ Details '!$J$44:$J$69</x:definedName>
    <x:definedName name="snl__C9F62AE4_8AD3_43D2_A880_803500D9B6FC_" localSheetId="9" hidden="1">'Ratios'!$C$7,'Ratios'!$D$12:$J$158</x:definedName>
    <x:definedName name="snl__CA2F4F77_F607_49B1_917B_C14D3FA9F5B6_" localSheetId="8" hidden="1">'Capital_Structure_ Details '!$B$76:$B$101</x:definedName>
    <x:definedName name="snl__CA953D1D_A633_4CFD_82DA_A6D1C1474DBC_" localSheetId="10" hidden="1">Supplemental!$C$7,Supplemental!$D$12:$I$165</x:definedName>
    <x:definedName name="snl__CA9FA93A_8D1F_4F91_802E_6AE76F781148_" localSheetId="7" hidden="1">'Capital_Structure_Summary'!$C$6,'Capital_Structure_Summary'!$E$15:$Q$171</x:definedName>
    <x:definedName name="snl__CAC61C4C_F77D_4A9F_B680_35774B060905_" localSheetId="10" hidden="1">Supplemental!$C$7,Supplemental!$D$12:$I$165</x:definedName>
    <x:definedName name="snl__CBF40AA7_C25B_4F72_B8CC_11B0AC93AAFC_" localSheetId="8" hidden="1">'Capital_Structure_ Details '!$G$44:$G$69</x:definedName>
    <x:definedName name="snl__CBF7E717_96E3_46AE_9428_5F9E8F3BD776_" localSheetId="10" hidden="1">Supplemental!$C$7,Supplemental!$D$12:$I$165</x:definedName>
    <x:definedName name="snl__CC12B41B_708D_4C96_932C_8DED5108216E_" localSheetId="9" hidden="1">'Ratios'!$C$7,'Ratios'!$D$12:$I$158</x:definedName>
    <x:definedName name="snl__CC35CF3C_41F2_4AB3_A14A_016F27C84BF7_" localSheetId="7" hidden="1">'Capital_Structure_Summary'!$C$7,'Capital_Structure_Summary'!$F$29:$R$79</x:definedName>
    <x:definedName name="snl__CCA10DFE_5FE6_4C5E_8181_6C68D9FCBC1E_" localSheetId="10" hidden="1">Supplemental!$C$7,Supplemental!$D$12:$I$165</x:definedName>
    <x:definedName name="snl__CCA8812E_373A_4A81_AD7F_70487B10A68C_" localSheetId="9" hidden="1">'Ratios'!$C$7,'Ratios'!$D$12:$I$158</x:definedName>
    <x:definedName name="snl__CD28C6E5_0C49_4F4C_A2C6_1929FED3ED1F_" localSheetId="8" hidden="1">'Capital_Structure_ Details '!$C$44:$C$69</x:definedName>
    <x:definedName name="snl__CE17B765_D3E6_46D2_90C2_A96C3F74037A_" localSheetId="7" hidden="1">'Capital_Structure_Summary'!$C$6,'Capital_Structure_Summary'!$E$15:$Q$171</x:definedName>
    <x:definedName name="snl__CE2DB384_D386_4BC0_A6BD_40D85F024E9F_" localSheetId="10" hidden="1">Supplemental!$C$7,Supplemental!$D$12:$I$165</x:definedName>
    <x:definedName name="snl__CFB6DFD8_0AE3_4C44_90DA_448436ABE190_" localSheetId="6" hidden="1">'Capitalization'!$C$4,'Capitalization'!$E$9:$J$38</x:definedName>
    <x:definedName name="snl__CFC9C2F6_55C6_4C5F_B5AA_0ACC2618BE75_" localSheetId="10" hidden="1">Supplemental!$C$7,Supplemental!$D$12:$I$165</x:definedName>
    <x:definedName name="snl__CFD1E7FD_9677_4CB4_A23A_F71FB6750A15_" localSheetId="9" hidden="1">'Ratios'!$C$7,'Ratios'!$D$12:$I$158</x:definedName>
    <x:definedName name="snl__D0583151_AA6C_4913_87B4_9746A7E9D9AB_" localSheetId="10" hidden="1">Supplemental!$C$7,Supplemental!$D$12:$I$165</x:definedName>
    <x:definedName name="snl__D1E34CF1_6C30_46A1_A295_FFDCC65918CE_" localSheetId="7" hidden="1">'Capital_Structure_Summary'!$C$7,'Capital_Structure_Summary'!$F$29:$R$79</x:definedName>
    <x:definedName name="snl__D2093D87_F60E_48F7_821E_C5BFD58CD42B_" localSheetId="9" hidden="1">'Ratios'!$C$7,'Ratios'!$D$12:$I$158</x:definedName>
    <x:definedName name="snl__D250C7A4_9BBC_47BF_A57D_0AEBF27DA0A5_" localSheetId="2" hidden="1">Income_Statement!$C$6,Income_Statement!$E$11:$Q$190</x:definedName>
    <x:definedName name="snl__D2527581_C492_4127_8549_5F7E0D926DF8_" localSheetId="10" hidden="1">Supplemental!$C$7,Supplemental!$D$12:$I$165</x:definedName>
    <x:definedName name="snl__D2640FCC_A40E_48F6_B3C1_0093E4A07C9E_" localSheetId="2" hidden="1">Income_Statement!$C$6,Income_Statement!$E$11:$Q$190</x:definedName>
    <x:definedName name="snl__D3057BD7_5992_4028_937A_B28ED9F81B80_" localSheetId="7" hidden="1">'Capital_Structure_Summary'!$C$7,'Capital_Structure_Summary'!$F$29:$R$79</x:definedName>
    <x:definedName name="snl__D30F169A_A4FE_43CC_BF45_24E53089B083_" localSheetId="7" hidden="1">'Capital_Structure_Summary'!$C$7,'Capital_Structure_Summary'!$F$29:$R$79</x:definedName>
    <x:definedName name="snl__D31A0AD1_9604_4448_8EE6_5E6AEACD3117_" localSheetId="7" hidden="1">'Capital_Structure_Summary'!$C$6,'Capital_Structure_Summary'!$E$15:$O$171</x:definedName>
    <x:definedName name="snl__D357D52A_74E6_44FF_8E09_A43397A120DC_" localSheetId="9" hidden="1">'Ratios'!$C$7,'Ratios'!$D$12:$I$158</x:definedName>
    <x:definedName name="snl__D35DC068_4DB9_4B05_8764_0D35343B7660_" localSheetId="5" hidden="1">Multiples!$D$11,Multiples!#REF!</x:definedName>
    <x:definedName name="snl__D3872742_11DB_438B_B3B1_3B5C1A078E3D_" localSheetId="9" hidden="1">'Ratios'!$C$7,'Ratios'!$D$12:$I$158</x:definedName>
    <x:definedName name="snl__D3B78094_D1FA_46C9_9CDB_72E9C09ED271_" localSheetId="11" hidden="1">'Pension-OPEB'!$C$7,'Pension-OPEB'!$D$12:$I$576</x:definedName>
    <x:definedName name="snl__D402D069_50F8_41D4_B2A6_EBED099D40A1_" localSheetId="10" hidden="1">Supplemental!$C$7,Supplemental!$D$12:$I$165</x:definedName>
    <x:definedName name="snl__D44DD833_3A41_4D24_9D55_FF6BBF105C0F_" localSheetId="7" hidden="1">'Capital_Structure_Summary'!$C$6,'Capital_Structure_Summary'!$E$15:$Q$171</x:definedName>
    <x:definedName name="snl__D471B6DD_E96A_49FC_A390_078D97419F71_" localSheetId="5" hidden="1">Multiples!$D$11,Multiples!#REF!</x:definedName>
    <x:definedName name="snl__D4EDCEB6_1FFA_4347_98BD_8114F60F23CD_" localSheetId="9" hidden="1">'Ratios'!$C$7,'Ratios'!$D$12:$J$158</x:definedName>
    <x:definedName name="snl__D51BB1F1_1FCC_4541_9EAD_A3E56DBF8FF9_" localSheetId="9" hidden="1">'Ratios'!$C$7,'Ratios'!$D$12:$I$158</x:definedName>
    <x:definedName name="snl__D55C8AC0_A146_402E_9221_2DDA94746404_" localSheetId="7" hidden="1">'Capital_Structure_Summary'!$C$6,'Capital_Structure_Summary'!$E$15:$Q$171</x:definedName>
    <x:definedName name="snl__D5B7B96D_54A8_4D4A_9355_73DC0FE13382_" localSheetId="9" hidden="1">'Ratios'!$C$7,'Ratios'!$D$12:$J$158</x:definedName>
    <x:definedName name="snl__D728CBBD_E7D7_4120_A946_90EA49A85515_" localSheetId="10" hidden="1">Supplemental!$C$7,Supplemental!$D$12:$I$165</x:definedName>
    <x:definedName name="snl__D8B8D489_D13B_4E91_9C51_F9318AECC0A9_" localSheetId="7" hidden="1">'Capital_Structure_Summary'!$C$6,'Capital_Structure_Summary'!$E$15:$Q$171</x:definedName>
    <x:definedName name="snl__D9021A13_4074_41E8_9F3F_6B072B44F7CD_" localSheetId="7" hidden="1">'Capital_Structure_Summary'!$C$7,'Capital_Structure_Summary'!$F$29:$R$79</x:definedName>
    <x:definedName name="snl__D9108BF2_6888_4546_92EF_E795BF856756_" localSheetId="7" hidden="1">'Capital_Structure_Summary'!$C$6,'Capital_Structure_Summary'!$E$15:$Q$171</x:definedName>
    <x:definedName name="snl__D91B5D04_586E_4951_A0BA_295880867BF6_" localSheetId="10" hidden="1">Supplemental!$C$7,Supplemental!$D$12:$I$165</x:definedName>
    <x:definedName name="snl__D9ED9738_F1F8_4B5A_9D26_2D2202146381_" localSheetId="9" hidden="1">'Ratios'!$C$7,'Ratios'!$D$12:$I$158</x:definedName>
    <x:definedName name="snl__DA1EABA7_EDD6_45B9_8C5A_56C1A4F71162_" localSheetId="8" hidden="1">'Capital_Structure_ Details '!$F$12:$F$37</x:definedName>
    <x:definedName name="snl__DA2C0D5C_0A66_4AC6_A877_74B10608EC59_" localSheetId="10" hidden="1">Supplemental!$C$7,Supplemental!$D$12:$I$165</x:definedName>
    <x:definedName name="snl__DAB04AD4_13B9_456B_A8ED_5CB342ADE184_" localSheetId="7" hidden="1">'Capital_Structure_Summary'!$C$7,'Capital_Structure_Summary'!$F$29:$R$79</x:definedName>
    <x:definedName name="snl__DB3822DB_A30C_4AF6_AE5C_3636E76C46B3_" localSheetId="11" hidden="1">'Pension-OPEB'!$C$7,'Pension-OPEB'!$D$12:$I$576</x:definedName>
    <x:definedName name="snl__DB8D3FF6_B902_42B8_BE3D_31C6E89EF7F3_" localSheetId="2" hidden="1">Income_Statement!$C$6,Income_Statement!$E$11:$Q$190</x:definedName>
    <x:definedName name="snl__DBCACDA9_A7A6_41B0_812A_5960EECEADA8_" localSheetId="10" hidden="1">Supplemental!$C$7,Supplemental!$D$12:$I$165</x:definedName>
    <x:definedName name="snl__DBCE433C_A620_4D4A_A67D_90FCB5F43AEF_" localSheetId="9" hidden="1">'Ratios'!$C$7,'Ratios'!$D$12:$I$158</x:definedName>
    <x:definedName name="snl__DC92D119_FB3D_44BE_B00A_7830E03F6411_" localSheetId="9" hidden="1">'Ratios'!$C$7,'Ratios'!$D$12:$I$158</x:definedName>
    <x:definedName name="snl__DCB0247E_7F7E_4F3C_BC36_CC95A77075AC_" localSheetId="10" hidden="1">Supplemental!$C$7,Supplemental!$D$12:$I$165</x:definedName>
    <x:definedName name="snl__DCDC7D43_8BEC_4747_8DF3_D7244F3891D3_" localSheetId="10" hidden="1">Supplemental!$C$7,Supplemental!$D$12:$I$165</x:definedName>
    <x:definedName name="snl__DD58363C_D580_416F_A96C_5F5BF4F3AFC3_" localSheetId="7" hidden="1">'Capital_Structure_Summary'!$C$6,'Capital_Structure_Summary'!$E$15:$Q$171</x:definedName>
    <x:definedName name="snl__DD7BDCEA_92CC_436B_92AA_F12530CCBBA2_" localSheetId="7" hidden="1">'Capital_Structure_Summary'!$C$6,'Capital_Structure_Summary'!$E$15:$Q$171</x:definedName>
    <x:definedName name="snl__DDAAADB2_3C91_4181_A174_272FD5EFEBCF_" localSheetId="2" hidden="1">Income_Statement!$C$6,Income_Statement!$E$11:$Q$190</x:definedName>
    <x:definedName name="snl__DE50EC7A_36E5_4BAB_BCCA_C88080E96F0C_" localSheetId="4" hidden="1">'Cash_Flow'!$C$6,'Cash_Flow'!$E$11:$Q$101</x:definedName>
    <x:definedName name="snl__DE71FBB5_9F67_477E_AF75_B3C1B7CF296F_" localSheetId="9" hidden="1">'Ratios'!$C$7,'Ratios'!$D$12:$I$158</x:definedName>
    <x:definedName name="snl__DEA877DC_2DBE_4D53_8187_90F8968C49CF_" localSheetId="9" hidden="1">'Ratios'!$C$7,'Ratios'!$D$12:$I$158</x:definedName>
    <x:definedName name="snl__DF484630_F9E8_4C7E_99E4_39B3BABC0401_" localSheetId="9" hidden="1">'Ratios'!$C$7,'Ratios'!$D$12:$I$158</x:definedName>
    <x:definedName name="snl__DF99E6F3_E929_4B69_9879_91BBA1F9ABED_" localSheetId="10" hidden="1">Supplemental!$C$7,Supplemental!$D$12:$I$165</x:definedName>
    <x:definedName name="snl__DFC9D7B2_10B8_4938_A255_0CE54E9E8ACA_" localSheetId="1" hidden="1">Key_Stats!$B$25,Key_Stats!$E$28:$J$52</x:definedName>
    <x:definedName name="snl__DFD89633_8920_4DC5_92D2_D0DD3121D6DC_" localSheetId="10" hidden="1">Supplemental!$C$7,Supplemental!$D$12:$I$165</x:definedName>
    <x:definedName name="snl__E0E0046E_501E_4541_96AB_94715977C2A8_" localSheetId="9" hidden="1">'Ratios'!$C$7,'Ratios'!$D$12:$I$158</x:definedName>
    <x:definedName name="snl__E11D1745_58A0_4BEE_B8EC_C2113405621A_" localSheetId="2" hidden="1">Income_Statement!$C$6,Income_Statement!$E$11:$Q$190</x:definedName>
    <x:definedName name="snl__E1867326_011F_4016_BF5F_B5E029E3A9B8_" localSheetId="10" hidden="1">Supplemental!$C$7,Supplemental!$D$12:$I$165</x:definedName>
    <x:definedName name="snl__E1CD850B_E80D_4073_9E48_4E8BDB1080BB_" localSheetId="9" hidden="1">'Ratios'!$C$7,'Ratios'!$D$12:$J$158</x:definedName>
    <x:definedName name="snl__E256BD2B_F5BD_4F29_9F62_88D7EF1822EF_" localSheetId="7" hidden="1">'Capital_Structure_Summary'!$C$6,'Capital_Structure_Summary'!$E$15:$Q$171</x:definedName>
    <x:definedName name="snl__E25E41C4_61B3_44B5_B3F8_65FE61AEB5AE_" localSheetId="10" hidden="1">Supplemental!$C$7,Supplemental!$D$12:$I$165</x:definedName>
    <x:definedName name="snl__E2B2E071_F351_49FA_8FC7_359BED658F69_" localSheetId="9" hidden="1">'Ratios'!$C$7,'Ratios'!$D$12:$I$158</x:definedName>
    <x:definedName name="snl__E2BB883F_8BF1_42C8_916A_9A138E228E1B_" localSheetId="10" hidden="1">Supplemental!$C$7,Supplemental!$D$12:$I$165</x:definedName>
    <x:definedName name="snl__E2D31C41_1E6D_4C41_A842_2A218EFFE338_" localSheetId="10" hidden="1">Supplemental!$C$7,Supplemental!$D$12:$I$165</x:definedName>
    <x:definedName name="snl__E31527FA_8C51_4E88_8E42_49F5FC6E6F22_" localSheetId="2" hidden="1">Income_Statement!$C$6,Income_Statement!$E$11:$Q$190</x:definedName>
    <x:definedName name="snl__E32F5652_B2EB_4451_9C90_72CDD5DB96DB_" localSheetId="4" hidden="1">'Cash_Flow'!$C$6,'Cash_Flow'!$E$11:$Q$101</x:definedName>
    <x:definedName name="snl__E38FE468_684A_4359_AD92_B94A9D0E736E_" localSheetId="2" hidden="1">Income_Statement!$C$6,Income_Statement!$E$11:$Q$190</x:definedName>
    <x:definedName name="snl__E3A0BD9B_42BD_4D0A_B86B_C50F6F485012_" localSheetId="9" hidden="1">'Ratios'!$C$7,'Ratios'!$D$12:$I$158</x:definedName>
    <x:definedName name="snl__E40F20B0_4ADC_42C2_9DC0_943B8D6CBB58_" localSheetId="9" hidden="1">'Ratios'!$C$7,'Ratios'!$D$12:$J$158</x:definedName>
    <x:definedName name="snl__E44E1B52_403C_4659_B252_7295D6A89D2A_" localSheetId="10" hidden="1">Supplemental!$C$7,Supplemental!$D$12:$I$165</x:definedName>
    <x:definedName name="snl__E466B414_19E2_412C_806C_81904A264BCD_" localSheetId="10" hidden="1">Supplemental!$C$7,Supplemental!$D$12:$I$165</x:definedName>
    <x:definedName name="snl__E4815FF5_E6A2_46A3_BC15_5D4563273C74_" localSheetId="10" hidden="1">Supplemental!$C$7,Supplemental!$D$12:$I$165</x:definedName>
    <x:definedName name="snl__E5329D53_ED1F_4AA1_8E1A_02EC18828656_" localSheetId="7" hidden="1">'Capital_Structure_Summary'!$C$7,'Capital_Structure_Summary'!$F$29:$R$79</x:definedName>
    <x:definedName name="snl__E570977B_8FA3_4478_97C7_289B4E8F76CF_" localSheetId="9" hidden="1">'Ratios'!$C$7,'Ratios'!$D$12:$I$158</x:definedName>
    <x:definedName name="snl__E5B78CC4_1156_4219_9F6C_02B529FED148_" localSheetId="7" hidden="1">'Capital_Structure_Summary'!$C$6,'Capital_Structure_Summary'!$E$15:$Q$171</x:definedName>
    <x:definedName name="snl__E5D8D1D4_DEAE_4BA9_95D0_35EEBFA96981_" localSheetId="9" hidden="1">'Ratios'!$C$7,'Ratios'!$D$12:$I$158</x:definedName>
    <x:definedName name="snl__E617B131_A37C_4EA7_A401_98D8EF6A1FAC_" localSheetId="9" hidden="1">'Ratios'!$C$7,'Ratios'!$D$12:$I$158</x:definedName>
    <x:definedName name="snl__E66B52AF_6A36_45FD_9C1F_E51C32C2ACF9_" localSheetId="7" hidden="1">'Capital_Structure_Summary'!$C$7,'Capital_Structure_Summary'!$F$29:$R$79</x:definedName>
    <x:definedName name="snl__E7177EE4_6C2C_413E_B7FA_10185C254CAC_" localSheetId="7" hidden="1">'Capital_Structure_Summary'!$C$6,'Capital_Structure_Summary'!$E$15:$Q$171</x:definedName>
    <x:definedName name="snl__E79682EF_E1FF_49FD_96CF_5A1963C844CD_" localSheetId="10" hidden="1">Supplemental!$C$7,Supplemental!$D$12:$I$165</x:definedName>
    <x:definedName name="snl__E7D82F11_7F03_415B_B6A5_E3C6FD0A2012_" localSheetId="7" hidden="1">'Capital_Structure_Summary'!$C$6,'Capital_Structure_Summary'!$E$15:$Q$171</x:definedName>
    <x:definedName name="snl__E818F812_2081_4E36_911B_690BF8270666_" localSheetId="4" hidden="1">'Cash_Flow'!$C$6,'Cash_Flow'!$E$11:$Q$101</x:definedName>
    <x:definedName name="snl__E82C7398_26B9_4C57_AF8A_BBAB12438EE3_" localSheetId="7" hidden="1">'Capital_Structure_Summary'!$C$7,'Capital_Structure_Summary'!$F$29:$R$79</x:definedName>
    <x:definedName name="snl__E854E5B2_9062_4B85_85A0_7702D3DC9D10_" localSheetId="10" hidden="1">Supplemental!$C$7,Supplemental!$D$12:$I$165</x:definedName>
    <x:definedName name="snl__E8817C69_5137_4370_A463_F61EF926978E_" localSheetId="11" hidden="1">'Pension-OPEB'!$C$7,'Pension-OPEB'!$D$12:$I$576</x:definedName>
    <x:definedName name="snl__E897E652_17C2_4EA3_8490_6272396CA19B_" localSheetId="10" hidden="1">Supplemental!$C$7,Supplemental!$D$12:$I$165</x:definedName>
    <x:definedName name="snl__E8A04AEA_9718_4DEF_B855_375F18CA5B87_" localSheetId="7" hidden="1">'Capital_Structure_Summary'!$C$6,'Capital_Structure_Summary'!$E$15:$Q$171</x:definedName>
    <x:definedName name="snl__E8E8700A_5551_4C61_BD7A_99BC26237D05_" localSheetId="9" hidden="1">'Ratios'!$C$7,'Ratios'!$D$12:$I$158</x:definedName>
    <x:definedName name="snl__E98F660A_3081_434A_B352_A389A49168E7_" localSheetId="10" hidden="1">Supplemental!$C$7,Supplemental!$D$12:$I$165</x:definedName>
    <x:definedName name="snl__E99CBC35_A934_4424_91FD_AE6863D5A04B_" localSheetId="4" hidden="1">'Cash_Flow'!$C$6,'Cash_Flow'!$E$11:$Q$101</x:definedName>
    <x:definedName name="snl__E9ABB9A0_E39D_404F_896B_8D23D1D845A9_" localSheetId="7" hidden="1">'Capital_Structure_Summary'!$C$6,'Capital_Structure_Summary'!$E$15:$Q$171</x:definedName>
    <x:definedName name="snl__E9B51B1C_9456_42F9_9FB6_A8C4246A8F82_" localSheetId="4" hidden="1">'Cash_Flow'!$C$6,'Cash_Flow'!$E$11:$Q$101</x:definedName>
    <x:definedName name="snl__E9B51CD4_0024_4AED_BA36_230403AE8C15_" localSheetId="2" hidden="1">Income_Statement!$C$6,Income_Statement!$E$11:$Q$190</x:definedName>
    <x:definedName name="snl__EA556ED4_58A7_4F49_B8E9_779A7CF8E365_" localSheetId="7" hidden="1">'Capital_Structure_Summary'!$C$7,'Capital_Structure_Summary'!$F$29:$R$79</x:definedName>
    <x:definedName name="snl__EAE0D132_CAF4_4CB9_B59C_0D3795ACF44E_" localSheetId="9" hidden="1">'Ratios'!$C$7,'Ratios'!$D$12:$I$158</x:definedName>
    <x:definedName name="snl__EB93E883_53ED_464E_8306_333B3728321A_" localSheetId="9" hidden="1">'Ratios'!$C$7,'Ratios'!$D$12:$I$158</x:definedName>
    <x:definedName name="snl__EBDDC36D_FB7B_4FCB_B7E1_AD2C5A522F50_" localSheetId="10" hidden="1">Supplemental!$C$7,Supplemental!$D$12:$I$165</x:definedName>
    <x:definedName name="snl__EC5C72C3_D8ED_49FC_BE5A_08062CCD4546_" localSheetId="2" hidden="1">Income_Statement!$C$6,Income_Statement!$E$11:$Q$190</x:definedName>
    <x:definedName name="snl__EC748843_5ABF_414B_87F3_86335387FF70_" localSheetId="7" hidden="1">'Capital_Structure_Summary'!$C$6,'Capital_Structure_Summary'!$E$15:$Q$171</x:definedName>
    <x:definedName name="snl__EC84E896_F1A4_4250_8518_5E40CE123D5B_" localSheetId="7" hidden="1">'Capital_Structure_Summary'!$C$6,'Capital_Structure_Summary'!$E$15:$Q$171</x:definedName>
    <x:definedName name="snl__ED7696B4_850F_42E2_87BE_4D6B11EF118A_" localSheetId="4" hidden="1">'Cash_Flow'!$C$6,'Cash_Flow'!$E$11:$Q$101</x:definedName>
    <x:definedName name="snl__EEDF9E23_CC0A_44FA_A85F_EC8F016017DC_" localSheetId="7" hidden="1">'Capital_Structure_Summary'!$C$7,'Capital_Structure_Summary'!$F$29:$R$79</x:definedName>
    <x:definedName name="snl__EF04FD82_F4C7_4A55_8E61_2D9ECA5CD18B_" localSheetId="9" hidden="1">'Ratios'!$C$7,'Ratios'!$D$12:$I$158</x:definedName>
    <x:definedName name="snl__EF39E65A_4A9C_4CD0_8584_351D4C908B8A_" localSheetId="9" hidden="1">'Ratios'!$C$7,'Ratios'!$D$12:$I$158</x:definedName>
    <x:definedName name="snl__F00452DA_6F7C_4F6A_8EA9_EBFA16FF2B09_" localSheetId="3" hidden="1">Balance_Sheet!$C$6,Balance_Sheet!$E$11:$Q$204</x:definedName>
    <x:definedName name="snl__F0B45966_0E09_4765_B6C9_0D3E27F7F9A8_" localSheetId="9" hidden="1">'Ratios'!$C$7,'Ratios'!$D$12:$I$158</x:definedName>
    <x:definedName name="snl__F0DAB8F1_A23A_4A4A_BF7D_556FEF0CFEDF_" localSheetId="2" hidden="1">Income_Statement!$C$6,Income_Statement!$E$11:$Q$190</x:definedName>
    <x:definedName name="snl__F0F1B334_A13A_4DD1_AC39_6310D51D9493_" localSheetId="9" hidden="1">'Ratios'!$C$7,'Ratios'!$D$12:$I$158</x:definedName>
    <x:definedName name="snl__F1340139_75F0_47B9_BE9A_ECBC29C92C7B_" localSheetId="10" hidden="1">Supplemental!$C$7,Supplemental!$D$12:$I$165</x:definedName>
    <x:definedName name="snl__F1F28724_1D7F_4C29_B7C4_F7AE0E06CDD1_" localSheetId="7" hidden="1">'Capital_Structure_Summary'!$C$6,'Capital_Structure_Summary'!$E$15:$Q$171</x:definedName>
    <x:definedName name="snl__F364D54E_91C4_459D_B42F_DF4297F69C24_" localSheetId="10" hidden="1">Supplemental!$C$7,Supplemental!$D$12:$I$165</x:definedName>
    <x:definedName name="snl__F42430A8_E60B_4C37_B11C_2C0DA4E25623_" localSheetId="2" hidden="1">Income_Statement!$C$6,Income_Statement!$E$11:$Q$190</x:definedName>
    <x:definedName name="snl__F4314D17_80B0_4799_BD9E_7D3CE413D180_" localSheetId="7" hidden="1">'Capital_Structure_Summary'!$C$6,'Capital_Structure_Summary'!$E$15:$Q$171</x:definedName>
    <x:definedName name="snl__F4317F40_8683_4300_94E5_0C086668DD17_" localSheetId="2" hidden="1">Income_Statement!$C$6,Income_Statement!$E$11:$Q$190</x:definedName>
    <x:definedName name="snl__F44BF6E9_6FB2_47EA_94C5_FDA5B81640D3_" localSheetId="7" hidden="1">'Capital_Structure_Summary'!$C$7,'Capital_Structure_Summary'!$F$29:$R$79</x:definedName>
    <x:definedName name="snl__F54330C4_405F_47AF_911A_0EEA7BEB62E2_" localSheetId="7" hidden="1">'Capital_Structure_Summary'!$C$6,'Capital_Structure_Summary'!$E$15:$Q$171</x:definedName>
    <x:definedName name="snl__F5D3F73C_69D2_4863_A501_929E1E42B509_" localSheetId="7" hidden="1">'Capital_Structure_Summary'!$C$6,'Capital_Structure_Summary'!$E$15:$Q$171</x:definedName>
    <x:definedName name="snl__F6047E9D_F2A7_45E2_B68B_5A4589727C82_" localSheetId="10" hidden="1">Supplemental!$C$7,Supplemental!$D$12:$I$165</x:definedName>
    <x:definedName name="snl__F6461383_A07C_414D_96DE_7B37AB848DEF_" localSheetId="4" hidden="1">'Cash_Flow'!$C$6,'Cash_Flow'!$E$11:$Q$101</x:definedName>
    <x:definedName name="snl__F7CD087A_541B_48C7_BFD5_C57410D7EF83_" localSheetId="3" hidden="1">Balance_Sheet!$C$6,Balance_Sheet!$E$11:$Q$204</x:definedName>
    <x:definedName name="snl__F81451E4_26F6_499F_9E9A_9E493B16E3FD_" localSheetId="8" hidden="1">'Capital_Structure_ Details '!$D$44:$D$69</x:definedName>
    <x:definedName name="snl__F86046AD_84C3_4F3C_8226_BEA3B13CF7F0_" localSheetId="2" hidden="1">Income_Statement!$C$6,Income_Statement!$E$11:$Q$190</x:definedName>
    <x:definedName name="snl__F8B26BA6_570D_4B0A_BDCF_9C6EAA312097_" localSheetId="4" hidden="1">'Cash_Flow'!$C$6,'Cash_Flow'!$E$11:$Q$101</x:definedName>
    <x:definedName name="snl__F8B65D23_3963_4D28_83F0_CDD2296C569C_" localSheetId="9" hidden="1">'Ratios'!$C$7,'Ratios'!$D$12:$I$158</x:definedName>
    <x:definedName name="snl__F8EA42FC_90A8_4DC6_83DD_EC9AFC3AFC89_" localSheetId="7" hidden="1">'Capital_Structure_Summary'!$C$7,'Capital_Structure_Summary'!$F$29:$R$79</x:definedName>
    <x:definedName name="snl__F96A1CDE_7D84_4823_ACBE_C4EABF527744_" localSheetId="9" hidden="1">'Ratios'!$C$7,'Ratios'!$D$12:$J$158</x:definedName>
    <x:definedName name="snl__FA41C723_2159_436D_9220_ADAC7B250B9A_" localSheetId="11" hidden="1">'Pension-OPEB'!$C$7,'Pension-OPEB'!$D$12:$I$576</x:definedName>
    <x:definedName name="snl__FB1FA80D_D7FA_429D_B73C_0B2FF4E38A4D_" localSheetId="10" hidden="1">Supplemental!$C$7,Supplemental!$D$12:$I$165</x:definedName>
    <x:definedName name="snl__FBFAF774_D150_4C6D_BF3F_611779FC810E_" localSheetId="10" hidden="1">Supplemental!$C$7,Supplemental!$D$12:$I$165</x:definedName>
    <x:definedName name="snl__FC75A103_85A4_444A_8DAA_84D6CB5DEFFB_" localSheetId="8" hidden="1">'Capital_Structure_ Details '!$H$12:$H$37</x:definedName>
    <x:definedName name="snl__FCB2CE7F_00CF_45A0_8160_EC298B3C5F63_" localSheetId="8" hidden="1">'Capital_Structure_ Details '!$E$76:$E$101</x:definedName>
    <x:definedName name="snl__FD7DF3BA_62D2_46F1_86F3_5A67ACFD4800_" localSheetId="9" hidden="1">'Ratios'!$C$7,'Ratios'!$D$12:$I$158</x:definedName>
    <x:definedName name="snl__FEF3DA99_C0E9_4104_B7BB_9DCB54D5F13F_" localSheetId="9" hidden="1">'Ratios'!$C$7,'Ratios'!$D$12:$I$158</x:definedName>
    <x:definedName name="snl__FEF56BE5_6D69_42AD_ABE1_D13D0BBF3B50_" localSheetId="9" hidden="1">'Ratios'!$C$7,'Ratios'!$D$12:$I$158</x:definedName>
    <x:definedName name="snl__FF15A746_D7FF_422F_ABFE_B4EFBE18E186_" localSheetId="9" hidden="1">'Ratios'!$C$7,'Ratios'!$D$12:$J$158</x:definedName>
    <x:definedName name="snl__FF534CED_1C7C_4DAE_9470_9CDDC3D4583E_" localSheetId="7" hidden="1">'Capital_Structure_Summary'!$C$7,'Capital_Structure_Summary'!$F$29:$R$79</x:definedName>
    <x:definedName name="snl__FF965DF3_3B54_4441_943A_60D9B89C1076_" localSheetId="1" hidden="1">Key_Stats!$B$62,Key_Stats!$E$65:$E$71</x:definedName>
    <x:definedName name="snl__FFA8EF46_FB50_4A83_9F3E_92D8704E4FF6_" localSheetId="1" hidden="1">Key_Stats!$B$107,Key_Stats!$E$111:$F$116</x:definedName>
    <x:definedName name="snl__FFAF16CC_A82F_4E8F_B8E7_66D0119EEF8B_" localSheetId="7" hidden="1">'Capital_Structure_Summary'!$C$6,'Capital_Structure_Summary'!$E$15:$Q$171</x:definedName>
    <x:definedName name="snl__FFE40FA5_4754_4520_929D_66C6E7278DF8_" localSheetId="4" hidden="1">'Cash_Flow'!$C$6,'Cash_Flow'!$E$11:$Q$101</x:definedName>
    <x:definedName name="_xlnm.Print_Area" localSheetId="1">Key_Stats!$B$29:$P$117</x:definedName>
    <x:definedName name="_xlnm.Print_Area" localSheetId="2">Income_Statement!$B$4:$Q$191</x:definedName>
    <x:definedName name="_xlnm.Print_Area" localSheetId="3">Balance_Sheet!$B$4:$Q$205</x:definedName>
    <x:definedName name="_xlnm.Print_Area" localSheetId="4">'Cash_Flow'!$B$4:$Q$102</x:definedName>
    <x:definedName name="_xlnm.Print_Area" localSheetId="5">Multiples!$A$1:$L$150</x:definedName>
    <x:definedName name="_xlnm.Print_Area" localSheetId="6">'Capitalization'!$B$2:$J$30</x:definedName>
    <x:definedName name="_xlnm.Print_Area" localSheetId="7">'Capital_Structure_Summary'!$B$4:$R$174</x:definedName>
    <x:definedName name="_xlnm.Print_Area" localSheetId="8">'Capital_Structure_ Details '!$A$1:$M$94</x:definedName>
    <x:definedName name="_xlnm.Print_Area" localSheetId="9">'Ratios'!$B$4:$J$159</x:definedName>
    <x:definedName name="_xlnm.Print_Area" localSheetId="10">Supplemental!$B$4:$I$166</x:definedName>
    <x:definedName name="_xlnm.Print_Area" localSheetId="11">'Pension-OPEB'!$B$4:$I$575</x:definedName>
    <x:definedName name="_xlnm.Print_Titles" localSheetId="2">Income_Statement!$B:$B,Income_Statement!$4:$13</x:definedName>
    <x:definedName name="_xlnm.Print_Titles" localSheetId="3">Balance_Sheet!$B:$B,Balance_Sheet!$4:$13</x:definedName>
    <x:definedName name="_xlnm.Print_Titles" localSheetId="4">'Cash_Flow'!$B:$B,'Cash_Flow'!$4:$13</x:definedName>
    <x:definedName name="_xlnm.Print_Titles" localSheetId="7">'Capital_Structure_Summary'!$B:$B,'Capital_Structure_Summary'!$4:$17</x:definedName>
    <x:definedName name="_xlnm.Print_Titles" localSheetId="9">'Ratios'!$B:$B,'Ratios'!$4:$14</x:definedName>
    <x:definedName name="_xlnm.Print_Titles" localSheetId="10">Supplemental!$B:$B,Supplemental!$4:$14</x:definedName>
    <x:definedName name="_xlnm.Print_Titles" localSheetId="11">'Pension-OPEB'!$B:$B,'Pension-OPEB'!$4:$14</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<x:sst xmlns:r="http://schemas.openxmlformats.org/officeDocument/2006/relationships" xmlns:c="http://schemas.openxmlformats.org/drawingml/2006/chart" xmlns:x="http://schemas.openxmlformats.org/spreadsheetml/2006/main" count="10552" uniqueCount="2651">
  <x:si>
    <x:t>Warrants Wtd Avg Strike Price of Outstd, Comm Stck (Reported)</x:t>
  </x:si>
  <x:si>
    <x:t xml:space="preserve">Tax Benefit Carryforward, No Expiration </x:t>
  </x:si>
  <x:si>
    <x:t xml:space="preserve">Max. Year for Tax Benefit Carry Forward </x:t>
  </x:si>
  <x:si>
    <x:t xml:space="preserve">Tax Benefit Carryforward, After Five Years </x:t>
  </x:si>
  <x:si>
    <x:t xml:space="preserve">Tax Benefit Carryforward, Current Year + 2 </x:t>
  </x:si>
  <x:si>
    <x:t xml:space="preserve">Tax Benefit Carryforward, Current Year + 3 </x:t>
  </x:si>
  <x:si>
    <x:t xml:space="preserve">Tax Benefit Carryforward, Current Year + 4 </x:t>
  </x:si>
  <x:si>
    <x:t>Change in Operating Lease Liab Working Capital</x:t>
  </x:si>
  <x:si>
    <x:t>Expected to be recognized as components of net periodic benefit cost in the next year</x:t>
  </x:si>
  <x:si>
    <x:t>IQ_OPEB_HEALTH_COST_TREND_ULTIMATE</x:t>
  </x:si>
  <x:si>
    <x:t>IQ_PENSION_OBLIGATION_FX_ADJ_DOM</x:t>
  </x:si>
  <x:si>
    <x:t>IQ_PENSION_BREAKDOWN_PCT_OTHER_DOM</x:t>
  </x:si>
  <x:si>
    <x:t xml:space="preserve">Est. Future Benefits Paid - 1st Yr </x:t>
  </x:si>
  <x:si>
    <x:t xml:space="preserve">Est. Future Benefits Paid - 2nd Yr </x:t>
  </x:si>
  <x:si>
    <x:t>IQ_PENSION_ASSETS_BENEFITS_PAID_DOM</x:t>
  </x:si>
  <x:si>
    <x:t>Unrecog. Prior Plan Service Cost</x:t>
  </x:si>
  <x:si>
    <x:t>IQ_OPEB_PBO_ASSUMED_RATE_RET_MAX</x:t>
  </x:si>
  <x:si>
    <x:t>IQ_OPEB_OBLIGATION_INTEREST_COST</x:t>
  </x:si>
  <x:si>
    <x:t>IQ_OPEB_PBO_RATE_COMP_INCREASE_MAX</x:t>
  </x:si>
  <x:si>
    <x:t>IQ_PENSION_ASSETS_ACTUAL_RETURN_DOM</x:t>
  </x:si>
  <x:si>
    <x:t>IQ_PENSION_EXP_RATE_RETURN_MAX_DOM</x:t>
  </x:si>
  <x:si>
    <x:t>IQ_PENSION_CI_OTHER_MISC_ADJ_DOM</x:t>
  </x:si>
  <x:si>
    <x:t>IQ_PENSION_PRIOR_SERVICE_NEXT_DOM</x:t>
  </x:si>
  <x:si>
    <x:t xml:space="preserve">Def. Benefit Actuarial Gain/Losses </x:t>
  </x:si>
  <x:si>
    <x:t>Unfunded Additional Minimum Liab.</x:t>
  </x:si>
  <x:si>
    <x:t>IQ_OPEB_HEALTH_COST_TREND_INITIAL</x:t>
  </x:si>
  <x:si>
    <x:t>IQ_PENSION_EXP_RATE_RETURN_MIN_DOM</x:t>
  </x:si>
  <x:si>
    <x:t>IQ_PENSION_OBLIGATION_PROJECTED_DOM</x:t>
  </x:si>
  <x:si>
    <x:t>IQ_PENSION_UNFUNDED_ADDL_MIN_LIAB</x:t>
  </x:si>
  <x:si>
    <x:t>IQ_OPEB_OBLIGATION_OTHER_PLAN_ADJ</x:t>
  </x:si>
  <x:si>
    <x:t>IQ_PENSION_EST_CONTRIBUTIONS_NEXTYR</x:t>
  </x:si>
  <x:si>
    <x:t>IQ_OPEB_PBO_ASSUMED_RATE_RET_MIN</x:t>
  </x:si>
  <x:si>
    <x:t>IQ_OPEB_PBO_RATE_COMP_INCREASE_MIN</x:t>
  </x:si>
  <x:si>
    <x:t>IQ_PENSION_OBLIGATION_CURTAIL_DOM</x:t>
  </x:si>
  <x:si>
    <x:t>*Note: Pricing as of the filing date of the balance sheet period end date (Reporting basis: Originally reported)</x:t>
  </x:si>
  <x:si>
    <x:t>Right-of-Use Asset-Capital Lease-Accumulated Depreciation</x:t>
  </x:si>
  <x:si>
    <x:t>Options Exercised During the Period, Common Stock (actual)</x:t>
  </x:si>
  <x:si>
    <x:t>1) Select S&amp;P Capital IQ Pro Add-In manual refresh option.</x:t>
  </x:si>
  <x:si>
    <x:t>Rolled-up Instance [Equals previous Instance of the Period]</x:t>
  </x:si>
  <x:si>
    <x:t>EBITDAR (Excl. SBC and Incl. Equity Inc. from Affiliates)</x:t>
  </x:si>
  <x:si>
    <x:t>Total Senior Secured/(EBITDA, Excl. Operating Leases-CAPEX)</x:t>
  </x:si>
  <x:si>
    <x:t>Long Term Film Contract and Broadcasting Rights (Reported)</x:t>
  </x:si>
  <x:si>
    <x:t>Options Cancelled During the Period, Common Stock (actual)</x:t>
  </x:si>
  <x:si>
    <x:t>Options Out. at the Beginning of the Period, Total (actual)</x:t>
  </x:si>
  <x:si>
    <x:t>Options Out. at the End of Period, Common Stock (actual)</x:t>
  </x:si>
  <x:si>
    <x:t>Warrants Out. at the Begin of the Period, Total (actual)</x:t>
  </x:si>
  <x:si>
    <x:t>Right-of-Use Asset-Operating Lease-Accumulated Depreciation</x:t>
  </x:si>
  <x:si>
    <x:t>Options Granted During the Period, Common Stock (actual)</x:t>
  </x:si>
  <x:si>
    <x:t>Total Capital includes Common Equity and Total Liability.</x:t>
  </x:si>
  <x:si>
    <x:t>EBITDA (Excl. SBC and Incl. Equity Inc. from Affiliates)</x:t>
  </x:si>
  <x:si>
    <x:t>Options Out. at the Begin of Period, Common Stock (actual)</x:t>
  </x:si>
  <x:si>
    <x:t>IQ_PENSION_OBLIGATION_TOTAL_COST_INCL_SUPPLE_PLANS_FOREIGN</x:t>
  </x:si>
  <x:si>
    <x:t>Depreciation &amp; Amortization - CF, Excl. Operating Leases</x:t>
  </x:si>
  <x:si>
    <x:t>IQ_PENSION_PBO_RATE_COMP_INCREASE_MIN_FOREIGN</x:t>
  </x:si>
  <x:si>
    <x:t>Prior Service Cost/Benefit Recog. Next Period</x:t>
  </x:si>
  <x:si>
    <x:t>IQ_PENSION_PBO_RATE_COMP_INCREASE_MAX_FOREIGN</x:t>
  </x:si>
  <x:si>
    <x:t xml:space="preserve">Capital Loss Carryforward, Current Year + 3 </x:t>
  </x:si>
  <x:si>
    <x:t>IQ_PENSION_QUART_EMPLOYER_CONTRIBUTIONS_FOREIGN</x:t>
  </x:si>
  <x:si>
    <x:t>Warrants Cancelled During the Period (actual)</x:t>
  </x:si>
  <x:si>
    <x:t>Warrants Exercised During the Period (actual)</x:t>
  </x:si>
  <x:si>
    <x:t>IQ_PENSION_ASSETS_EMPLOYER_CONTRIBUTIONS_DOM</x:t>
  </x:si>
  <x:si>
    <x:t>IQ_PENSION_QUART_ADDL_CONTRIBUTIONS_EXP_FOREIGN</x:t>
  </x:si>
  <x:si>
    <x:t>COMPOUNDED ANNUAL GROWTH RATE OVER FIVE YEARS</x:t>
  </x:si>
  <x:si>
    <x:t>COMPOUNDED ANNUAL GROWTH RATE OVER THREE YEARS</x:t>
  </x:si>
  <x:si>
    <x:t xml:space="preserve">Capital Loss Carryforward, Current Year + 1 </x:t>
  </x:si>
  <x:si>
    <x:t>Interest and Penalties Recog. on IS - After Tax</x:t>
  </x:si>
  <x:si>
    <x:t>Warrants Out. at the End of the Period (actual)</x:t>
  </x:si>
  <x:si>
    <x:t>Net Asset/Liability Recognized on Balance Sheet</x:t>
  </x:si>
  <x:si>
    <x:t xml:space="preserve">Quarterly Additional Contributions Expected </x:t>
  </x:si>
  <x:si>
    <x:t>Weighted Avg. Assumptions on Net Periodic Cost</x:t>
  </x:si>
  <x:si>
    <x:t>IQ_PENSION_OBLIGATION_EMPLOYEE_CONTRIBUTIONS</x:t>
  </x:si>
  <x:si>
    <x:t>IQ_PENSION_OBLIGATION_ACTUARIAL_GAIN_LOSS_DOM</x:t>
  </x:si>
  <x:si>
    <x:t xml:space="preserve">Capital Loss Carryforward, Current Year + 4 </x:t>
  </x:si>
  <x:si>
    <x:t xml:space="preserve">Capital Loss Carryforward, After Five Years </x:t>
  </x:si>
  <x:si>
    <x:t>IQ_PENSION_OBLIGATION_SUPPLE_PLANS_TOTAL_COST</x:t>
  </x:si>
  <x:si>
    <x:t>Transition Asset/Obligation Recog. Next Period</x:t>
  </x:si>
  <x:si>
    <x:t xml:space="preserve">Additions Based on Tax Positions - Current Yr. </x:t>
  </x:si>
  <x:si>
    <x:t>IQ_PENSION_ASSETS_PARTICIP_CONTRIBUTIONS_DOM</x:t>
  </x:si>
  <x:si>
    <x:t>IQ_OPEB_INCREASE_EFFECT_SERVICE_INT_COST_DOM</x:t>
  </x:si>
  <x:si>
    <x:t>IQ_OPEB_DECREASE_EFFECT_SERVICE_INT_COST_DOM</x:t>
  </x:si>
  <x:si>
    <x:t>COMPOUNDED ANNUAL GROWTH RATE OVER TWO YEARS</x:t>
  </x:si>
  <x:si>
    <x:t>IQ_OPEB_OBLIGATION_EMPLOYEE_CONTRIBUTIONS_DOM</x:t>
  </x:si>
  <x:si>
    <x:t>IQ_PENSION_OBLIGATION_OTHER_PLAN_ADJ_FOREIGN</x:t>
  </x:si>
  <x:si>
    <x:t xml:space="preserve">Capital Loss Carryforward, Current Year + 2 </x:t>
  </x:si>
  <x:si>
    <x:t>Adj. for Liability Recognized on Balance Sheet</x:t>
  </x:si>
  <x:si>
    <x:t>IQ_OPEB_TOTAL_COST_INCL_SUPPLE_PLANS_FOREIGN</x:t>
  </x:si>
  <x:si>
    <x:t>IQ_OPEB_OBLIGATION_ACTUARIAL_GAIN_LOSS_FOREIGN</x:t>
  </x:si>
  <x:si>
    <x:t>IQ_OPEB_ASSETS_EMPLOYER_CONTRIBUTIONS_FOREIGN</x:t>
  </x:si>
  <x:si>
    <x:t>IQ_OPEB_ASSETS_PARTICIP_CONTRIBUTIONS_FOREIGN</x:t>
  </x:si>
  <x:si>
    <x:t>EBITDA, Excl. Operating Leases / Interest Exp.</x:t>
  </x:si>
  <x:si>
    <x:t>IQ_SR_SUB_DEBT_EBITDA_EXCL_OPER_LEASES_CAPEX</x:t>
  </x:si>
  <x:si>
    <x:t>Unrecog. Tax Benefits, Beginning of the Period</x:t>
  </x:si>
  <x:si>
    <x:t>IQ_JR_SUB_DEBT_EBITDA_EXCL_OPER_LEASES_CAPEX</x:t>
  </x:si>
  <x:si>
    <x:t>Distributable Cash Shares (Diluted) (actual)</x:t>
  </x:si>
  <x:si>
    <x:t>Stock-Based Comp., Exploration/Drilling Exp.</x:t>
  </x:si>
  <x:si>
    <x:t>IQ_CURRENT_LONG_TERM_DEBT_AND_CAPITAL_LEASES</x:t>
  </x:si>
  <x:si>
    <x:t>2) Enable macros while opening the template.</x:t>
  </x:si>
  <x:si>
    <x:t>Distributable Cash Payout Ratio (Income Trusts)</x:t>
  </x:si>
  <x:si>
    <x:t>Total Sub. Debt/ EBITDA, Excl. Operating Leases</x:t>
  </x:si>
  <x:si>
    <x:t>IQ_TOTAL_SUB_DEBT_EBITDA_EXCL_OPER_LEASES_CAPEX</x:t>
  </x:si>
  <x:si>
    <x:t>Sr. Sub. Debt/EBITDA, Excl. Operating Leases</x:t>
  </x:si>
  <x:si>
    <x:t>Accumulated Amortization of Intangible Assets</x:t>
  </x:si>
  <x:si>
    <x:t xml:space="preserve">LT Debt (Incl. Cap. Leases) Due, Next 5 Yrs </x:t>
  </x:si>
  <x:si>
    <x:t xml:space="preserve">LT Debt (Incl. Cap. Leases) Due, After 5 Yrs </x:t>
  </x:si>
  <x:si>
    <x:t>Capital Lease Payment Due (Incl. Interest)+1</x:t>
  </x:si>
  <x:si>
    <x:t>Undrawn Credit Portion of Other (Residual Tag)</x:t>
  </x:si>
  <x:si>
    <x:t xml:space="preserve">Operating Lease Commitment Due, After 5 Yrs </x:t>
  </x:si>
  <x:si>
    <x:t>Cash from Operations to Current Liabilities (x)</x:t>
  </x:si>
  <x:si>
    <x:t>Current Portion of Operating Lease Liabilities</x:t>
  </x:si>
  <x:si>
    <x:t>Change in Operating Lease Liabilities Non-Cash</x:t>
  </x:si>
  <x:si>
    <x:t>Please contact S&amp;P Capital IQ Pro support with any questions or comments:</x:t>
  </x:si>
  <x:si>
    <x:t>Total Liability includes Total Debt, Minority Interest and Pref. Equity.</x:t>
  </x:si>
  <x:si>
    <x:r>
      <x:rPr>
        <x:rFont val="Arial"/>
        <x:sz val="8"/>
        <x:color rgb="ff000000"/>
        <x:b val="1"/>
      </x:rPr>
      <x:t>Step 1)</x:t>
    </x:r>
    <x:r>
      <x:rPr>
        <x:rFont val="Arial"/>
        <x:sz val="8"/>
        <x:color rgb="ff000000"/>
      </x:rPr>
      <x:t xml:space="preserve"> Hit 'HIDE' to hide rows with "NA" throughout. Hit 'UNHIDE' to undo.</x:t>
    </x:r>
  </x:si>
  <x:si>
    <x:t>Note: Average multiples are calculated using positive close values on each trading day within the frequency periods selected. Negative values are excluded from the calculation.</x:t>
  </x:si>
  <x:si>
    <x:t>Net (Inc.) Dec. in Loans Originated/Sold</x:t>
  </x:si>
  <x:si>
    <x:t>Weighted Avg. Diluted Shares Out. (actual)</x:t>
  </x:si>
  <x:si>
    <x:t>Right-of-Use Asset-Accumulated Depreciation</x:t>
  </x:si>
  <x:si>
    <x:t xml:space="preserve">Outstanding Balance for Term Loans - Total </x:t>
  </x:si>
  <x:si>
    <x:t>Diluted EPS Before Extra, 1 Year Growth (%)</x:t>
  </x:si>
  <x:si>
    <x:t>Current Long Term Debt and Capital Leases</x:t>
  </x:si>
  <x:si>
    <x:t>IQ_TOTAL_SUB_DEBT_EBITDA_EXCL_OPER_LEASES</x:t>
  </x:si>
  <x:si>
    <x:t>Sub. Debt/EBITDA, Excl. Operating Leases</x:t>
  </x:si>
  <x:si>
    <x:t>IQ_SUB_DEBT_EBITDA_EXCL_OPER_LEASES_CAPEX</x:t>
  </x:si>
  <x:si>
    <x:t>Right-of-Use Asset-Operating Lease-Gross</x:t>
  </x:si>
  <x:si>
    <x:t>Weighted Avg. Basic Shares Out. (actual)</x:t>
  </x:si>
  <x:si>
    <x:t>EBIT (Incl. Equity Inc. from Affiliates)</x:t>
  </x:si>
  <x:si>
    <x:t>Accumulated Allowance for Doubtful Accounts</x:t>
  </x:si>
  <x:si>
    <x:t>EBITDA (Incl. Equity Inc. from Affiliates)</x:t>
  </x:si>
  <x:si>
    <x:t>Net (Increase) Decrease in Loans Orig./Sold</x:t>
  </x:si>
  <x:si>
    <x:t>Net Cash from Discontinued Ops. - Investing</x:t>
  </x:si>
  <x:si>
    <x:t>Net Cash from Discontinued Ops. - Financing</x:t>
  </x:si>
  <x:si>
    <x:t>Senior Debt/EBITDA, Excl. Operating Leases</x:t>
  </x:si>
  <x:si>
    <x:r>
      <x:rPr>
        <x:rFont val="Arial"/>
        <x:sz val="8"/>
        <x:color rgb="ff000000"/>
        <x:b val="1"/>
      </x:rPr>
      <x:t>Step 1:</x:t>
    </x:r>
    <x:r>
      <x:rPr>
        <x:rFont val="Arial"/>
        <x:sz val="8"/>
        <x:color rgb="ff000000"/>
      </x:rPr>
      <x:t xml:space="preserve"> Enter Ticker-Exchange or Entity ID.</x:t>
    </x:r>
  </x:si>
  <x:si>
    <x:t>TEV includes Market Cap and Net Liability.</x:t>
  </x:si>
  <x:si>
    <x:t>EBITDAR (Incl. Equity Inc. from Affiliates)</x:t>
  </x:si>
  <x:si>
    <x:t>Distributable Cash Shares (Basic) (actual)</x:t>
  </x:si>
  <x:si>
    <x:t>Sale/(Purchase) of Real Estate Properties</x:t>
  </x:si>
  <x:si>
    <x:t>Level 3 Liabilities - Unobservable Prices</x:t>
  </x:si>
  <x:si>
    <x:t>Undrawn Credit Portion of Revolving Credit</x:t>
  </x:si>
  <x:si>
    <x:t>IQ_TOTAL_DEBT_EBITDA_EXCL_OPER_LEASES_CAPEX</x:t>
  </x:si>
  <x:si>
    <x:t>IQ_NET_DEBT_EBITDA_EXCL_OPER_LEASES_CAPEX</x:t>
  </x:si>
  <x:si>
    <x:t>Total Shares Out. on Filing Date (actual)</x:t>
  </x:si>
  <x:si>
    <x:t>Total Debt / EBITDA, Excl. Operating Leases</x:t>
  </x:si>
  <x:si>
    <x:t>IQ_SR_DEBT_EBITDA_EXCL_OPER_LEASES_CAPEX</x:t>
  </x:si>
  <x:si>
    <x:t>Ticker-Exchange Format: AKR-US or NYSE:AKR</x:t>
  </x:si>
  <x:si>
    <x:t>IQ_LIABILITIES_NETTING_OTHER_ADJUSTMENTS</x:t>
  </x:si>
  <x:si>
    <x:t xml:space="preserve">Tax Benefit Carryforward, Current Year + 1 </x:t>
  </x:si>
  <x:si>
    <x:t>W/Average Interest Rate: Long-term Debt (%)</x:t>
  </x:si>
  <x:si>
    <x:t xml:space="preserve">Contractual Obligations Due, After 5 Yrs </x:t>
  </x:si>
  <x:si>
    <x:t xml:space="preserve">Operating Lease Commitment Due, Next 5 Yrs </x:t>
  </x:si>
  <x:si>
    <x:t>Number of Other Customers (AUM) (actual)</x:t>
  </x:si>
  <x:si>
    <x:t>Number of Total Customers (AUM) (actual)</x:t>
  </x:si>
  <x:si>
    <x:t xml:space="preserve">Capital Loss Carryforward, Current Year </x:t>
  </x:si>
  <x:si>
    <x:t xml:space="preserve">Capital Loss Carryforward, No Expiration </x:t>
  </x:si>
  <x:si>
    <x:t xml:space="preserve">Contractual Obligations Due, Next 5 Yrs </x:t>
  </x:si>
  <x:si>
    <x:t xml:space="preserve">Max. Year for Capital Loss Carry Forward </x:t>
  </x:si>
  <x:si>
    <x:t>Number of Retail Customers (AUM) (actual)</x:t>
  </x:si>
  <x:si>
    <x:t>IQ_MAX_YR_FOR_CAPITAL_LOSS_CARRY_FORWARD</x:t>
  </x:si>
  <x:si>
    <x:t>Jr. Sub Debt/EBITDA, Excl. Operating Leases</x:t>
  </x:si>
  <x:si>
    <x:t>Breakdown of Amounts recognized in Other Comprehensive Income in BS</x:t>
  </x:si>
  <x:si>
    <x:t>EBITDA (Incl. Equity Inc. from Affiliates, Excl. Op. Lease Adj.)</x:t>
  </x:si>
  <x:si>
    <x:t>Common and/or Pref. Dividends Paid</x:t>
  </x:si>
  <x:si>
    <x:t>Long-Term Debt (Incl. Cap. Leases)</x:t>
  </x:si>
  <x:si>
    <x:t>Hedging and Derivative Adjustments</x:t>
  </x:si>
  <x:si>
    <x:t>Senior Debt / (EBITDA - Capex) (x)</x:t>
  </x:si>
  <x:si>
    <x:t>Senior Unsecured Bonds and Notes</x:t>
  </x:si>
  <x:si>
    <x:t>IQ_TOTAL_SR_SECURED_EBITDA_CAPEX</x:t>
  </x:si>
  <x:si>
    <x:t>IQ_SUB_DEBT_EBITDA_EXCL_OPER_LEASES</x:t>
  </x:si>
  <x:si>
    <x:t>Sub. Debt / (EBITDA - Capex) (x)</x:t>
  </x:si>
  <x:si>
    <x:t>Jr. Sub Debt / (EBITDA - Capex) (x)</x:t>
  </x:si>
  <x:si>
    <x:t xml:space="preserve">LT Debt (Incl. Cap. Leases) Due +2 </x:t>
  </x:si>
  <x:si>
    <x:t xml:space="preserve">LT Debt (Incl. Cap. Leases) Due +3 </x:t>
  </x:si>
  <x:si>
    <x:t>Market Cap / Forward Total Revenues</x:t>
  </x:si>
  <x:si>
    <x:t xml:space="preserve">LT Debt (Incl. Cap. Leases) Due +5 </x:t>
  </x:si>
  <x:si>
    <x:t>IQ_NET_DEBT_EBITDA_EXCL_OPER_LEASES</x:t>
  </x:si>
  <x:si>
    <x:t>IQ_SR_DEBT_EBITDA_EXCL_OPER_LEASES</x:t>
  </x:si>
  <x:si>
    <x:t xml:space="preserve">LT Debt (Incl. Cap. Leases) Due +1 </x:t>
  </x:si>
  <x:si>
    <x:t xml:space="preserve">LT Debt (Incl. Cap. Leases) Due +4 </x:t>
  </x:si>
  <x:si>
    <x:t>Options Exercised During the Period, Total (actual)</x:t>
  </x:si>
  <x:si>
    <x:t xml:space="preserve">Outstanding Balance for Commercial Paper - Total </x:t>
  </x:si>
  <x:si>
    <x:t>Net Debt/(EBITDA, Excl. Operating Leases - CAPEX)</x:t>
  </x:si>
  <x:si>
    <x:t>Mutual Fund - Market Appreciation / (Depreciation)</x:t>
  </x:si>
  <x:si>
    <x:t>Accumulated Depreciation, Excl. Operating Leases</x:t>
  </x:si>
  <x:si>
    <x:t>Total Debt/(EBITDA, Excl. Operating Leases - CAPEX)</x:t>
  </x:si>
  <x:si>
    <x:t xml:space="preserve">Interest and Penalties Recog. on BS - Before Tax </x:t>
  </x:si>
  <x:si>
    <x:t>Options Wtd Avg Strike Price of Outstd, Comm Stock</x:t>
  </x:si>
  <x:si>
    <x:t xml:space="preserve">Outstanding Balance for Revolving Credit - Total </x:t>
  </x:si>
  <x:si>
    <x:t xml:space="preserve">Debt Equiv. of Unfunded Proj. Benefit Obligation </x:t>
  </x:si>
  <x:si>
    <x:t>Options Cancelled During the Period, Total (actual)</x:t>
  </x:si>
  <x:si>
    <x:t>1% Increase - Effect on Service and Interest Cost</x:t>
  </x:si>
  <x:si>
    <x:t xml:space="preserve">Changes in Unrecog. Tax Benefit w/in 1 Year - Max </x:t>
  </x:si>
  <x:si>
    <x:t>Exp. Long-Term Rate of Return on Assets - Min (%)</x:t>
  </x:si>
  <x:si>
    <x:t>IQ_PENSION_OBLIGATION_SUPPLE_PLANS_TOTAL_COST_DOM</x:t>
  </x:si>
  <x:si>
    <x:t>1% Decrease - Effect on Service and Interest Cost</x:t>
  </x:si>
  <x:si>
    <x:t xml:space="preserve">Reductions Based on Tax Positions - Current Yr. </x:t>
  </x:si>
  <x:si>
    <x:t xml:space="preserve">Net Asset/Liability Recognized on Balance Sheet </x:t>
  </x:si>
  <x:si>
    <x:t>IQ_TOTAL_SR_SECURED_EBITDA_EXCL_OPER_LEASES_CAPEX</x:t>
  </x:si>
  <x:si>
    <x:t xml:space="preserve">Interest and Penalties Recog. on BS - After Tax </x:t>
  </x:si>
  <x:si>
    <x:t>Options Granted During the Period, Total (actual)</x:t>
  </x:si>
  <x:si>
    <x:t>Warrants Issued During the Period, Total (actual)</x:t>
  </x:si>
  <x:si>
    <x:t>Exp. Long-Term Rate of Return on Assets - Max (%)</x:t>
  </x:si>
  <x:si>
    <x:t>IQ_PENSION_OBLIGATION_EMPLOYEE_CONTRIBUTIONS_DOM</x:t>
  </x:si>
  <x:si>
    <x:t>Current Portion of LT Debt Derivative Instruments</x:t>
  </x:si>
  <x:si>
    <x:t>Total Shares Out. on Balance Sheet Date (actual)</x:t>
  </x:si>
  <x:si>
    <x:t>Jr. Sub Debt/(EBITDA, Excl. Operating Leases-CAPEX)</x:t>
  </x:si>
  <x:si>
    <x:t>Number of Institutional Customers (AUM) (actual)</x:t>
  </x:si>
  <x:si>
    <x:t>Sub. Debt/(EBITDA, Excl. Operating Leases-CAPEX)</x:t>
  </x:si>
  <x:si>
    <x:t>Interest and Penalties Recog. on IS - Before Tax</x:t>
  </x:si>
  <x:si>
    <x:t xml:space="preserve">Changes in Unrecog. Tax Benefit w/in 1 Year - Min </x:t>
  </x:si>
  <x:si>
    <x:t xml:space="preserve">Unrecog. Tax Benefit Impacting Effective Tax Rate </x:t>
  </x:si>
  <x:si>
    <x:t>IQ_OPEB_INCREASE_EFFECT_SERVICE_INT_COST_FOREIGN</x:t>
  </x:si>
  <x:si>
    <x:t>Total Senior Secured/EBITDA, Excl. Operating Leases</x:t>
  </x:si>
  <x:si>
    <x:t>IQ_OPEB_DECREASE_EFFECT_SERVICE_INT_COST_FOREIGN</x:t>
  </x:si>
  <x:si>
    <x:t>IQ_PENSION_OBLIGATION_ACTUARIAL_GAIN_LOSS_FOREIGN</x:t>
  </x:si>
  <x:si>
    <x:t>Long-Term Portion of Operating Lease Liabilities</x:t>
  </x:si>
  <x:si>
    <x:t>IQ_PENSION_ASSETS_PARTICIP_CONTRIBUTIONS_FOREIGN</x:t>
  </x:si>
  <x:si>
    <x:t>IQ_OPEB_OBLIGATION_EMPLOYEE_CONTRIBUTIONS_FOREIGN</x:t>
  </x:si>
  <x:si>
    <x:t xml:space="preserve">1% Decrease - Effect on Service and Interest Cost </x:t>
  </x:si>
  <x:si>
    <x:t>IQ_PENSION_ASSETS_EMPLOYER_CONTRIBUTIONS_FOREIGN</x:t>
  </x:si>
  <x:si>
    <x:t xml:space="preserve">1% Increase - Effect on Service and Interest Cost </x:t>
  </x:si>
  <x:si>
    <x:t>Level 3 Assets - Unobservable Prices</x:t>
  </x:si>
  <x:si>
    <x:t>Netting and Other Adj. to Liabilities</x:t>
  </x:si>
  <x:si>
    <x:t>Right-of-Use Asset-Operating Lease-Net</x:t>
  </x:si>
  <x:si>
    <x:t>Finance Division Short Term Debt, Total</x:t>
  </x:si>
  <x:si>
    <x:t>Finance Division Short-Term Investments</x:t>
  </x:si>
  <x:si>
    <x:t>Supplemental Operating Expense Items</x:t>
  </x:si>
  <x:si>
    <x:t>Shares per Depository Receipt (actual)</x:t>
  </x:si>
  <x:si>
    <x:t>Stock Options Comp. Exp., Before Tax</x:t>
  </x:si>
  <x:si>
    <x:t>Right-of-Use Asset-Capital Lease-Net</x:t>
  </x:si>
  <x:si>
    <x:t>Fair Value Change Included in Earnings</x:t>
  </x:si>
  <x:si>
    <x:t>Net Income per SFAS 123 (after Options)</x:t>
  </x:si>
  <x:si>
    <x:t>Tangible Book Value/Share (As Reported)</x:t>
  </x:si>
  <x:si>
    <x:t>Level 2 Liabilities - Observable Prices</x:t>
  </x:si>
  <x:si>
    <x:t>Finance Division Long Term Debt, Total</x:t>
  </x:si>
  <x:si>
    <x:t>Finance Division Cash and Equivalents</x:t>
  </x:si>
  <x:si>
    <x:t>IQ_DISTRIBUTABLE_CASH_SHARES_DILUTED</x:t>
  </x:si>
  <x:si>
    <x:t>IQ_EBITDA_EQ_INC_EXCL_OPER_LEASE_ADJ</x:t>
  </x:si>
  <x:si>
    <x:t>Pension &amp; Other Post-Retire. Benefits</x:t>
  </x:si>
  <x:si>
    <x:t>Right-of-Use Asset-Capital Lease-Gross</x:t>
  </x:si>
  <x:si>
    <x:t>Gain on Bargain Acquisition - Supple</x:t>
  </x:si>
  <x:si>
    <x:t>IQ_TOTAL_DEBT_EBITDA_EXCL_OPER_LEASES</x:t>
  </x:si>
  <x:si>
    <x:t>IQ_SR_SUB_DEBT_EBITDA_EXCL_OPER_LEASES</x:t>
  </x:si>
  <x:si>
    <x:t xml:space="preserve">Cap. Lease Payment Due, After 5 Yrs </x:t>
  </x:si>
  <x:si>
    <x:t>Average Interest Rate, After 5 Yrs (%)</x:t>
  </x:si>
  <x:si>
    <x:t>(EBITDA-CAPEX) / Interest Expense (x)</x:t>
  </x:si>
  <x:si>
    <x:t>Assets Under Management - Money Market</x:t>
  </x:si>
  <x:si>
    <x:t>Number of SME Customers (AUM) (actual)</x:t>
  </x:si>
  <x:si>
    <x:t>Non-Fee Earning Assets Under Management</x:t>
  </x:si>
  <x:si>
    <x:t>Undrawn Credit Portion of Term Loans</x:t>
  </x:si>
  <x:si>
    <x:t>Assets Under Management - Fixed Income</x:t>
  </x:si>
  <x:si>
    <x:t>IQ_MUTUAL_FUND_MKT_APPRECIATION_TO_DEPR</x:t>
  </x:si>
  <x:si>
    <x:t>Mutual Fund - Acquisitions and Other</x:t>
  </x:si>
  <x:si>
    <x:t>IQ_MUTUAL_FUND_ACQUISITIONS_AND_OTHER</x:t>
  </x:si>
  <x:si>
    <x:t>Sr. Sub. Debt / (EBITDA - Capex) (x)</x:t>
  </x:si>
  <x:si>
    <x:t>Daily Average Revenue Trades (actual)</x:t>
  </x:si>
  <x:si>
    <x:t>Asset Writedown &amp; Restructuring Costs</x:t>
  </x:si>
  <x:si>
    <x:t>AUM Market Appreciation/(Depreciation)</x:t>
  </x:si>
  <x:si>
    <x:t>Intercompany Non-Current Liabilities</x:t>
  </x:si>
  <x:si>
    <x:t>Total Senior Secured/(EBITDA-CAPEX) (x)</x:t>
  </x:si>
  <x:si>
    <x:t>Change In Other Net Operating Assets</x:t>
  </x:si>
  <x:si>
    <x:t>IQ_JR_SUB_DEBT_EBITDA_EXCL_OPER_LEASES</x:t>
  </x:si>
  <x:si>
    <x:t>Sale/(Purchase) of Intangible Assets</x:t>
  </x:si>
  <x:si>
    <x:t>Market Cap / LTM EBT Excl Unusual Items</x:t>
  </x:si>
  <x:si>
    <x:t xml:space="preserve">Outstanding Balance for Capital Leases </x:t>
  </x:si>
  <x:si>
    <x:t>Total Sub. Debt / (EBITDA - Capex) (x)</x:t>
  </x:si>
  <x:si>
    <x:t>Accumulated Amortization of Goodwill</x:t>
  </x:si>
  <x:si>
    <x:t>W/Average Interest Rate: Total Debt (%)</x:t>
  </x:si>
  <x:si>
    <x:t>Net Inc. Avail. for Common Margin (%)</x:t>
  </x:si>
  <x:si>
    <x:t>Total Liabilities / Total Assets (%)</x:t>
  </x:si>
  <x:si>
    <x:t>Net Debt/EBITDA, Excl. Operating Leases</x:t>
  </x:si>
  <x:si>
    <x:t>Sale of Property, Plant, and Equipment</x:t>
  </x:si>
  <x:si>
    <x:t>IQ_MAX_YR_FOR_TAX_BENEFIT_CARRY_FORWARD</x:t>
  </x:si>
  <x:si>
    <x:t>Health Care Cost Trend Rate, Ultimate</x:t>
  </x:si>
  <x:si>
    <x:t>IQ_PENSION_OBLIGATION_OTHER_COST_DOM</x:t>
  </x:si>
  <x:si>
    <x:t>Interest Capitalized During the Period</x:t>
  </x:si>
  <x:si>
    <x:t>IQ_OPEB_OBLIGATION_ACTUARIAL_GAIN_LOSS</x:t>
  </x:si>
  <x:si>
    <x:t>IQ_INTEREST_PENALTIES_RECOG_BS_PRE_TAX</x:t>
  </x:si>
  <x:si>
    <x:t>IQ_CHANGE_UNRECOG_TAX_BENEFIT_1_YR_MAX</x:t>
  </x:si>
  <x:si>
    <x:t>Assets under Cap. Lease, Accum. Depr.</x:t>
  </x:si>
  <x:si>
    <x:t xml:space="preserve">Tax Benefit Carryforward, Current Year </x:t>
  </x:si>
  <x:si>
    <x:t>Def. Benefit Total Cost of Supple Plans</x:t>
  </x:si>
  <x:si>
    <x:t>IQ_INTEREST_PENALTIES_RECOG_IS_PRE_TAX</x:t>
  </x:si>
  <x:si>
    <x:t>Net Periodic Cost Disc. Rate - Min (%)</x:t>
  </x:si>
  <x:si>
    <x:t>Net Periodic Cost Disc. Rate - Max (%)</x:t>
  </x:si>
  <x:si>
    <x:t>IQ_PENSION_PBO_RATE_COMP_INCREASE_MIN</x:t>
  </x:si>
  <x:si>
    <x:t>Other Adj. To Def. Benefit Obligation</x:t>
  </x:si>
  <x:si>
    <x:t>Net Actuarial Loss/Gain – Compr. Inc.</x:t>
  </x:si>
  <x:si>
    <x:t>PBO Assumed Rate of Return - Min (%)</x:t>
  </x:si>
  <x:si>
    <x:t>IQ_REDUCTION_TAX_POSITION_CURRENT_YR</x:t>
  </x:si>
  <x:si>
    <x:t>IQ_PENSION_OBLIGATION_OTHER_PLAN_ADJ</x:t>
  </x:si>
  <x:si>
    <x:t>IQ_PENSION_PBO_RATE_COMP_INCREASE_MAX</x:t>
  </x:si>
  <x:si>
    <x:t>Interest Capitalized, Beg. Of Period</x:t>
  </x:si>
  <x:si>
    <x:t>Est. Future Benefits Paid - Thereafter</x:t>
  </x:si>
  <x:si>
    <x:t>PBO Assumed Rate of Return - Max (%)</x:t>
  </x:si>
  <x:si>
    <x:t>IQ_CHANGE_UNRECOG_TAX_BENEFIT_1_YR_MIN</x:t>
  </x:si>
  <x:si>
    <x:t>Other Adj. (Net Benefit Asset/Liab.)</x:t>
  </x:si>
  <x:si>
    <x:t>IQ_PENSION_QUART_EMPLOYER_CONTRIBUTIONS</x:t>
  </x:si>
  <x:si>
    <x:t>IQ_PENSION_QUART_ADDL_CONTRIBUTIONS_EXP</x:t>
  </x:si>
  <x:si>
    <x:t>Def. Benefit Expected Return on Assets</x:t>
  </x:si>
  <x:si>
    <x:t>IQ_OPEB_ASSETS_EMPLOYER_CONTRIBUTIONS</x:t>
  </x:si>
  <x:si>
    <x:t>IQ_OPEB_ASSETS_PARTICIP_CONTRIBUTIONS</x:t>
  </x:si>
  <x:si>
    <x:t>Health Care Cost Trend Rate, Initial</x:t>
  </x:si>
  <x:si>
    <x:t>IQ_PENSION_OBLIGATION_CURTAIL_FOREIGN</x:t>
  </x:si>
  <x:si>
    <x:t>IQ_PENSION_EST_CONTRIBUTIONS_NEXTYR_DOM</x:t>
  </x:si>
  <x:si>
    <x:t>IQ_OPEB_HEALTH_COST_TREND_ULTIMATE_DOM</x:t>
  </x:si>
  <x:si>
    <x:t xml:space="preserve">Accum. Benefit Obligation (Pension)  </x:t>
  </x:si>
  <x:si>
    <x:t>IQ_PENSION_ASSETS_BENEFITS_PAID_FOREIGN</x:t>
  </x:si>
  <x:si>
    <x:t>IQ_PENSION_EXP_RATE_RETURN_MIN_FOREIGN</x:t>
  </x:si>
  <x:si>
    <x:t>IQ_PENSION_OBLIGATION_INTEREST_COST_DOM</x:t>
  </x:si>
  <x:si>
    <x:t>IQ_PENSION_EXP_RATE_RETURN_MAX_FOREIGN</x:t>
  </x:si>
  <x:si>
    <x:t>IQ_OPEB_PBO_RATE_COMP_INCREASE_MAX_DOM</x:t>
  </x:si>
  <x:si>
    <x:t>IQ_PENSION_OBLIGATION_FX_ADJ_FOREIGN</x:t>
  </x:si>
  <x:si>
    <x:t xml:space="preserve">Def. Benefit Expected Return on Assets </x:t>
  </x:si>
  <x:si>
    <x:t>IQ_PENSION_UNFUNDED_ADDL_MIN_LIAB_DOM</x:t>
  </x:si>
  <x:si>
    <x:t>IQ_OPEB_OBLIGATION_INTEREST_COST_DOM</x:t>
  </x:si>
  <x:si>
    <x:t>IQ_OPEB_OBLIGATION_OTHER_PLAN_ADJ_DOM</x:t>
  </x:si>
  <x:si>
    <x:t>IQ_PENSION_OBLIGATION_PROJECTED_FOREIGN</x:t>
  </x:si>
  <x:si>
    <x:t xml:space="preserve">Def. Benefit Employee Contributions </x:t>
  </x:si>
  <x:si>
    <x:t xml:space="preserve">Other Adj. To Def. Benefit Obligation </x:t>
  </x:si>
  <x:si>
    <x:t>IQ_PENSION_RATE_COMP_INCREASE_MAX_DOM</x:t>
  </x:si>
  <x:si>
    <x:t>IQ_PENSION_PBO_ASSUMED_RATE_RET_MIN_DOM</x:t>
  </x:si>
  <x:si>
    <x:t>IQ_OPEB_PBO_ASSUMED_RATE_RET_MAX_DOM</x:t>
  </x:si>
  <x:si>
    <x:t>IQ_OPEB_PBO_ASSUMED_RATE_RET_MIN_DOM</x:t>
  </x:si>
  <x:si>
    <x:t>IQ_OPEB_PBO_RATE_COMP_INCREASE_MIN_DOM</x:t>
  </x:si>
  <x:si>
    <x:t xml:space="preserve">Other Adj. (Net Benefit Asset/Liab.) </x:t>
  </x:si>
  <x:si>
    <x:t>IQ_OPEB_HEALTH_COST_TREND_INITIAL_DOM</x:t>
  </x:si>
  <x:si>
    <x:t>IQ_PENSION_ASSETS_ACTUAL_RETURN_FOREIGN</x:t>
  </x:si>
  <x:si>
    <x:t>IQ_PENSION_OBLIGATION_TOTAL_COST_DOM</x:t>
  </x:si>
  <x:si>
    <x:t>IQ_PENSION_ASSETS_OTHER_PLAN_ADJ_DOM</x:t>
  </x:si>
  <x:si>
    <x:t xml:space="preserve">Est. Future Benefits Paid - Thereafter </x:t>
  </x:si>
  <x:si>
    <x:t xml:space="preserve">Def. Benefit Settlement/Curtailment </x:t>
  </x:si>
  <x:si>
    <x:t>IQ_PENSION_PBO_ASSUMED_RATE_RET_MAX_DOM</x:t>
  </x:si>
  <x:si>
    <x:t>IQ_PENSION_RATE_COMP_INCREASE_MIN_DOM</x:t>
  </x:si>
  <x:si>
    <x:t>IQ_PENSION_OBLIGATION_SERVICE_COST_DOM</x:t>
  </x:si>
  <x:si>
    <x:t>IQ_OPEB_OBLIGATION_PROJECTED_FOREIGN</x:t>
  </x:si>
  <x:si>
    <x:t>IQ_PENSION_BREAKDOWN_PCT_OTHER_FOREIGN</x:t>
  </x:si>
  <x:si>
    <x:t>IQ_OPEB_ASSETS_OTHER_PLAN_ADJ_FOREIGN</x:t>
  </x:si>
  <x:si>
    <x:t>IQ_OPEB_RATE_COMP_INCREASE_MAX_FOREIGN</x:t>
  </x:si>
  <x:si>
    <x:t>IQ_PV_ADJ_OPERATING_LEASE_LIABILITIES</x:t>
  </x:si>
  <x:si>
    <x:t>IQ_OPEB_SUPPLE_PLANS_TOTAL_COST_FOREIGN</x:t>
  </x:si>
  <x:si>
    <x:t>IQ_PENSION_CI_OTHER_MISC_ADJ_FOREIGN</x:t>
  </x:si>
  <x:si>
    <x:t>IQ_CHANGE_OPER_LEASE_LIAB_WORKING_CAP</x:t>
  </x:si>
  <x:si>
    <x:t>IQ_CURRENT_PORTION_LEASE_LIABILITIES</x:t>
  </x:si>
  <x:si>
    <x:t>Unqualified with Additional Language</x:t>
  </x:si>
  <x:si>
    <x:t>IQ_OPEB_OBLIGATION_ACCUMULATED_FOREIGN</x:t>
  </x:si>
  <x:si>
    <x:t>IQ_PENSION_EST_BENEFIT_AFTER5_FOREIGN</x:t>
  </x:si>
  <x:si>
    <x:t xml:space="preserve">Health Care Cost Trend Rate, Ultimate </x:t>
  </x:si>
  <x:si>
    <x:t>IQ_EBITDA_EXCL_OPER_LEASES_CAPEX_INT</x:t>
  </x:si>
  <x:si>
    <x:r>
      <x:rPr>
        <x:rFont val="Arial"/>
        <x:sz val="8"/>
        <x:color rgb="ff000000"/>
        <x:b val="1"/>
      </x:rPr>
      <x:t>Step 2:</x:t>
    </x:r>
    <x:r>
      <x:rPr>
        <x:rFont val="Arial"/>
        <x:sz val="8"/>
        <x:color rgb="ff000000"/>
      </x:rPr>
      <x:t xml:space="preserve"> Enter required Period Format.</x:t>
    </x:r>
  </x:si>
  <x:si>
    <x:t xml:space="preserve">Health Care Cost Trend Rate, Initial </x:t>
  </x:si>
  <x:si>
    <x:t>IQ_OPEB_RATE_COMP_INCREASE_MIN_FOREIGN</x:t>
  </x:si>
  <x:si>
    <x:t>IQ_PENSION_PRIOR_SERVICE_NEXT_FOREIGN</x:t>
  </x:si>
  <x:si>
    <x:t>IQ_OPEB_OBLIGATION_SERVICE_COST_FOREIGN</x:t>
  </x:si>
  <x:si>
    <x:t>IQ_OPEB_ASSETS_ACTUAL_RETURN_FOREIGN</x:t>
  </x:si>
  <x:si>
    <x:t>IQ_OPEB_ASSETS_BENEFITS_PAID_FOREIGN</x:t>
  </x:si>
  <x:si>
    <x:t xml:space="preserve">NOL Carryforward, Current Year + 3 </x:t>
  </x:si>
  <x:si>
    <x:t>Interest Capitalized, Other Adj.</x:t>
  </x:si>
  <x:si>
    <x:t xml:space="preserve">NOL Carryforward, No Expiration </x:t>
  </x:si>
  <x:si>
    <x:t>IQ_UNRECOG_TAX_BENEFIT_BEG_PERIOD</x:t>
  </x:si>
  <x:si>
    <x:t>Assets on Oper. Lease, Accum. Depr.</x:t>
  </x:si>
  <x:si>
    <x:t>Interest Capitalized, Written-off</x:t>
  </x:si>
  <x:si>
    <x:t xml:space="preserve">Total Capital Loss Carryforward </x:t>
  </x:si>
  <x:si>
    <x:t>Interest Capitalized, End Of Period</x:t>
  </x:si>
  <x:si>
    <x:t>IQ_REDUCTION_TAX_POSITION_PRIOR_YRS</x:t>
  </x:si>
  <x:si>
    <x:t xml:space="preserve">Settlements with Tax Authorities </x:t>
  </x:si>
  <x:si>
    <x:t xml:space="preserve">NOL Carryforward, Current Year + 4 </x:t>
  </x:si>
  <x:si>
    <x:t xml:space="preserve">Lapse of Statute of Limitations </x:t>
  </x:si>
  <x:si>
    <x:t xml:space="preserve">Max. Year for NOL Carry Forward </x:t>
  </x:si>
  <x:si>
    <x:t xml:space="preserve">Unrecog. Tax Benefits - Other Adj. </x:t>
  </x:si>
  <x:si>
    <x:t xml:space="preserve">NOL Carryforward, After Five Years </x:t>
  </x:si>
  <x:si>
    <x:t>IQ_UNRECOG_TAX_BENEFIT_END_PERIOD</x:t>
  </x:si>
  <x:si>
    <x:t>IQ_UNRECOG_TAX_BENEFIT_OTHER_ADJ</x:t>
  </x:si>
  <x:si>
    <x:t>Assets on Operating Lease - Gross</x:t>
  </x:si>
  <x:si>
    <x:t>Assets under Capital Lease - Gross</x:t>
  </x:si>
  <x:si>
    <x:t>Number of Trades Executed (actual)</x:t>
  </x:si>
  <x:si>
    <x:t>IQ_CAPITALIZED_INTEREST_WRITE_OFF</x:t>
  </x:si>
  <x:si>
    <x:t xml:space="preserve">NOL Carryforward, Current Year + 1 </x:t>
  </x:si>
  <x:si>
    <x:t xml:space="preserve">NOL Carryforward, Current Year + 2 </x:t>
  </x:si>
  <x:si>
    <x:t>IQ_MUTUAL_FUNDS_BEGINNING_OF_PERIOD</x:t>
  </x:si>
  <x:si>
    <x:t>IQ_CAPITALIZED_INTEREST_OTHER_ADJ</x:t>
  </x:si>
  <x:si>
    <x:t>Net Liability includes Total Liability, net of Cash and Equivalents.</x:t>
  </x:si>
  <x:si>
    <x:t>IQ_DEBT_TO_CAPITAL</x:t>
  </x:si>
  <x:si>
    <x:t>Total Revenues(%)</x:t>
  </x:si>
  <x:si>
    <x:t>Common Equity (%)</x:t>
  </x:si>
  <x:si>
    <x:t>SUPPLEMENTAL ITEMS</x:t>
  </x:si>
  <x:si>
    <x:t>IQ_AUDITOR_OPINION</x:t>
  </x:si>
  <x:si>
    <x:t>Copyright © 2026 S&amp;P Global Market Intelligence LLC (and its affiliates as applicable) – All rights reserved.</x:t>
  </x:si>
  <x:si>
    <x:t>Total Senior Debt</x:t>
  </x:si>
  <x:si>
    <x:t>IQ_SECURED_DEBT_PCT</x:t>
  </x:si>
  <x:si>
    <x:t>IQ_UNDRAWN_CREDIT</x:t>
  </x:si>
  <x:si>
    <x:t>IQ_BANK_DEBT_PCT</x:t>
  </x:si>
  <x:si>
    <x:t>Securitized Debt</x:t>
  </x:si>
  <x:si>
    <x:t>Second Lien Loans</x:t>
  </x:si>
  <x:si>
    <x:t>IQ_FIXED_RATE_DEBT</x:t>
  </x:si>
  <x:si>
    <x:t>Zero Coupon Debt</x:t>
  </x:si>
  <x:si>
    <x:t>Available Credit</x:t>
  </x:si>
  <x:si>
    <x:t>IQ_ZERO_COUPON_DEBT</x:t>
  </x:si>
  <x:si>
    <x:t>IQ_UNSECURED_DEBT</x:t>
  </x:si>
  <x:si>
    <x:t>IQ_CURRENT_PORT_PCT</x:t>
  </x:si>
  <x:si>
    <x:t>IQ_TOTAL_SUB_DEBT</x:t>
  </x:si>
  <x:si>
    <x:t>Variable Rate Debt</x:t>
  </x:si>
  <x:si>
    <x:t>IQ_OTHER_UNDRAWN</x:t>
  </x:si>
  <x:si>
    <x:t>IQ_TOTAL_SR_SECURED</x:t>
  </x:si>
  <x:si>
    <x:t>IQ_SECURITIZED_DEBT</x:t>
  </x:si>
  <x:si>
    <x:t>IQ_SECOND_LIEN_DEBT</x:t>
  </x:si>
  <x:si>
    <x:t>Second Lien Debt</x:t>
  </x:si>
  <x:si>
    <x:t>IQ_JR_SUB_DEBT_PCT</x:t>
  </x:si>
  <x:si>
    <x:t>IQ_NONRECOURSE_DEBT</x:t>
  </x:si>
  <x:si>
    <x:t>IQ_NET_DEBT_EBITDA</x:t>
  </x:si>
  <x:si>
    <x:t>IQ_SR_SECURED_LOANS</x:t>
  </x:si>
  <x:si>
    <x:t>IQ_DEBT_TO_EBITDA</x:t>
  </x:si>
  <x:si>
    <x:t>IQ_SR_DEBT_EBITDA</x:t>
  </x:si>
  <x:si>
    <x:t>IQ_SR_SUB_DEBT_PCT</x:t>
  </x:si>
  <x:si>
    <x:t>IQ_SUB_DEBT_EBITDA</x:t>
  </x:si>
  <x:si>
    <x:t>Additional Totals</x:t>
  </x:si>
  <x:si>
    <x:t>Non - Recourse Debt</x:t>
  </x:si>
  <x:si>
    <x:t>IQ_CL_DUE_NEXT_FIVE</x:t>
  </x:si>
  <x:si>
    <x:t xml:space="preserve">Total Adjustments </x:t>
  </x:si>
  <x:si>
    <x:t>IQ_TRUST_PREFERRED</x:t>
  </x:si>
  <x:si>
    <x:t>IQ_TOTAL_PRINCIPAL</x:t>
  </x:si>
  <x:si>
    <x:t>IQ_UNAMORT_PREMIUM</x:t>
  </x:si>
  <x:si>
    <x:t>IQ_TERM_LOANS_PCT</x:t>
  </x:si>
  <x:si>
    <x:t>IQ_SR_BONDS_NOTES</x:t>
  </x:si>
  <x:si>
    <x:t>IQ_SUB_BONDS_NOTES</x:t>
  </x:si>
  <x:si>
    <x:t>IQ_OTHER_DEBT_PCT</x:t>
  </x:si>
  <x:si>
    <x:t>IQ_UNAMORT_DISC_PCT</x:t>
  </x:si>
  <x:si>
    <x:t xml:space="preserve">This model and/or any data in it are provided subject to the written agreement of S&amp;P Global Market </x:t>
  </x:si>
  <x:si>
    <x:t>EBIT (Excl. SBC and Incl. Equity Inc. from Affiliates)</x:t>
  </x:si>
  <x:si>
    <x:t>Senior Debt/(EBITDA, Excl. Operating Leases - CAPEX)</x:t>
  </x:si>
  <x:si>
    <x:t>Sr. Sub. Debt/(EBITDA, Excl. Operating Leases-CAPEX)</x:t>
  </x:si>
  <x:si>
    <x:t>Options Out. at the End of the Period, Total (actual)</x:t>
  </x:si>
  <x:si>
    <x:t>Weighted Avg. Assumptions on Def. Benefit Obligation</x:t>
  </x:si>
  <x:si>
    <x:t>IQ_PENSION_OBLIGATION_TOTAL_COST_INCL_SUPPLE_PLANS_DOM</x:t>
  </x:si>
  <x:si>
    <x:t>Warrants Out. at the End of the Period, Total (actual)</x:t>
  </x:si>
  <x:si>
    <x:r>
      <x:rPr>
        <x:rFont val="Arial"/>
        <x:sz val="8"/>
        <x:color rgb="ff000000"/>
        <x:b val="1"/>
      </x:rPr>
      <x:t>Step 4:</x:t>
    </x:r>
    <x:r>
      <x:rPr>
        <x:rFont val="Arial"/>
        <x:sz val="8"/>
        <x:color rgb="ff000000"/>
      </x:rPr>
      <x:t xml:space="preserve"> Select Currency, Magnitude &amp; Conversion Method.</x:t>
    </x:r>
  </x:si>
  <x:si>
    <x:t>Warrants W/Average Strike Price of Issued (Reported)</x:t>
  </x:si>
  <x:si>
    <x:t>Total Sub. Debt/(EBITDA, Excl. Operating Leases-CAPEX)</x:t>
  </x:si>
  <x:si>
    <x:t>Warrants Out. at the Beginning of the Period (actual)</x:t>
  </x:si>
  <x:si>
    <x:t>Warrants Exercised During the Period, Total (actual)</x:t>
  </x:si>
  <x:si>
    <x:t>Warrants Cancelled During the Period, Total (actual)</x:t>
  </x:si>
  <x:si>
    <x:t>Present Value Adjustment on Operating Lease Liabilities</x:t>
  </x:si>
  <x:si>
    <x:t>IQ_PENSION_OBLIGATION_SUPPLE_PLANS_TOTAL_COST_FOREIGN</x:t>
  </x:si>
  <x:si>
    <x:t>Depreciation &amp; Amort., Total, Excl. Operating Leases</x:t>
  </x:si>
  <x:si>
    <x:t>IQ_PENSION_OBLIGATION_EMPLOYEE_CONTRIBUTIONS_FOREIGN</x:t>
  </x:si>
  <x:si>
    <x:t>EBITA (Excl. SBC and Incl. Equity Inc. from Affiliates)</x:t>
  </x:si>
  <x:si>
    <x:t>(EBITDA, Excl. Operating Leases-CAPEX)/Interest Exp.</x:t>
  </x:si>
  <x:si>
    <x:t>3) For best performance, save this file to your computer, close and then reopen.</x:t>
  </x:si>
  <x:si>
    <x:t>Intelligence LLC governing the subscription service to which this model is applied.</x:t>
  </x:si>
  <x:si>
    <x:t>IQ_ST_DEBT_ISSUED</x:t>
  </x:si>
  <x:si>
    <x:t>IQ_LT_DEBT_ISSUED</x:t>
  </x:si>
  <x:si>
    <x:t>IQ_SPECIAL_DIV_CF</x:t>
  </x:si>
  <x:si>
    <x:t>IQ_CASH_MISC_ADJUST</x:t>
  </x:si>
  <x:si>
    <x:t>IQ_INVEST_LOANS_CF</x:t>
  </x:si>
  <x:si>
    <x:t>IQ_ST_DEBT_REPAID</x:t>
  </x:si>
  <x:si>
    <x:t>IQ_UNLEVERED_FCF</x:t>
  </x:si>
  <x:si>
    <x:t>Maintenance CAPEX</x:t>
  </x:si>
  <x:si>
    <x:t>IQ_CASH_NET_CHANGE</x:t>
  </x:si>
  <x:si>
    <x:t>Cash from Financing</x:t>
  </x:si>
  <x:si>
    <x:t>Total Debt Issued</x:t>
  </x:si>
  <x:si>
    <x:t>Net Change in Cash</x:t>
  </x:si>
  <x:si>
    <x:t>IQ_DO_FINANCE_CF</x:t>
  </x:si>
  <x:si>
    <x:t>TEV / NTM EBITDA</x:t>
  </x:si>
  <x:si>
    <x:t>Cash from Investing</x:t>
  </x:si>
  <x:si>
    <x:t>Price / Book Value</x:t>
  </x:si>
  <x:si>
    <x:t>IQ_COMMON_ISSUED</x:t>
  </x:si>
  <x:si>
    <x:t>IQ_CASH_INTEREST</x:t>
  </x:si>
  <x:si>
    <x:t xml:space="preserve">Standard Deviation </x:t>
  </x:si>
  <x:si>
    <x:t>IQ_MARKETCAP_LFCF</x:t>
  </x:si>
  <x:si>
    <x:t>IQ_SALE_INTAN_CF</x:t>
  </x:si>
  <x:si>
    <x:t>IQ_COMMON_DIV_CF</x:t>
  </x:si>
  <x:si>
    <x:t>Cash Interest Paid</x:t>
  </x:si>
  <x:si>
    <x:t>IQ_NET_DEBT_ISSUED</x:t>
  </x:si>
  <x:si>
    <x:t>Price / NTM CFPS</x:t>
  </x:si>
  <x:si>
    <x:t>Shares Outstanding</x:t>
  </x:si>
  <x:si>
    <x:t>IQ_LT_DEBT_REPAID</x:t>
  </x:si>
  <x:si>
    <x:t>Total Debt Repaid</x:t>
  </x:si>
  <x:si>
    <x:t>TEV / LTM EBITDA</x:t>
  </x:si>
  <x:si>
    <x:t>DEBT SUMMARY DATA</x:t>
  </x:si>
  <x:si>
    <x:t>IQ_CASH_ACQUIRE_CF</x:t>
  </x:si>
  <x:si>
    <x:t>Cash Acquisitions</x:t>
  </x:si>
  <x:si>
    <x:t>IQ_STOCK_BASED_CF</x:t>
  </x:si>
  <x:si>
    <x:t>IQ_OTHER_OPER_ACT</x:t>
  </x:si>
  <x:si>
    <x:t>IQ_CHANGE_INVENTORY</x:t>
  </x:si>
  <x:si>
    <x:t>IQ_CREDIT_LOSS_CF</x:t>
  </x:si>
  <x:si>
    <x:t>IQ_INC_EQUITY_CF</x:t>
  </x:si>
  <x:si>
    <x:t>IQ_CHANGE_INC_TAX</x:t>
  </x:si>
  <x:si>
    <x:t>IQ_CHANGE_DEF_TAX</x:t>
  </x:si>
  <x:si>
    <x:t>Capital Expenditure</x:t>
  </x:si>
  <x:si>
    <x:t>IQ_SECOND_LIEN_BONDS_NOTES_PCT</x:t>
  </x:si>
  <x:si>
    <x:t>IQ_SR_UNSECURED_BONDS_NOTES_PCT</x:t>
  </x:si>
  <x:si>
    <x:t>Total Senior Secured/EBITDA (x)</x:t>
  </x:si>
  <x:si>
    <x:t>Total Debt/(EBITDA-CAPEX) (x)</x:t>
  </x:si>
  <x:si>
    <x:t>Total Sub. Debt / EBITDA (x)</x:t>
  </x:si>
  <x:si>
    <x:t>IQ_TOTAL_SUB_DEBT_EBITDA_CAPEX</x:t>
  </x:si>
  <x:si>
    <x:t>Market Cap / LTM Levered FCF</x:t>
  </x:si>
  <x:si>
    <x:t>Market Cap / LTM Total Revenues</x:t>
  </x:si>
  <x:si>
    <x:t xml:space="preserve">Unamortized Premium - Total </x:t>
  </x:si>
  <x:si>
    <x:t xml:space="preserve">General or Other Borrowings </x:t>
  </x:si>
  <x:si>
    <x:t xml:space="preserve">Subordinated Bonds and Notes </x:t>
  </x:si>
  <x:si>
    <x:t xml:space="preserve">Unamortized Discount - Total </x:t>
  </x:si>
  <x:si>
    <x:t>Undrawn Credit Portion of CP</x:t>
  </x:si>
  <x:si>
    <x:t>Undrawn Securitized Facilities</x:t>
  </x:si>
  <x:si>
    <x:t>Cash &amp; Short Term Investments</x:t>
  </x:si>
  <x:si>
    <x:t>IQ_LT_DEBT_CAPITAL_LEASES_PCT</x:t>
  </x:si>
  <x:si>
    <x:t>Senior Secured Bonds and Notes</x:t>
  </x:si>
  <x:si>
    <x:t>IQ_SR_SECURED_BONDS_NOTES_PCT</x:t>
  </x:si>
  <x:si>
    <x:t>IQ_TOTAL_EMPLOYEES</x:t>
  </x:si>
  <x:si>
    <x:t>IQ_AVG_EMPLOYEES</x:t>
  </x:si>
  <x:si>
    <x:t>Intangibles (Net)</x:t>
  </x:si>
  <x:si>
    <x:t>IQ_INTERCOMPANY_CA</x:t>
  </x:si>
  <x:si>
    <x:t>IQ_ASSETS_LEVEL_3</x:t>
  </x:si>
  <x:si>
    <x:t>IQ_ORDER_BACKLOG</x:t>
  </x:si>
  <x:si>
    <x:t>IQ_ACCUM_AMORT_GW</x:t>
  </x:si>
  <x:si>
    <x:t>IQ_INTERCOMPANY_CL</x:t>
  </x:si>
  <x:si>
    <x:t>Other Amortization</x:t>
  </x:si>
  <x:si>
    <x:t>IQ_GAIN_ASSETS_CF</x:t>
  </x:si>
  <x:si>
    <x:t>IQ_GAIN_INVEST_CF</x:t>
  </x:si>
  <x:si>
    <x:t>IQ_RUA_ACCUM_DEP</x:t>
  </x:si>
  <x:si>
    <x:t xml:space="preserve">Book Value/Share </x:t>
  </x:si>
  <x:si>
    <x:t>Accounts Payable</x:t>
  </x:si>
  <x:si>
    <x:t>IQ_UNEARN_REV_LT</x:t>
  </x:si>
  <x:si>
    <x:t xml:space="preserve">    Total Assets</x:t>
  </x:si>
  <x:si>
    <x:t>IQ_PREF_NON_REDEEM</x:t>
  </x:si>
  <x:si>
    <x:t>Pref. Stock, Other</x:t>
  </x:si>
  <x:si>
    <x:t>IQ_NET_WORKING_CAP</x:t>
  </x:si>
  <x:si>
    <x:t>IQ_RESTRICTED_CASH</x:t>
  </x:si>
  <x:si>
    <x:t>IQ_OTHER_LT_ASSETS</x:t>
  </x:si>
  <x:si>
    <x:t>IQ_DEF_CHARGES_LT</x:t>
  </x:si>
  <x:si>
    <x:t>IQ_CAPITAL_LEASES</x:t>
  </x:si>
  <x:si>
    <x:t>IQ_FIN_DIV_DEBT_LT</x:t>
  </x:si>
  <x:si>
    <x:t>IQ_ALLOW_DOUBT_ACCT</x:t>
  </x:si>
  <x:si>
    <x:t>IQ_EQUITY_METHOD</x:t>
  </x:si>
  <x:si>
    <x:t>IQ_FIN_DIV_LIAB_LT</x:t>
  </x:si>
  <x:si>
    <x:t>Net Working Capital</x:t>
  </x:si>
  <x:si>
    <x:t>IQ_OTHER_CA_SUPPL</x:t>
  </x:si>
  <x:si>
    <x:t>IQ_ASSETS_LEVEL_1</x:t>
  </x:si>
  <x:si>
    <x:t>IQ_ASSETS_LEVEL_2</x:t>
  </x:si>
  <x:si>
    <x:t>IQ_OTHER_LIAB_LT</x:t>
  </x:si>
  <x:si>
    <x:t>Other Intangibles</x:t>
  </x:si>
  <x:si>
    <x:t>IQ_FIN_DIV_LOANS_LT</x:t>
  </x:si>
  <x:si>
    <x:t>IQ_LOANS_RECEIV_LT</x:t>
  </x:si>
  <x:si>
    <x:t>IQ_OTHER_CL_SUPPL</x:t>
  </x:si>
  <x:si>
    <x:t>Retained Earnings</x:t>
  </x:si>
  <x:si>
    <x:t>IQ_ST_NOTE_RECEIV</x:t>
  </x:si>
  <x:si>
    <x:t>Total Receivables</x:t>
  </x:si>
  <x:si>
    <x:t>IQ_DEF_TAX_LIAB_LT</x:t>
  </x:si>
  <x:si>
    <x:t>Minority Interest</x:t>
  </x:si>
  <x:si>
    <x:t>Notes Receivable</x:t>
  </x:si>
  <x:si>
    <x:t>Loans Held For Sale</x:t>
  </x:si>
  <x:si>
    <x:t>IQ_NI_CF</x:t>
  </x:si>
  <x:si>
    <x:t>No Change</x:t>
  </x:si>
  <x:si>
    <x:t>IQ_DA_CF</x:t>
  </x:si>
  <x:si>
    <x:t>IQ_LOANS_CF</x:t>
  </x:si>
  <x:si>
    <x:t>IQ_DO_CF</x:t>
  </x:si>
  <x:si>
    <x:t>IQ_CAPEX</x:t>
  </x:si>
  <x:si>
    <x:t>IQ_GW_NET</x:t>
  </x:si>
  <x:si>
    <x:t>IQ_GROSS_GW</x:t>
  </x:si>
  <x:si>
    <x:t>IQ_PENSION_OBLIGATION_OTHER_COST</x:t>
  </x:si>
  <x:si>
    <x:t>Def. Benefit Actuarial Gain/Losses</x:t>
  </x:si>
  <x:si>
    <x:t>Rate of Comp. Increase - Max (%)</x:t>
  </x:si>
  <x:si>
    <x:t>Defined Benefit Net Periodic Cost</x:t>
  </x:si>
  <x:si>
    <x:t>IQ_PENSION_OBLIGATION_INTEREST_COST</x:t>
  </x:si>
  <x:si>
    <x:t>Est. Future Benefits Paid - 1st Yr</x:t>
  </x:si>
  <x:si>
    <x:t>Accum. Benefit Obligation (Pension)</x:t>
  </x:si>
  <x:si>
    <x:t>Rate of Comp. Increase - Min (%)</x:t>
  </x:si>
  <x:si>
    <x:t>Est. Future Benefits Paid - 3rd Yr</x:t>
  </x:si>
  <x:si>
    <x:t>Est. Future Benefits Paid - 4th Yr</x:t>
  </x:si>
  <x:si>
    <x:t>IQ_PENSION_ACCUMULATED_OBLIGATION</x:t>
  </x:si>
  <x:si>
    <x:t>Net Amount Recognized – Compr. Inc.</x:t>
  </x:si>
  <x:si>
    <x:t>IQ_PENSION_PBO_ASSUMED_RATE_RET_MAX</x:t>
  </x:si>
  <x:si>
    <x:t>Est. Future Benefits Paid - 2nd Yr</x:t>
  </x:si>
  <x:si>
    <x:t>IQ_PENSION_RATE_COMP_INCREASE_MIN</x:t>
  </x:si>
  <x:si>
    <x:t>IQ_PENSION_CONTRIBUTION_TOTAL_COST</x:t>
  </x:si>
  <x:si>
    <x:t>Est. Future Benefits Paid - 5th Yr</x:t>
  </x:si>
  <x:si>
    <x:t>IQ_PENSION_OBLIGATION_SERVICE_COST</x:t>
  </x:si>
  <x:si>
    <x:t>IQ_PENSION_RATE_COMP_INCREASE_MAX</x:t>
  </x:si>
  <x:si>
    <x:t>IQ_PENSION_PBO_ASSUMED_RATE_RET_MIN</x:t>
  </x:si>
  <x:si>
    <x:t>Balance Sheet Reconciliation Items</x:t>
  </x:si>
  <x:si>
    <x:t>Def. Benefit Employee Contributions</x:t>
  </x:si>
  <x:si>
    <x:t>Def. Benefit Settlement/Curtailment</x:t>
  </x:si>
  <x:si>
    <x:t>IQ_PENSION_OBLIGATION_TOTAL_COST</x:t>
  </x:si>
  <x:si>
    <x:t>IQ_PENSION_ASSETS_OTHER_PLAN_ADJ</x:t>
  </x:si>
  <x:si>
    <x:t>IQ_STOCK_BASED_AT</x:t>
  </x:si>
  <x:si>
    <x:t>IQ_RESTR_STOCK_COMP</x:t>
  </x:si>
  <x:si>
    <x:t>Dividends per share</x:t>
  </x:si>
  <x:si>
    <x:t>As Reported EBITDA</x:t>
  </x:si>
  <x:si>
    <x:t>Distributable Cash</x:t>
  </x:si>
  <x:si>
    <x:t>IQ_EBIT_EXCL_SBC</x:t>
  </x:si>
  <x:si>
    <x:t>Payout Ratio (%)</x:t>
  </x:si>
  <x:si>
    <x:t>IQ_US_GAAP_DILUT_NI</x:t>
  </x:si>
  <x:si>
    <x:t>IQ_SALES_MARKETING</x:t>
  </x:si>
  <x:si>
    <x:t>IQ_TOTAL_OPER_EXPEN</x:t>
  </x:si>
  <x:si>
    <x:t>IQ_EBITDA_EXCL_SBC</x:t>
  </x:si>
  <x:si>
    <x:t>EBIT (Excl. SBC)</x:t>
  </x:si>
  <x:si>
    <x:t>Advertising Expense</x:t>
  </x:si>
  <x:si>
    <x:t>Calculation Type</x:t>
  </x:si>
  <x:si>
    <x:t>IQ_STOCK_BASED_COGS</x:t>
  </x:si>
  <x:si>
    <x:t>IQ_STOCK_BASED_SM</x:t>
  </x:si>
  <x:si>
    <x:t>IQ_EBITDAR_EXCL_SBC</x:t>
  </x:si>
  <x:si>
    <x:t>IQ_EBITDA_REPORTED</x:t>
  </x:si>
  <x:si>
    <x:t>IQ_STOCK_BASED_GA</x:t>
  </x:si>
  <x:si>
    <x:t>IQ_STOCK_BASED_SGA</x:t>
  </x:si>
  <x:si>
    <x:t>EBITDAR (Excl. SBC)</x:t>
  </x:si>
  <x:si>
    <x:t>Diluted Net Income</x:t>
  </x:si>
  <x:si>
    <x:t>IQ_EBITDAR_EQ_INC</x:t>
  </x:si>
  <x:si>
    <x:t>IQ_FINL_FILING_DATE</x:t>
  </x:si>
  <x:si>
    <x:t>Total Current Taxes</x:t>
  </x:si>
  <x:si>
    <x:t>IQ_EFFECT_TAX_RATE</x:t>
  </x:si>
  <x:si>
    <x:t>Restatement Type</x:t>
  </x:si>
  <x:si>
    <x:t>Marketing Expense</x:t>
  </x:si>
  <x:si>
    <x:t>EBITDA (Excl. SBC)</x:t>
  </x:si>
  <x:si>
    <x:t>IQ_STOCK_BASED_RD</x:t>
  </x:si>
  <x:si>
    <x:t>Accounts Receivable</x:t>
  </x:si>
  <x:si>
    <x:t>Other Receivables</x:t>
  </x:si>
  <x:si>
    <x:t>IQ_STOCK_BASED_COMP</x:t>
  </x:si>
  <x:si>
    <x:t>IQ_TOTAL_OTHER_OPER</x:t>
  </x:si>
  <x:si>
    <x:t>Other Unusual Items</x:t>
  </x:si>
  <x:si>
    <x:t>IQ_OTHER_UNUSUAL</x:t>
  </x:si>
  <x:si>
    <x:t>Last Twelve Months</x:t>
  </x:si>
  <x:si>
    <x:t>IQ_CASH_ST_INVEST</x:t>
  </x:si>
  <x:si>
    <x:t>Cost Of Goods Sold</x:t>
  </x:si>
  <x:si>
    <x:t>IQ_GAIN_ASSETS_REV</x:t>
  </x:si>
  <x:si>
    <x:t>IQ_CURRENCY_GAIN</x:t>
  </x:si>
  <x:si>
    <x:t>IQ_IMPAIRMENT_GW</x:t>
  </x:si>
  <x:si>
    <x:t>Operating Income</x:t>
  </x:si>
  <x:si>
    <x:t>Legal Settlements</x:t>
  </x:si>
  <x:si>
    <x:t>IQ_TEV_TOTAL_REV</x:t>
  </x:si>
  <x:si>
    <x:t>SP_TEV_EBITDA_FWD</x:t>
  </x:si>
  <x:si>
    <x:t>IQ_FIN_DIV_INT_EXP</x:t>
  </x:si>
  <x:si>
    <x:t>IQ_GAIN_INVEST_REV</x:t>
  </x:si>
  <x:si>
    <x:t>Valuation multiples</x:t>
  </x:si>
  <x:si>
    <x:t>Pre-Opening Costs</x:t>
  </x:si>
  <x:si>
    <x:t>IQ_PRE_OPEN_COST</x:t>
  </x:si>
  <x:si>
    <x:t>Interest Expense</x:t>
  </x:si>
  <x:si>
    <x:t>Net Interest Exp.</x:t>
  </x:si>
  <x:si>
    <x:t>IQ_EXPLORE_DRILL</x:t>
  </x:si>
  <x:si>
    <x:t>IQ_ASSET_WRITEDOWN</x:t>
  </x:si>
  <x:si>
    <x:t>IQ_TOTAL_UNUSUAL</x:t>
  </x:si>
  <x:si>
    <x:t>Conversion Method</x:t>
  </x:si>
  <x:si>
    <x:t>Income Tax Expense</x:t>
  </x:si>
  <x:si>
    <x:t>Total Common Equity</x:t>
  </x:si>
  <x:si>
    <x:t>IQ_PROV_BAD_DEBTS</x:t>
  </x:si>
  <x:si>
    <x:t>IQ_NET_INTEREST_EXP</x:t>
  </x:si>
  <x:si>
    <x:t>IQ_EXTRA_ACC_ITEMS</x:t>
  </x:si>
  <x:si>
    <x:t>IQ_NET_INC_PARENT</x:t>
  </x:si>
  <x:si>
    <x:t>SP_GROSS_MARGIN_EST</x:t>
  </x:si>
  <x:si>
    <x:t>IQ_GW_INTAN_AMORT</x:t>
  </x:si>
  <x:si>
    <x:t>IQ_NI_AVAIL_EXCL</x:t>
  </x:si>
  <x:si>
    <x:t>IQ_EBITDA_EQ_INC</x:t>
  </x:si>
  <x:si>
    <x:t>IQ_DILUT_EPS_NORM</x:t>
  </x:si>
  <x:si>
    <x:t>IQ_BASIC_EPS_NORM</x:t>
  </x:si>
  <x:si>
    <x:t>Revenues per Share</x:t>
  </x:si>
  <x:si>
    <x:t>IQ_TOTAL_REV_SHARE</x:t>
  </x:si>
  <x:si>
    <x:t>Supplemental Items</x:t>
  </x:si>
  <x:si>
    <x:t>IQ_NI_AVAIL_INCL</x:t>
  </x:si>
  <x:si>
    <x:t>IQ_PREF_DIV_OTHER</x:t>
  </x:si>
  <x:si>
    <x:t>Omani Rial</x:t>
  </x:si>
  <x:si>
    <x:t>Samoan Tala</x:t>
  </x:si>
  <x:si>
    <x:t>Qatari Rial</x:t>
  </x:si>
  <x:si>
    <x:t>Saudi Riyal</x:t>
  </x:si>
  <x:si>
    <x:t>Thai Baht</x:t>
  </x:si>
  <x:si>
    <x:t>Swiss Franc</x:t>
  </x:si>
  <x:si>
    <x:t>Uae Dirham</x:t>
  </x:si>
  <x:si>
    <x:t>Trillions</x:t>
  </x:si>
  <x:si>
    <x:t>Thousands</x:t>
  </x:si>
  <x:si>
    <x:t>Billions</x:t>
  </x:si>
  <x:si>
    <x:t>IQ_OPEB_CL</x:t>
  </x:si>
  <x:si>
    <x:t>Net Property, Plant and Equip. (%)</x:t>
  </x:si>
  <x:si>
    <x:t>Assets Under Management - Foreign</x:t>
  </x:si>
  <x:si>
    <x:t>IQ_AUM_ACQUISITIONS_AND_TRANSFERS</x:t>
  </x:si>
  <x:si>
    <x:t xml:space="preserve">Operating Lease Commitment Due +2 </x:t>
  </x:si>
  <x:si>
    <x:t>Mutual Funds Beginning of Period</x:t>
  </x:si>
  <x:si>
    <x:t xml:space="preserve">Contractual Obligations Due + 2 </x:t>
  </x:si>
  <x:si>
    <x:t>IQ_CONTRACT_OBLIGATION_AFTER_FIVE</x:t>
  </x:si>
  <x:si>
    <x:t>Unlevered Free Cash Flow Margin (%)</x:t>
  </x:si>
  <x:si>
    <x:t xml:space="preserve">Contractual Obligations Due + 5 </x:t>
  </x:si>
  <x:si>
    <x:t>Assets Under Management - Equity</x:t>
  </x:si>
  <x:si>
    <x:t>Fee-Earning Assets Under Management</x:t>
  </x:si>
  <x:si>
    <x:t xml:space="preserve">Operating Lease Commitment Due +4 </x:t>
  </x:si>
  <x:si>
    <x:t xml:space="preserve">Contractual Obligations Due + 4 </x:t>
  </x:si>
  <x:si>
    <x:t>Earnings from Cont Ops Margin (%)</x:t>
  </x:si>
  <x:si>
    <x:t>Accounts Receivable Turnover (x)</x:t>
  </x:si>
  <x:si>
    <x:t>Assets Under Management - Domestic</x:t>
  </x:si>
  <x:si>
    <x:t>Normalized Net Income Margin (%)</x:t>
  </x:si>
  <x:si>
    <x:t xml:space="preserve">Cap. Lease Payment Due, Next 5 Yrs </x:t>
  </x:si>
  <x:si>
    <x:t xml:space="preserve">Operating Lease Commitment Due +3 </x:t>
  </x:si>
  <x:si>
    <x:t xml:space="preserve">Operating Lease Commitment Due +5 </x:t>
  </x:si>
  <x:si>
    <x:t xml:space="preserve">Contractual Obligations Due + 3 </x:t>
  </x:si>
  <x:si>
    <x:t>IQ_CONTRACT_OBLIGATION_NEXT_FIVE</x:t>
  </x:si>
  <x:si>
    <x:t xml:space="preserve">Operating Lease Commitment Due +1 </x:t>
  </x:si>
  <x:si>
    <x:t>Levered Free Cash Flow Margin (%)</x:t>
  </x:si>
  <x:si>
    <x:t>Earnings From Cont. Operations (%)</x:t>
  </x:si>
  <x:si>
    <x:t>睊扂䕁䅍睢睂䡁䅫䅉療䝁䅙䅉呂䙁䅁睒時䕁䅍睢瑂䡁䅁兙畂䡁䅫睘䱂䝁䅕入呂䡁䅑兙あ䡁䅍睘㉂䑁䅉睘畂䝁䅕睤畁䡁䅧䅢穂䝁䄰兘䑂䝁䅅䅣灂䡁䅑兙獂䙁䄸睕あ䡁䅉兤橂䡁䅑兤祂䝁䅕睘呂䡁䅕兢瑂䝁䅅杣㕂䍁䅣光歁䕁䅍䅊㉁䅁䅁杖䅣䭁䅁䅁湁䙁䅳睑療䡁䅁入杁䝁䄸杚杁䙁䅍䅕䡂䙁䄸睑療䝁䄰䅣桂䝁䄴入時䕁䅳党㕂䙁䅍䅤桂䡁䅑督時䡁䅙杍時䝁䄴党㍂䍁䄴䅥獂䡁䅍兢摂䕁䅍兙睂䝁䅫䅤桂䝁䅷睘呂䡁䅑杣ㅂ䝁䅍䅤ㅂ䡁䅉党時䙁䅍兤瑂䝁䄰兙祂䡁䅫睊桁䍁䅑兒歁䑁䅙杏歁䕁䄸䅊㉁䅁䅁睖䅣䕁䅷䅁乂䝁䅫睙祂䝁䄸督療䝁䅙䅤杁䕁䅍睢祂䡁䅁睢祂䝁䅅䅤灂䝁䄸杢杁䍁䅧杔䉂䙁䅍䅒䉂䙁䅅睒呂䑁䅯兔呂䕁䅙䅖灁䅁䅁朲䅣䭁䅙䅁湁䙁䅳睑療䡁䅁入杁䝁䄸杚杁䙁䅍䅕䡂䙁䄸睑療䝁䄰䅣桂䝁䄴入時䕁䅳党㕂䙁䅍䅤桂䡁䅑督時䡁䅙杍時䝁䄴党㍂䍁䄴䅥獂䡁䅍兢摂䕁䅍兙睂䝁䅫䅤桂䝁䅷睘呂䡁䅑杣ㅂ䝁䅍䅤ㅂ䡁䅉党時䙁䅍兤瑂䝁䄰兙祂䡁䅫睊桁䍁䅑睑歁䑁䅅兎㙁䍁䅑睑歁䑁䅅睎睁䅁䅁䅗䅣䭁䅑䅁湁䙁䅳睑療䡁䅁入杁䝁䄸杚杁䙁䅍䅕䡂䙁䄸睑療䝁䄰䅣桂䝁䄴入時䕁䅳党㕂䙁䅍䅤桂䡁䅑督時䡁䅙杍時䝁䄴党㍂䍁䄴䅥獂䡁䅍兢摂䕁䅍兙睂䝁䅫䅤桂䝁䅷睘呂䡁䅑杣ㅂ䝁䅍䅤ㅂ䡁䅉党時䙁䅍兤瑂䝁䄰兙祂䡁䅫睊桁䍁䅑䅒歁䑁䅉兏㙁䍁䅑䅒歁䑁䅧䅍䅁䙁䡷䅁歃䅁䅁睊扂䕁䅍睢睂䡁䅫䅉療䝁䅙䅉呂䙁䅁睒時䕁䅍睢瑂䡁䅁兙畂䡁䅫睘䱂䝁䅕入呂䡁䅑兙あ䡁䅍睘㉂䑁䅉睘畂䝁䅕睤畁䡁䅧䅢穂䝁䄰兘䑂䝁䅅䅣灂䡁䅑兙獂䙁䄸睕あ䡁䅉兤橂䡁䅑兤祂䝁䅕睘呂䡁䅕兢瑂䝁䅅杣㕂䍁䅣光歁䕁䅙䅊硁䑁䅅杏歁䙁䅁䅊硁䑁䅅䅁摂睂䅁䅣䅁䍁䅣睗䑂䝁䄸䅣㕂䍁䅁睢浂䍁䅁睕兂䕁䅣睘䑂䝁䄸兢睂䝁䅅杢㕂䙁䄸睓求䡁䅫睕あ䝁䅅䅤穂䙁䄸杤祁䙁䄸杢求䡁䅣杌㑂䝁䅷督瑂䙁䄰杕桂䡁䅑兡療䡁䅍睊桁䍁䅑睑歁䑁䅙䅁敂睂䅁䅦䅁䍁䅣睗䑂䝁䄸䅣㕂䍁䅁睢浂䍁䅁睕兂䕁䅣睘䑂䝁䄸兢睂䝁䅅杢㕂䙁䄸睓求䡁䅫睕あ䝁䅅䅤穂䙁䄸杤祁䙁䄸杢求䡁䅣杌㑂䝁䅷督瑂䙁䄰睕ㅂ䡁䅁䅣獂䝁䅕兢求䝁䄴䅤桂䝁䅷睊桁䍁䅑睑歁䑁䅙䅁楂睂䅁䅪䅁䍁䅣睗䑂䝁䄸䅣㕂䍁䅁睢浂䍁䅁睕兂䕁䅣睘䑂䝁䄸兢睂䝁䅅杢㕂䙁䄸睓求䡁䅫睕あ䝁䅅䅤穂䙁䄸杤祁䙁䄸杢求䡁䅣杌㑂䝁䅷督瑂䙁䄰睕ㅂ䡁䅁䅣獂䝁䅕兢求䝁䄴䅤桂䝁䅷睊桁䍁䅑睑歁䑁䅅免㙁䍁䅑睑歁䑁䅅李㑁䅁䅁䅚䅣䥁䅙䅁湁䙁䅳睑療䡁䅁入杁䝁䄸杚杁䙁䅍䅕䡂䙁䄸睑療䝁䄰䅣桂䝁䄴入時䕁䅳党㕂䙁䅍䅤桂䡁䅑督時䡁䅙杍時䝁䄴党㍂䍁䄴䅥獂䡁䅍兢摂䙁䅍兤睂䡁䅁䅢求䝁䄰党畂䡁䅑兙獂䍁䅣光歁䕁䅑䅊㍁䑁䅯䅊䩂䍁䅑睎䅁䝁䡕䅁䝃䅁䅁睊扂䕁䅍睢睂䡁䅫䅉療䝁䅙䅉呂䙁䅁睒時䕁䅍睢瑂䡁䅁兙畂䡁䅫睘䱂䝁䅕入呂䡁䅑兙あ䡁䅍睘㉂䑁䅉睘畂䝁䅕睤畁䡁䅧䅢穂䝁䄰兘兂䝁䅕杢穂䝁䅫睢畂䍁䄰睔兂䕁䅕村湁䍁䅅䅊䕂䍁䅑李㙁䍁䅑兓歁䑁䅙䅁湂睂䅁杤䅁䍁䅣睗䑂䝁䄸䅣㕂䍁䅁睢浂䍁䅁睕兂䕁䅣睘䑂䝁䄸兢睂䝁䅅杢㕂䙁䄸睓求䡁䅫睕あ䝁䅅䅤穂䙁䄸杤祁䙁䄸杢求䡁䅣杌㑂䝁䅷督瑂䙁䄰睓求䡁䅫睘呂䡁䅑兙あ䡁䅍睊桁䍁䅑杒歁䑁䅫䅁牂睂䅁䅥䅁䍁䅣睗䑂䝁䄸䅣㕂䍁䅁睢浂䍁䅁睕兂䕁䅣睘䑂䝁䄸兢睂䝁䅅杢㕂䙁䄸睓求䡁䅫睕あ䝁䅅䅤穂䙁䄸杤祁䙁䄸杢求䡁䅣杌㑂䝁䅷督瑂䙁䄰睓求䡁䅫睘呂䡁䅑兙あ䡁䅍睊桁䍁䅑杒歁䑁䅅兎䅁䝁䠰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䕂䍁䅑䅎ぁ䅁䅁睢䅣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䅅兑歁䑁䅙䅁睂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䅒歁䑁䅅杍䅁䡁䡅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䱂䍁䅑睎㉁䅁䅁督䅣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䅕䅊硁䑁䅉䅁ㅂ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䅓歁䑁䅅杍䅁䡁䡙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䝂䍁䅑免祁䅁䅁睤䅣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䅯䅊硁䑁䅉䅁㕂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村歁䑁䅑䅎䅁䡁䡳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䑂䍁䅑䅎ぁ䅁䅁䅦䅣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䅕䅊ぁ䑁䅑䅁㥂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䅒歁䑁䅣李䅁䥁䡙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䝂䍁䅑䅎ぁ䅁䅁杦䅣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䅣䅊㍁䑁䅙䅁䩃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睒歁䑁䅑䅎䅁䡁䠸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䥂䍁䅑䅎ぁ䅁䅁內䅣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䅍䅊㍁䑁䅙䅁䙃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兓歁䑁䅣李䅁䥁䡳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䭂䍁䅑睎㉁䅁䅁䅪䅣䥁䅑䅁湁䙁䅳睑療䡁䅁入杁䝁䄸杚杁䙁䅍䅕䡂䙁䄸睑療䝁䄰䅣桂䝁䄴入時䕁䅳党㕂䙁䅍䅤桂䡁䅑督時䡁䅙杍時䝁䄴党㍂䍁䄴䅥獂䡁䅍兢摂䕁䅳党㕂䙁䄸睕あ䝁䅅䅤穂䍁䅣光歁䕁䄴䅊祁䑁䅕杏歁䙁䅁䅊祁䑁䅕䅁偃睂䅁䅙䅁䕁䄸䅣あ䝁䅫睢畂䡁䅍杏䑂䡁䅕杣祂䑁䄰兖呂䕁䅑䅌乂䝁䅅睚㥁䕁䄰兡獂䝁䅷兡療䝁䄴督獁䕁䅍睢畂䡁䅙兔求䡁䅑䅡療䝁䅑児乂䙁䅉睕睂䝁䄸䅤䅁䩁䡑䅁䥂䅁䅁睔睂䡁䅑兡療䝁䄴督㙁䕁䅍兤祂䡁䅉児噂䙁䅍䅒獁䕁䅍睢畂䡁䅙兔求䡁䅑䅡療䝁䅑児呂䍁䅷杔䉂䑁䄰杔䉂䅁䅁儱䅣䝁䅷䅁偂䡁䅁䅤灂䝁䄸杢穂䑁䅯睑ㅂ䡁䅉杣㥁䙁䅕睕䕂䍁䅷兔桂䝁䅣児乂䝁䅫䅢獂䝁䅫睢畂䡁䅍䅌䑂䝁䄸杢㉂䕁䄰党あ䝁䅧睢歂䑁䄰兔卂䙁䅍䅣療䡁䅑䅌佂䕁䅅児佂䕁䅅䅁坃睂䅁杉䅁䙁䅍䅕時䕁䅷兑呂䙁䅑睕䉂䕁䅷兒兂䙁䅉兓䑂䕁䅕䅁塃睂䅁杒䅁䕁䄸䅣あ䝁䅫睢畂䡁䅍杏䑂䡁䅕杣祂䑁䄰兖呂䕁䅑䅌䑂䝁䄸杢㉂䕁䄰党あ䝁䅧睢歂䑁䄰兔卂䙁䅍䅣療䡁䅑䅁奃睂䅁杕䅁䕁䄸䅣あ䝁䅫睢畂䡁䅍杏䑂䡁䅕杣祂䑁䄰兖呂䕁䅑䅌䑂䝁䄸杢㉂䕁䄰党あ䝁䅧睢歂䑁䄰兔卂䙁䅍䅣療䡁䅑䅌佂䕁䅅児佂䕁䅅䅁婃睂䅁来䅁䍁䅣睗䑂䝁䄸䅣㕂䍁䅁睢浂䍁䅁睕兂䕁䅣睘䑂䝁䄸兢睂䝁䅅杢㕂䙁䄸睓求䡁䅫睕あ䝁䅅䅤穂䙁䄸杤祁䙁䄸杢求䡁䅣杌㑂䝁䅷督瑂䙁䄰睓求䡁䅫睘呂䡁䅑兙あ䡁䅍睊桁䍁䅑村歁䑁䅅䅍㑁䅁䅁杮䅣䡁䅯䅁湁䙁䅳睑療䡁䅁入杁䝁䄸杚杁䙁䅍䅕䡂䙁䄸睑療䝁䄰䅣桂䝁䄴入時䕁䅳党㕂䙁䅍䅤桂䡁䅑督時䡁䅙杍時䝁䄴党㍂䍁䄴䅥獂䡁䅍兢摂䕁䅳党㕂䙁䄸睕あ䝁䅅䅤穂䍁䅣光歁䕁䅙䅊硁䑁䅁䅏䅁䭁䡅䅁䥃䅁䅁睊扂䕁䅍睢睂䡁䅫䅉療䝁䅙䅉呂䙁䅁睒時䕁䅍睢瑂䡁䅁兙畂䡁䅫睘䱂䝁䅕入呂䡁䅑兙あ䡁䅍睘㉂䑁䅉睘畂䝁䅕睤畁䡁䅧䅢穂䝁䄰兘䱂䝁䅕入時䙁䅍䅤桂䡁䅑督湁䍁䅅䅊䙂䍁䅑免睁䑁䅣杏歁䕁䅙䅊硁䑁䅁睎䅁䭁䡍䅁允䅁䅁杒剂䑁䅍杍睁䑁䅉兎䅁䭁䡧䅁㑂䅁䅁睊扂䕁䅍睢睂䡁䅫䅉療䝁䅙䅉呂䙁䅁睒時䕁䅍睢瑂䡁䅁兙畂䡁䅫睘䱂䝁䅕入呂䡁䅑兙あ䡁䅍睘㉂䑁䅉睘畂䝁䅕睤畁䡁䅧䅢穂䝁䄰兘乂䡁䅕䅢あ䝁䅫䅣獂䝁䅕督湁䍁䅅䅊䕂䍁䅑免睁䅁䅁共䅣䥁䅁䅁湁䙁䅳睑療䡁䅁入杁䝁䄸杚杁䙁䅍䅕䡂䙁䄸睑療䝁䄰䅣桂䝁䄴入時䕁䅳党㕂䙁䅍䅤桂䡁䅑督時䡁䅙杍時䝁䄴党㍂䍁䄴䅥獂䡁䅍兢摂䕁䄰兤獂䡁䅑兡睂䝁䅷党穂䍁䅣光歁䕁䅕䅊㉁䑁䅯䅊䵂䍁䅑李䅁䭁䡯䅁䅃䅁䅁睊扂䕁䅍睢睂䡁䅫䅉療䝁䅙䅉呂䙁䅁睒時䕁䅍睢瑂䡁䅁兙畂䡁䅫睘䱂䝁䅕入呂䡁䅑兙あ䡁䅍睘㉂䑁䅉睘畂䝁䅕睤畁䡁䅧䅢穂䝁䄰兘乂䡁䅕䅢あ䝁䅫䅣獂䝁䅕督湁䍁䅅䅊䙂䍁䅑睎㙁䍁䅑䅔歁䑁䅣䅁獃睂䅁䅧䅁䍁䅣睗䑂䝁䄸䅣㕂䍁䅁睢浂䍁䅁睕兂䕁䅣睘䑂䝁䄸兢睂䝁䅅杢㕂䙁䄸睓求䡁䅫睕あ䝁䅅䅤穂䙁䄸杤祁䙁䄸杢求䡁䅣杌㑂䝁䅷督瑂䙁䄰兔ㅂ䝁䅷䅤灂䡁䅁䅢求䡁䅍睊桁䍁䅑兒歁䑁䅫杏歁䕁䅷䅊㕁䅁䅁兲䅣䩁䅑䅁湁䙁䅳睑療䡁䅁入杁䝁䄸杚杁䙁䅍䅕䡂䙁䄸睑療䝁䄰䅣桂䝁䄴入時䕁䅳党㕂䙁䅍䅤桂䡁䅑督時䡁䅙杍時䝁䄴党㍂䍁䄴䅥獂䡁䅍兢摂䕁䅫杢橂䝁䄸兢求䙁䄸睕あ䝁䅅䅤求䝁䄰党畂䡁䅑睊桁䍁䅑睑歁䑁䅅免㙁䍁䅑睑歁䑁䅉䅍祁䅁䅁睲䅣䅁䅯䅁䝂䙁䅅兌ぁ䅁䅁杵䅣䭁䅙䅁湁䙁䅳睑療䡁䅁入杁䝁䄸杚杁䙁䅍䅕䡂䙁䄸睑療䝁䄰䅣桂䝁䄴入時䕁䅳党㕂䙁䅍䅤桂䡁䅑督時䡁䅙杍時䝁䄴党㍂䍁䄴䅥獂䡁䅍兢摂䕁䅍兙睂䝁䅫䅤桂䝁䅷睘呂䡁䅑杣ㅂ䝁䅍䅤ㅂ䡁䅉党時䙁䅍兤瑂䝁䄰兙祂䡁䅫睊桁䍁䅑睑歁䑁䅅兎㙁䍁䅑睑歁䑁䅅睎硁䅁䅁睶䅣䍁䅧䅁橁䕁䅫杔坂䕁䅅䅔䩂䕁䅑䅉䕂䕁䅅䅖䙂䍁䅁杕䉂䕁䄴睒䙂䅁䅁兹䅣䉁䅯䅁䩂䙁䅅睘兂䕁䅕睘䍂䕁䅕杒偂䙁䅉兒䅁䵁䡯䅁敁䅁䅁睕兂䕁䅣兔䩂䍁䄴䅒桂䡁䅑兙䡂䝁䅷兤求䅁䅁睹䅣䥁䅷䅁湁䙁䅳睑療䡁䅁入杁䝁䄸杚杁䙁䅍䅕䡂䙁䄸睑療䝁䄰䅣桂䝁䄴入時䕁䅳党㕂䙁䅍䅤桂䡁䅑督時䡁䅙杍時䝁䄴党㍂䍁䄴䅥獂䡁䅍兢摂䙁䅍兤睂䡁䅁䅢求䝁䄰党畂䡁䅑兙獂䍁䅣光歁䕁䅍䅊硁䑁䅅杏歁䕁䅍䅊硁䑁䅙䅎䅁䵁䠰䅁楂䅁䅁睔睂䡁䅑兡療䝁䄴督㙁䕁䅍兤祂䡁䅉児噂䙁䅍䅒獁䕁䄰兙湂䑁䄰兔灂䝁䅷䅢灂䝁䄸杢穂䍁䅷睑療䝁䄴杤乂䝁䅕䅤潂䝁䄸䅚㥁䙁䅍䅌佂䕁䅅児佂䕁䅅䅁佄睂䅁杄䅁䕁䅙兗祁䑁䅁杍ㅁ䅁䅁儲䅣䡁䅉䅁扂䙁䅍䅕䡂䙁䄸睑療䝁䄰䅣桂䝁䄴入時䕁䅳党㕂䙁䅍䅤桂䡁䅑督時䡁䅙杍畁䡁䅧䅢穂䝁䄰兘䩂䝁䄴睙療䝁䄰党時䙁䅍䅤桂䡁䅑党瑂䝁䅕杢あ䍁䅅䅊䙂䍁䅑睎㙁䍁䅑兕歁䑁䅣䅁汄睂䅁䅡䅁䙁䅳睕兂䕁䅣睘䑂䝁䄸兢睂䝁䅅杢㕂䙁䄸睓求䡁䅫睕あ䝁䅅䅤穂䙁䄸杤祁䍁䄴䅥獂䡁䅍兢摂䕁䅳党㕂䙁䄸睕あ䝁䅅䅤穂䍁䅅䅊䑂䍁䅑杍㑁䑁䅯䅊䑂䍁䅑兎祁䅁䅁䄶䅣䥁䅯䅁湁䙁䅳睑療䡁䅁入杁䝁䄸杚杁䙁䅍䅕䡂䙁䄸睑療䝁䄰䅣桂䝁䄴入時䕁䅳党㕂䙁䅍䅤桂䡁䅑督時䡁䅙免時䕁䅙兡畂䝁䅅䅢畁䡁䅧䅢穂䝁䄰兘兂䝁䅕杢穂䝁䅫睢畂䍁䄰睔兂䕁䅕村湁䍁䅅䅊䕂䍁䅑睎㙁䍁䅑兓歁䑁䅣䅁慃䅃䅁䅡䅁䙁䅳睕兂䕁䅣睘䑂䝁䄸兢睂䝁䅅杢㕂䙁䄸睓求䡁䅫睕あ䝁䅅䅤穂䙁䄸杤祁䍁䄴䅥獂䡁䅍兢摂䕁䅳党㕂䙁䄸睕あ䝁䅅䅤穂䍁䅅䅊䙂䍁䅑杍㉁䑁䅯䅊䭂䍁䅑杍㉁䅁䅁儶䅣䝁䅧䅁扂䙁䅍䅕䡂䙁䄸睑療䝁䄰䅣桂䝁䄴入時䕁䅳党㕂䙁䅍䅤桂䡁䅑督時䡁䅙杍畁䡁䅧䅢穂䝁䄰兘䱂䝁䅕入時䙁䅍䅤桂䡁䅑督桁䍁䅑䅒歁䑁䅉䅏㙁䍁䅑䅒歁䑁䅕杍䅁佁䡷䅁捂䅁䅁睗呂䙁䅁睒時䕁䅍睢瑂䡁䅁兙畂䡁䅫睘䱂䝁䅕入呂䡁䅑兙あ䡁䅍睘㉂䑁䅉杌㑂䝁䅷督瑂䙁䄰睓求䡁䅫睘呂䡁䅑兙あ䡁䅍光歁䕁䅕䅊㉁䑁䅉䅁癄睂䅁䅢䅁䙁䅳睕兂䕁䅣睘䑂䝁䄸兢睂䝁䅅杢㕂䙁䄸睓求䡁䅫睕あ䝁䅅䅤穂䙁䄸杤祁䍁䄴䅥獂䡁䅍兢摂䕁䅳党㕂䙁䄸睕あ䝁䅅䅤穂䍁䅅䅊䑂䍁䅑免睁䑁䅫杏歁䕁䅍䅊硁䑁䅅兎䅁偁䡑䅁潂䅁䅁睗呂䙁䅁睒時䕁䅍睢瑂䡁䅁兙畂䡁䅫睘䱂䝁䅕入呂䡁䅑兙あ䡁䅍睘㉂䑁䅉杌㑂䝁䅷督瑂䙁䄰睓求䡁䅫睘呂䡁䅑兙あ䡁䅍光歁䕁䅍䅊㉁䑁䅕杏歁䕁䅍䅊㍁䑁䅅䅁睄睂䅁杘䅁䙁䅳睕兂䕁䅣睘䑂䝁䄸兢睂䝁䅅杢㕂䙁䄸睓求䡁䅫睕あ䝁䅅䅤穂䙁䄸杤祁䍁䄴䅥獂䡁䅍兢摂䕁䅳党㕂䙁䄸睕あ䝁䅅䅤穂䍁䅅䅊䍂䍁䅑免睁䑁䅣䅁㉄睂䅁䅢䅁䙁䅳睕兂䕁䅣睘䑂䝁䄸兢睂䝁䅅杢㕂䙁䄸睓求䡁䅫睕あ䝁䅅䅤穂䙁䄸杤祁䍁䄴䅥獂䡁䅍兢摂䕁䅳党㕂䙁䄸睕あ䝁䅅䅤穂䍁䅅䅊䙂䍁䅑免睁䑁䅣杏歁䕁䅙䅊硁䑁䅁睎䅁偁䡫䅁獂䅁䅁睗呂䙁䅁睒時䕁䅍睢瑂䡁䅁兙畂䡁䅫睘䱂䝁䅕入呂䡁䅑兙あ䡁䅍睘㉂䑁䅉杌㑂䝁䅷督瑂䙁䄰村桂䝁䅷兙畂䝁䅍党時䙁䅍䅡求䝁䅕䅤桁䍁䅑兒歁䑁䅙杏歁䙁䅅䅊㉁䅁䅁眫䅣䡁䅉䅁扂䙁䅍䅕䡂䙁䄸睑療䝁䄰䅣桂䝁䄴入時䕁䅳党㕂䙁䅍䅤桂䡁䅑督時䡁䅙杍畁䡁䅧䅢穂䝁䄰兘䍂䝁䅅䅢桂䝁䄴睙求䙁䄸睕潂䝁䅕党あ䍁䅅䅊䑂䍁䅑免硁䑁䅯䅊䑂䍁䅑杍睁䑁䅑䅁㡄睂䅁䅣䅁䙁䅳睕兂䕁䅣睘䑂䝁䄸兢睂䝁䅅杢㕂䙁䄸睓求䡁䅫睕あ䝁䅅䅤穂䙁䄸杤祁䍁䄴䅥獂䡁䅍兢摂䕁䅍兙睂䝁䅫䅤桂䝁䅷兡㙂䝁䅅䅤灂䝁䄸杢桁䍁䅑睑歁䑁䅫杏歁䕁䅍䅊祁䑁䅑䅁䅁䅃䅁杢䅁䙁䅳睕兂䕁䅣睘䑂䝁䄸兢睂䝁䅅杢㕂䙁䄸睓求䡁䅫睕あ䝁䅅䅤穂䙁䄸杤祁䍁䄴䅥獂䡁䅍兢摂䕁䅍兙睂䝁䅫䅤桂䝁䅷兡㙂䝁䅅䅤灂䝁䄸杢桁䍁䅑兒歁䑁䅕杏歁䕁䅯䅊ㅁ䅁䅁允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䑂䍁䅑免祁䅁䅁杨䅧䥁䅑䅁扂䙁䅍䅕䡂䙁䄸睑療䝁䄰䅣桂䝁䄴入時䕁䅳党㕂䙁䅍䅤桂䡁䅑督時䡁䅙杍畁䡁䅧䅢穂䝁䄰兘䑂䝁䅅䅣灂䡁䅑兙獂䙁䄸睕あ䡁䅉兤橂䡁䅑兤祂䝁䅕睘呂䡁䅕兢瑂䝁䅅杣㕂䍁䅅䅊䙂䍁䅑李㙁䍁䅑兕歁䑁䅙䅁䑁䅃䅁䅨䅁䙁䅳睕兂䕁䅣睘䑂䝁䄸兢睂䝁䅅杢㕂䙁䄸睓求䡁䅫睕あ䝁䅅䅤穂䙁䄸杤祁䍁䄴䅥獂䡁䅍兢摂䕁䅍兙睂䝁䅫䅤桂䝁䅷睘呂䡁䅑杣ㅂ䝁䅍䅤ㅂ䡁䅉党時䙁䅍兤瑂䝁䄰兙祂䡁䅫光歁䕁䅕䅊㍁䑁䅯䅊剂䍁䅑睎䅁䅁䥕䅁䥃䅁䅁睗呂䙁䅁睒時䕁䅍睢瑂䡁䅁兙畂䡁䅫睘䱂䝁䅕入呂䡁䅑兙あ䡁䅍睘㉂䑁䅉杌㑂䝁䅷督瑂䙁䄰睑桂䡁䅁兡あ䝁䅅䅢時䙁䅍䅤祂䡁䅕睙あ䡁䅕杣求䙁䄸睕ㅂ䝁䄰兢桂䡁䅉入桁䍁䅑䅒歁䑁䅉兏㙁䍁䅑䅒歁䑁䅣兏䅁䅁䥧䅁啂䅁䅁睗呂䙁䅁睒時䕁䅍睢瑂䡁䅁兙畂䡁䅫睘䱂䝁䅕入呂䡁䅑兙あ䡁䅍睘㉂䑁䅉杌㑂䝁䅷督瑂䙁䄰杕桂䡁䅑兡療䡁䅍光歁䕁䅍䅊㉁䅁䅁权䅧䙁䄴䅁扂䙁䅍䅕䡂䙁䄸睑療䝁䄰䅣桂䝁䄴入時䕁䅳党㕂䙁䅍䅤桂䡁䅑督時䡁䅙杍畁䡁䅧䅢穂䝁䄰兘卂䝁䅅䅤灂䝁䄸督桁䍁䅑䅒歁䑁䅙杏歁䕁䅫䅊㉁䅁䅁睃䅧䙁䄴䅁扂䙁䅍䅕䡂䙁䄸睑療䝁䄰䅣桂䝁䄴入時䕁䅳党㕂䙁䅍䅤桂䡁䅑督時䡁䅙杍畁䡁䅧䅢穂䝁䄰兘卂䝁䅅䅤灂䝁䄸督桁䍁䅑䅒歁䑁䅣杏歁䕁䅫䅊㍁䅁䅁兄䅧䝁䅯䅁扂䙁䅍䅕䡂䙁䄸睑療䝁䄰䅣桂䝁䄴入時䕁䅳党㕂䙁䅍䅤桂䡁䅑督時䡁䅙杍畁䡁䅧䅢穂䝁䄰兘呂䡁䅕䅣睂䝁䅷党瑂䝁䅕杢あ䝁䅅䅢桁䍁䅑䅒歁䑁䅙杏歁䕁䅫䅊㉁䅁䅁睄䅧䝁䅯䅁扂䙁䅍䅕䡂䙁䄸睑療䝁䄰䅣桂䝁䄴入時䕁䅳党㕂䙁䅍䅤桂䡁䅑督時䡁䅙杍畁䡁䅧䅢穂䝁䄰兘呂䡁䅕䅣睂䝁䅷党瑂䝁䅕杢あ䝁䅅䅢桁䍁䅑䅒歁䑁䅣杏歁䕁䅫䅊㍁䅁䅁充䅧䝁䅑䅁湁䙁䅳睕兂䕁䅣睘䑂䝁䄸兢睂䝁䅅杢㕂䙁䄸睓求䡁䅫睕あ䝁䅅䅤穂䙁䄸杤祁䍁䄴䅥獂䡁䅍兢摂䙁䅁党畂䡁䅍兡療䝁䄴兌偂䙁䅁兒䍂䍁䅣光歁䕁䅍䅊㉁䅁䅁杅䅧䝁䄴䅁湁䙁䅳睕兂䕁䅣睘䑂䝁䄸兢睂䝁䅅杢㕂䙁䄸睓求䡁䅫睕あ䝁䅅䅤穂䙁䄸杤祁䍁䄴䅥獂䡁䅍兢摂䙁䅁党畂䡁䅍兡療䝁䄴兌偂䙁䅁兒䍂䍁䅣光歁䕁䅑䅊㉁䑁䅯䅊䩂䍁䅑李䅁䉁䥍䅁あ䅁䅁睊扂䙁䅍䅕䡂䙁䄸睑療䝁䄰䅣桂䝁䄴入時䕁䅳党㕂䙁䅍䅤桂䡁䅑督時䡁䅙杍畁䡁䅧䅢穂䝁䄰兘兂䝁䅕杢穂䝁䅫睢畂䍁䄰睔兂䕁䅕村湁䍁䅅䅊䑂䍁䅑免硁䑁䅯䅊䑂䍁䅑兎㍁䑁䅕䅁啁䅃䅁杢䅁䍁䅣睗呂䙁䅁睒時䕁䅍睢瑂䡁䅁兙畂䡁䅫睘䱂䝁䅕入呂䡁䅑兙あ䡁䅍睘㉂䑁䅉杌㑂䝁䅷督瑂䙁䄰䅕求䝁䄴督灂䝁䄸杢瑁䕁䄸䅕䙂䕁䅉睊桁䍁䅑䅒歁䑁䅣杏歁䕁䅫䅊㍁䅁䅁兆䅧䥁䅑䅁湁䙁䅳睕兂䕁䅣睘䑂䝁䄸兢睂䝁䅅杢㕂䙁䄸睓求䡁䅫睕あ䝁䅅䅤穂䙁䄸杤祁䍁䄴䅥獂䡁䅍兢摂䕁䅍兙睂䝁䅫䅤桂䝁䅷睘呂䡁䅑杣ㅂ䝁䅍䅤ㅂ䡁䅉党時䍁䅁䅒求䡁䅑兙灂䝁䅷督杁䍁䅣光歁䕁䅉䅊硁䑁䅉䅁坁䅃䅁䅨䅁䍁䅣睗呂䙁䅁睒時䕁䅍睢瑂䡁䅁兙畂䡁䅫睘䱂䝁䅕入呂䡁䅑兙あ䡁䅍睘㉂䑁䅉杌㑂䝁䅷督瑂䙁䄰睑桂䡁䅁兡あ䝁䅅䅢時䙁䅍䅤祂䡁䅕睙あ䡁䅕杣求䙁䄸䅉䕂䝁䅕䅤桂䝁䅫䅢穂䍁䅁睊桁䍁䅑兑䉂䍁䅑兎䅁䉁䥣䅁䕃䅁䅁睊扂䙁䅍䅕䡂䙁䄸睑療䝁䄰䅣桂䝁䄴入時䕁䅳党㕂䙁䅍䅤桂䡁䅑督時䡁䅙杍畁䡁䅧䅢穂䝁䄰兘䑂䝁䅅䅣灂䡁䅑兙獂䙁䄸睕あ䡁䅉兤橂䡁䅑兤祂䝁䅕睘杁䕁䅑党あ䝁䅅兡獂䡁䅍䅉湁䍁䅅䅊䉂䕁䅅䅊㉁䅁䅁兇䅧䥁䅑䅁湁䙁䅳睕兂䕁䅣睘䑂䝁䄸兢睂䝁䅅杢㕂䙁䄸睓求䡁䅫睕あ䝁䅅䅤穂䙁䄸杤祁䍁䄴䅥獂䡁䅍兢摂䕁䅍兙睂䝁䅫䅤桂䝁䅷睘呂䡁䅑杣ㅂ䝁䅍䅤ㅂ䡁䅉党時䍁䅁䅒求䡁䅑兙灂䝁䅷督杁䍁䅣光歁䕁䅕䅊硁䑁䅉䅁慁䅃䅁䅨䅁䍁䅣睗呂䙁䅁睒時䕁䅍睢瑂䡁䅁兙畂䡁䅫睘䱂䝁䅕入呂䡁䅑兙あ䡁䅍睘㉂䑁䅉杌㑂䝁䅷督瑂䙁䄰睑桂䡁䅁兡あ䝁䅅䅢時䙁䅍䅤祂䡁䅕睙あ䡁䅕杣求䙁䄸䅉䕂䝁䅕䅤桂䝁䅫䅢穂䍁䅁睊桁䍁䅑睑歁䑁䅅杍䅁䉁䥳䅁䕃䅁䅁睊扂䙁䅍䅕䡂䙁䄸睑療䝁䄰䅣桂䝁䄴入時䕁䅳党㕂䙁䅍䅤桂䡁䅑督時䡁䅙杍畁䡁䅧䅢穂䝁䄰兘䑂䝁䅅䅣灂䡁䅑兙獂䙁䄸睕あ䡁䅉兤橂䡁䅑兤祂䝁䅕睘杁䕁䅑党あ䝁䅅兡獂䡁䅍䅉湁䍁䅅䅊䕂䍁䅑免祁䅁䅁䅈䅧䥁䅑䅁湁䙁䅳睕兂䕁䅣睘䑂䝁䄸兢睂䝁䅅杢㕂䙁䄸睓求䡁䅫睕あ䝁䅅䅤穂䙁䄸杤祁䍁䄴䅥獂䡁䅍兢摂䕁䅍兙睂䝁䅫䅤桂䝁䅷睘呂䡁䅑杣ㅂ䝁䅍䅤ㅂ䡁䅉党時䍁䅁䅒求䡁䅑兙灂䝁䅷督杁䍁䅣光歁䕁䅅兑歁䑁䅣䅁敁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䅧䅊硁䑁䅉䅁あ䅃䅁䅨䅁䍁䅣睗呂䙁䅁睒時䕁䅍睢瑂䡁䅁兙畂䡁䅫睘䱂䝁䅕入呂䡁䅑兙あ䡁䅍睘㉂䑁䅉杌㑂䝁䅷督瑂䙁䄰睑桂䡁䅁兡あ䝁䅅䅢時䙁䅍䅤祂䡁䅕睙あ䡁䅕杣求䙁䄸䅉䕂䝁䅕䅤桂䝁䅫䅢穂䍁䅁睊桁䍁䅑睒歁䑁䅅杍䅁䍁䥁䅁䕃䅁䅁睊扂䙁䅍䅕䡂䙁䄸睑療䝁䄰䅣桂䝁䄴入時䕁䅳党㕂䙁䅍䅤桂䡁䅑督時䡁䅙杍畁䡁䅧䅢穂䝁䄰兘䑂䝁䅅䅣灂䡁䅑兙獂䙁䄸睕あ䡁䅉兤橂䡁䅑兤祂䝁䅕睘杁䕁䅑党あ䝁䅅兡獂䡁䅍䅉湁䍁䅅䅊䩂䍁䅑免祁䅁䅁光䅧䥁䅑䅁湁䙁䅳睕兂䕁䅣睘䑂䝁䄸兢睂䝁䅅杢㕂䙁䄸睓求䡁䅫睕あ䝁䅅䅤穂䙁䄸杤祁䍁䄴䅥獂䡁䅍兢摂䕁䅍兙睂䝁䅫䅤桂䝁䅷睘呂䡁䅑杣ㅂ䝁䅍䅤ㅂ䡁䅉党時䍁䅁䅒求䡁䅑兙灂䝁䅷督杁䍁䅣光歁䕁䅯䅊硁䑁䅉䅁橁䅃䅁䅨䅁䍁䅣睗呂䙁䅁睒時䕁䅍睢瑂䡁䅁兙畂䡁䅫睘䱂䝁䅕入呂䡁䅑兙あ䡁䅍睘㉂䑁䅉杌㑂䝁䅷督瑂䙁䄰睑桂䡁䅁兡あ䝁䅅䅢時䙁䅍䅤祂䡁䅕睙あ䡁䅕杣求䙁䄸䅉䕂䝁䅕䅤桂䝁䅫䅢穂䍁䅁睊桁䍁䅑村歁䑁䅑䅎䅁䍁䥕䅁䕃䅁䅁睊扂䙁䅍䅕䡂䙁䄸睑療䝁䄰䅣桂䝁䄴入時䕁䅳党㕂䙁䅍䅤桂䡁䅑督時䡁䅙杍畁䡁䅧䅢穂䝁䄰兘䑂䝁䅅䅣灂䡁䅑兙獂䙁䄸睕あ䡁䅉兤橂䡁䅑兤祂䝁䅕睘杁䕁䅑党あ䝁䅅兡獂䡁䅍䅉湁䍁䅅䅊䑂䍁䅑䅎ぁ䅁䅁杊䅧䥁䅑䅁湁䙁䅳睕兂䕁䅣睘䑂䝁䄸兢睂䝁䅅杢㕂䙁䄸睓求䡁䅫睕あ䝁䅅䅤穂䙁䄸杤祁䍁䄴䅥獂䡁䅍兢摂䕁䅍兙睂䝁䅫䅤桂䝁䅷睘呂䡁䅑杣ㅂ䝁䅍䅤ㅂ䡁䅉党時䍁䅁䅒求䡁䅑兙灂䝁䅷督杁䍁䅣光歁䕁䅑䅊ぁ䑁䅑䅁湁䅃䅁䅨䅁䍁䅣睗呂䙁䅁睒時䕁䅍睢瑂䡁䅁兙畂䡁䅫睘䱂䝁䅕入呂䡁䅑兙あ䡁䅍睘㉂䑁䅉杌㑂䝁䅷督瑂䙁䄰睑桂䡁䅁兡あ䝁䅅䅢時䙁䅍䅤祂䡁䅕睙あ䡁䅕杣求䙁䄸䅉䕂䝁䅕䅤桂䝁䅫䅢穂䍁䅁睊桁䍁䅑睑歁䑁䅣李䅁䍁䥧䅁䕃䅁䅁睊扂䙁䅍䅕䡂䙁䄸睑療䝁䄰䅣桂䝁䄴入時䕁䅳党㕂䙁䅍䅤桂䡁䅑督時䡁䅙杍畁䡁䅧䅢穂䝁䄰兘䑂䝁䅅䅣灂䡁䅑兙獂䙁䄸睕あ䡁䅉兤橂䡁䅑兤祂䝁䅕睘杁䕁䅑党あ䝁䅅兡獂䡁䅍䅉湁䍁䅅䅊䝂䍁䅑䅎ぁ䅁䅁杋䅧䥁䅑䅁湁䙁䅳睕兂䕁䅣睘䑂䝁䄸兢睂䝁䅅杢㕂䙁䄸睓求䡁䅫睕あ䝁䅅䅤穂䙁䄸杤祁䍁䄴䅥獂䡁䅍兢摂䕁䅍兙睂䝁䅫䅤桂䝁䅷睘呂䡁䅑杣ㅂ䝁䅍䅤ㅂ䡁䅉党時䍁䅁䅒求䡁䅑兙灂䝁䅷督杁䍁䅣光歁䕁䅣䅊ぁ䑁䅑䅁牁䅃䅁䅨䅁䍁䅣睗呂䙁䅁睒時䕁䅍睢瑂䡁䅁兙畂䡁䅫睘䱂䝁䅕入呂䡁䅑兙あ䡁䅍睘㉂䑁䅉杌㑂䝁䅷督瑂䙁䄰睑桂䡁䅁兡あ䝁䅅䅢時䙁䅍䅤祂䡁䅕睙あ䡁䅕杣求䙁䄸䅉䕂䝁䅕䅤桂䝁䅫䅢穂䍁䅁睊桁䍁䅑䅓歁䑁䅑䅎䅁䍁䥷䅁䕃䅁䅁睊扂䙁䅍䅕䡂䙁䄸睑療䝁䄰䅣桂䝁䄴入時䕁䅳党㕂䙁䅍䅤桂䡁䅑督時䡁䅙杍畁䡁䅧䅢穂䝁䄰兘䑂䝁䅅䅣灂䡁䅑兙獂䙁䄸睕あ䡁䅉兤橂䡁䅑兤祂䝁䅕睘杁䕁䅑党あ䝁䅅兡獂䡁䅍䅉湁䍁䅅䅊䭂䍁䅑䅎ぁ䅁䅁兌䅧䥁䅑䅁湁䙁䅳睕兂䕁䅣睘䑂䝁䄸兢睂䝁䅅杢㕂䙁䄸睓求䡁䅫睕あ䝁䅅䅤穂䙁䄸杤祁䍁䄴䅥獂䡁䅍兢摂䕁䅍兙睂䝁䅫䅤桂䝁䅷睘呂䡁䅑杣ㅂ䝁䅍䅤ㅂ䡁䅉党時䍁䅁䅒求䡁䅑兙灂䝁䅷督杁䍁䅣光歁䕁䅳䅊ぁ䑁䅑䅁畁䅃䅁䅨䅁䍁䅣睗呂䙁䅁睒時䕁䅍睢瑂䡁䅁兙畂䡁䅫睘䱂䝁䅕入呂䡁䅑兙あ䡁䅍睘㉂䑁䅉杌㑂䝁䅷督瑂䙁䄰睑桂䡁䅁兡あ䝁䅅䅢時䙁䅍䅤祂䡁䅕睙あ䡁䅕杣求䙁䄸䅉䕂䝁䅕䅤桂䝁䅫䅢穂䍁䅁睊桁䍁䅑村歁䑁䅣李䅁䍁䤸䅁䕃䅁䅁睊扂䙁䅍䅕䡂䙁䄸睑療䝁䄰䅣桂䝁䄴入時䕁䅳党㕂䙁䅍䅤桂䡁䅑督時䡁䅙杍畁䡁䅧䅢穂䝁䄰兘䑂䝁䅅䅣灂䡁䅑兙獂䙁䄸睕あ䡁䅉兤橂䡁䅑兤祂䝁䅕睘杁䕁䅑党あ䝁䅅兡獂䡁䅍䅉湁䍁䅅䅊䝂䍁䅑睎㉁䅁䅁免䅧䥁䅑䅁湁䙁䅳睕兂䕁䅣睘䑂䝁䄸兢睂䝁䅅杢㕂䙁䄸睓求䡁䅫睕あ䝁䅅䅤穂䙁䄸杤祁䍁䄴䅥獂䡁䅍兢摂䕁䅍兙睂䝁䅫䅤桂䝁䅷睘呂䡁䅑杣ㅂ䝁䅍䅤ㅂ䡁䅉党時䍁䅁䅒求䡁䅑兙灂䝁䅷督杁䍁䅣光歁䕁䅣䅊㍁䑁䅙䅁祁䅃䅁䅨䅁䍁䅣睗呂䙁䅁睒時䕁䅍睢瑂䡁䅁兙畂䡁䅫睘䱂䝁䅕入呂䡁䅑兙あ䡁䅍睘㉂䑁䅉杌㑂䝁䅷督瑂䙁䄰睑桂䡁䅁兡あ䝁䅅䅢時䙁䅍䅤祂䡁䅕睙あ䡁䅕杣求䙁䄸䅉䕂䝁䅕䅤桂䝁䅫䅢穂䍁䅁睊桁䍁䅑䅓歁䑁䅣李䅁䑁䥍䅁䕃䅁䅁睊扂䙁䅍䅕䡂䙁䄸睑療䝁䄰䅣桂䝁䄴入時䕁䅳党㕂䙁䅍䅤桂䡁䅑督時䡁䅙杍畁䡁䅧䅢穂䝁䄰兘䑂䝁䅅䅣灂䡁䅑兙獂䙁䄸睕あ䡁䅉兤橂䡁䅑兤祂䝁䅕睘杁䕁䅑党あ䝁䅅兡獂䡁䅍䅉湁䍁䅅䅊䭂䍁䅑睎㉁䅁䅁兎䅧䥁䅑䅁湁䙁䅳睕兂䕁䅣睘䑂䝁䄸兢睂䝁䅅杢㕂䙁䄸睓求䡁䅫睕あ䝁䅅䅤穂䙁䄸杤祁䍁䄴䅥獂䡁䅍兢摂䕁䅍兙睂䝁䅫䅤桂䝁䅷睘呂䡁䅑杣ㅂ䝁䅍䅤ㅂ䡁䅉党時䍁䅁䅒求䡁䅑兙灂䝁䅷督杁䍁䅣光歁䕁䅳䅊㍁䑁䅙䅁㉁䅃䅁䅥䅁䙁䅳睕兂䕁䅣睘䑂䝁䄸兢睂䝁䅅杢㕂䙁䄸睓求䡁䅫睕あ䝁䅅䅤穂䙁䄸杤祁䍁䄴䅥獂䡁䅍兢摂䕁䅫杢橂䝁䄸兢求䙁䄸睕あ䝁䅅䅤求䝁䄰党畂䡁䅑光歁䕁䅍䅊硁䑁䅅杏歁䕁䅍䅊硁䑁䅫䅍䅁䑁䥣䅁獂䅁䅁睗呂䙁䅁睒時䕁䅍睢瑂䡁䅁兙畂䡁䅫睘䱂䝁䅕入呂䡁䅑兙あ䡁䅍睘㉂䑁䅉杌㑂䝁䅷督瑂䙁䄰睓求䡁䅫睘呂䡁䅑兙あ䡁䅍光歁䕁䅣䅊硁䑁䅁李㙁䍁䅑杓歁䑁䅅䅍㉁䅁䅁䅏䅧䝁䅷䅁扂䙁䅍䅕䡂䙁䄸睑療䝁䄰䅣桂䝁䄴入時䕁䅳党㕂䙁䅍䅤桂䡁䅑督時䡁䅙杍畁䡁䅧䅢穂䝁䄰兘䱂䝁䅕入時䙁䅍䅤桂䡁䅑督桁䍁䅑睒歁䑁䅅䅍㍁䑁䅯䅊䭂䍁䅑免睁䑁䅣䅁㕁䅃䅁䅢䅁䙁䅳睕兂䕁䅣睘䑂䝁䄸兢睂䝁䅅杢㕂䙁䄸睓求䡁䅫睕あ䝁䅅䅤穂䙁䄸杤祁䍁䄴䅥獂䡁䅍兢摂䕁䅳党㕂䙁䄸睕あ䝁䅅䅤穂䍁䅅䅊䕂䍁䅑免硁䑁䅅杏歁䕁䅑䅊硁䑁䅅李䅁䑁䥯䅁䭁䅁䅁杒剂䍁䅳免䅁䑁䥳䅁十䅁䅁杔婂䙁䅍兒㙁䕁䅑兖䱂䅁䅁䅐䅧䕁䅙䅁䕂䡁䅕睡求䍁䅁兒畂䝁䅕杣湂䡁䅫䅉䑂䝁䄸杣睂䝁䄸杣桂䡁䅑兡療䝁䄴䅉潁䕁䄴兗呂䕁䅕杏䕂䙁䅕睓灁䅁䅁児䅧䅁䄴䅁䕂䙁䅕睓瑁䙁䅕睕䅁䑁䤴䅁十䅁䅁杔婂䙁䅍兒㙁䕁䅉兑䑂䅁䅁睐䅧䥁䅧䅁湁䙁䅳睑療䡁䅁入杁䝁䄸杚杁䙁䅍䅕䡂䙁䄸睑療䝁䄰䅣桂䝁䄴入時䕁䅳党㕂䙁䅍䅤桂䡁䅑督時䡁䅙免時䕁䅙兡畂䝁䅅䅢畁䡁䅧䅢穂䝁䄰兘䱂䝁䅕入時䙁䅍䅤桂䡁䅑督湁䍁䅅䅊䙂䍁䅑杍ㅁ䑁䅯䅊䭂䍁䅑杍ㅁ䅁䅁村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䭂䍁䅑免祁䅁䅁䅩䅧䥁䅧䅁湁䙁䅳睑療䡁䅁入杁䝁䄸杚杁䙁䅍䅕䡂䙁䄸睑療䝁䄰䅣桂䝁䄴入時䕁䅳党㕂䙁䅍䅤桂䡁䅑督時䡁䅙免時䕁䅙兡畂䝁䅅䅢畁䡁䅧䅢穂䝁䄰兘䱂䝁䅕入時䙁䅍䅤桂䡁䅑督湁䍁䅅䅊䑂䍁䅑杍㑁䑁䅯䅊䑂䍁䅑兎祁䅁䅁睑䅧䥁䅧䅁湁䙁䅳睑療䡁䅁入杁䝁䄸杚杁䙁䅍䅕䡂䙁䄸睑療䝁䄰䅣桂䝁䄴入時䕁䅳党㕂䙁䅍䅤桂䡁䅑督時䡁䅙免時䕁䅙兡畂䝁䅅䅢畁䡁䅧䅢穂䝁䄰兘䱂䝁䅕入時䙁䅍䅤桂䡁䅑督湁䍁䅅䅊䙂䍁䅑杍㉁䑁䅯䅊䭂䍁䅑杍㉁䅁䅁䅒䅧䡁䅷䅁湁䙁䅳睑療䡁䅁入杁䝁䄸杚杁䙁䅍䅕䡂䙁䄸睑療䝁䄰䅣桂䝁䄴入時䕁䅳党㕂䙁䅍䅤桂䡁䅑督時䡁䅙免時䕁䅙兡畂䝁䅅䅢畁䡁䅧䅢穂䝁䄰兘䱂䝁䅕入時䙁䅍䅤桂䡁䅑督湁䍁䅅䅊䍂䍁䅑杍㉁䅁䅁杒䅧䥁䅧䅁湁䙁䅳睑療䡁䅁入杁䝁䄸杚杁䙁䅍䅕䡂䙁䄸睑療䝁䄰䅣桂䝁䄴入時䕁䅳党㕂䙁䅍䅤桂䡁䅑督時䡁䅙免時䕁䅙兡畂䝁䅅䅢畁䡁䅧䅢穂䝁䄰兘䱂䝁䅕入時䙁䅍䅤桂䡁䅑督湁䍁䅅䅊佂䍁䅑杍ㅁ䑁䅯䅊兂䍁䅑杍ㅁ䅁䅁睒䅧䥁䅧䅁湁䙁䅳睑療䡁䅁入杁䝁䄸杚杁䙁䅍䅕䡂䙁䄸睑療䝁䄰䅣桂䝁䄴入時䕁䅳党㕂䙁䅍䅤桂䡁䅑督時䡁䅙免時䕁䅙兡畂䝁䅅䅢畁䡁䅧䅢穂䝁䄰兘䱂䝁䅕入時䙁䅍䅤桂䡁䅑督湁䍁䅅䅊䕂䍁䅑杍㑁䑁䅯䅊䕂䍁䅑兎祁䅁䅁䅓䅧䥁䅧䅁湁䙁䅳睑療䡁䅁入杁䝁䄸杚杁䙁䅍䅕䡂䙁䄸睑療䝁䄰䅣桂䝁䄴入時䕁䅳党㕂䙁䅍䅤桂䡁䅑督時䡁䅙免時䕁䅙兡畂䝁䅅䅢畁䡁䅧䅢穂䝁䄰兘䱂䝁䅕入時䙁䅍䅤桂䡁䅑督湁䍁䅅䅊佂䍁䅑杍㉁䑁䅯䅊兂䍁䅑杍㉁䅁䅁兓䅧䡁䅯䅁湁䙁䅳睑療䡁䅁入杁䝁䄸杚杁䙁䅍䅕䡂䙁䄸睑療䝁䄰䅣桂䝁䄴入時䕁䅳党㕂䙁䅍䅤桂䡁䅑督時䡁䅙免時䕁䅙兡畂䝁䅅䅢畁䡁䅧䅢穂䝁䄰兘䱂䝁䅕入時䙁䅍䅤桂䡁䅑督湁䍁䅅䅊䝂䍁䅑兏䅁䕁䥳䅁㡂䅁䅁睊扂䕁䅍睢睂䡁䅫䅉療䝁䅙䅉呂䙁䅁睒時䕁䅍睢瑂䡁䅁兙畂䡁䅫睘䱂䝁䅕入呂䡁䅑兙あ䡁䅍睘㉂䑁䅅睘䝂䝁䅫杢桂䝁䅷杌㑂䝁䅷督瑂䙁䄰睓求䡁䅫睘呂䡁䅑兙あ䡁䅍睊桁䍁䅑杒歁䑁䅅兎䅁䕁䤰䅁㡂䅁䅁睊扂䕁䅍睢睂䡁䅫䅉療䝁䅙䅉呂䙁䅁睒時䕁䅍睢瑂䡁䅁兙畂䡁䅫睘䱂䝁䅕入呂䡁䅑兙あ䡁䅍睘㉂䑁䅅睘䝂䝁䅫杢桂䝁䅷杌㑂䝁䅷督瑂䙁䄰睓求䡁䅫睘呂䡁䅑兙あ䡁䅍睊桁䍁䅑村歁䑁䅙杍䅁䕁䤴䅁㡂䅁䅁睊扂䕁䅍睢睂䡁䅫䅉療䝁䅙䅉呂䙁䅁睒時䕁䅍睢瑂䡁䅁兙畂䡁䅫睘䱂䝁䅕入呂䡁䅑兙あ䡁䅍睘㉂䑁䅅睘䝂䝁䅫杢桂䝁䅷杌㑂䝁䅷督瑂䙁䄰睓求䡁䅫睘呂䡁䅑兙あ䡁䅍睊桁䍁䅑兒歁䑁䅙杍䅁䕁䤸䅁㡂䅁䅁睊扂䕁䅍睢睂䡁䅫䅉療䝁䅙䅉呂䙁䅁睒時䕁䅍睢瑂䡁䅁兙畂䡁䅫睘䱂䝁䅕入呂䡁䅑兙あ䡁䅍睘㉂䑁䅅睘䝂䝁䅫杢桂䝁䅷杌㑂䝁䅷督瑂䙁䄰睓求䡁䅫睘呂䡁䅑兙あ䡁䅍睊桁䍁䅑兒歁䑁䅙睍䅁䙁䥅䅁⭂䅁䅁睊扂䕁䅍睢睂䡁䅫䅉療䝁䅙䅉呂䙁䅁睒時䕁䅍睢瑂䡁䅁兙畂䡁䅫睘䱂䝁䅕入呂䡁䅑兙あ䡁䅍睘㉂䑁䅅睘䝂䝁䅫杢桂䝁䅷杌㑂䝁䅷督瑂䙁䄰睓求䡁䅫睘呂䡁䅑兙あ䡁䅍睊桁䍁䅑村歁䑁䅅䅍㉁䅁䅁杕䅧䥁䅷䅁湁䙁䅳睑療䡁䅁入杁䝁䄸杚杁䙁䅍䅕䡂䙁䄸睑療䝁䄰䅣桂䝁䄴入時䕁䅳党㕂䙁䅍䅤桂䡁䅑督時䡁䅙免時䕁䅙兡畂䝁䅅䅢畁䡁䅧䅢穂䝁䄰兘䱂䝁䅕入時䙁䅍䅤桂䡁䅑督湁䍁䅅䅊䑂䍁䅑免睁䑁䅫杏歁䕁䅍䅊硁䑁䅅兎䅁䙁䥑䅁䵃䅁䅁睊扂䕁䅍睢睂䡁䅫䅉療䝁䅙䅉呂䙁䅁睒時䕁䅍睢瑂䡁䅁兙畂䡁䅫睘䱂䝁䅕入呂䡁䅑兙あ䡁䅍睘㉂䑁䅅睘䝂䝁䅫杢桂䝁䅷杌㑂䝁䅷督瑂䙁䄰睓求䡁䅫睘呂䡁䅑兙あ䡁䅍睊桁䍁䅑睒歁䑁䅅䅍㍁䑁䅯䅊䭂䍁䅑免睁䑁䅣䅁噂䅃䅁䅓䅁䕁䄸䅣あ䝁䅫睢畂䡁䅍杏䑂䡁䅕杣祂䑁䄰兖呂䕁䅑䅌䑂䝁䄸杢㉂䕁䄰党あ䝁䅧睢歂䑁䄰䅓獁䕁䄴兑㥁䕁䄴兑䅁䙁䥙䅁千䅁䅁睊扂䕁䅍睢睂䡁䅫䅉療䝁䅙䅉呂䙁䅁睒時䕁䅍睢瑂䡁䅁兙畂䡁䅫睘䱂䝁䅕入呂䡁䅑兙あ䡁䅍睘㉂䑁䅅睘䝂䝁䅫杢桂䝁䅷杌㑂䝁䅷督瑂䙁䄰兓畂䝁䅍睢瑂䝁䅕睘呂䡁䅑兙あ䝁䅕兢求䝁䄴䅤湁䍁䅅䅊䙂䍁䅑李㙁䍁䅑兕歁䑁䅙䅁奂䅃䅁杫䅁䍁䅣睗䑂䝁䄸䅣㕂䍁䅁睢浂䍁䅁睕兂䕁䅣睘䑂䝁䄸兢睂䝁䅅杢㕂䙁䄸睓求䡁䅫睕あ䝁䅅䅤穂䙁䄸杤硁䙁䄸杒灂䝁䄴兙獂䍁䄴䅥獂䡁䅍兢摂䕁䅫杢橂䝁䄸兢求䙁䄸睕あ䝁䅅䅤求䝁䄰党畂䡁䅑睊桁䍁䅑兒歁䑁䅣杏歁䙁䅅䅊㍁䅁䅁杗䅧䥁䅉䅁湁䙁䅳睑療䡁䅁入杁䝁䄸杚杁䙁䅍䅕䡂䙁䄸睑療䝁䄰䅣桂䝁䄴入時䕁䅳党㕂䙁䅍䅤桂䡁䅑督時䡁䅙免時䕁䅙兡畂䝁䅅䅢畁䡁䅧䅢穂䝁䄰兘䍂䝁䅅䅢桂䝁䄴睙求䙁䄸睕潂䝁䅕党あ䍁䅣光歁䕁䅍䅊㉁䅁䅁睗䅧䥁䅷䅁湁䙁䅳睑療䡁䅁入杁䝁䄸杚杁䙁䅍䅕䡂䙁䄸睑療䝁䄰䅣桂䝁䄴入時䕁䅳党㕂䙁䅍䅤桂䡁䅑督時䡁䅙免時䕁䅙兡畂䝁䅅䅢畁䡁䅧䅢穂䝁䄰兘䍂䝁䅅䅢桂䝁䄴睙求䙁䄸睕潂䝁䅕党あ䍁䅣光歁䕁䅕䅊㍁䑁䅯䅊剂䍁䅑睎䅁䙁䤴䅁㙂䅁䅁睊扂䕁䅍睢睂䡁䅫䅉療䝁䅙䅉呂䙁䅁睒時䕁䅍睢瑂䡁䅁兙畂䡁䅫睘䱂䝁䅕入呂䡁䅑兙あ䡁䅍睘㉂䑁䅅睘䝂䝁䅫杢桂䝁䅷杌㑂䝁䅷督瑂䙁䄰睑桂䡁䅍䅡時䕁䅙䅢療䡁䅣睊桁䍁䅑睑歁䑁䅙䅁時䅃䅁䅨䅁䍁䅣睗䑂䝁䄸䅣㕂䍁䅁睢浂䍁䅁睕兂䕁䅣睘䑂䝁䄸兢睂䝁䅅杢㕂䙁䄸睓求䡁䅫睕あ䝁䅅䅤穂䙁䄸杤硁䙁䄸杒灂䝁䄴兙獂䍁䄴䅥獂䡁䅍兢摂䕁䅍兙穂䝁䅧睘䝂䝁䅷睢㍂䍁䅣光歁䕁䅕䅊㉁䑁䅯䅊剂䍁䅑李䅁䝁䥁䅁䕃䅁䅁睊扂䕁䅍睢睂䡁䅫䅉療䝁䅙䅉呂䙁䅁睒時䕁䅍睢瑂䡁䅁兙畂䡁䅫睘䱂䝁䅕入呂䡁䅑兙あ䡁䅍睘㉂䑁䅅睘䝂䝁䅫杢桂䝁䅷杌㑂䝁䅷督瑂䙁䄰睑桂䡁䅍䅡時䕁䅙䅢療䡁䅣睊桁䍁䅑兒歁䑁䅣杏歁䙁䅅䅊㍁䅁䅁杙䅧䥁䄴䅁湁䙁䅳睑療䡁䅁入杁䝁䄸杚杁䙁䅍䅕䡂䙁䄸睑療䝁䄰䅣桂䝁䄴入時䕁䅳党㕂䙁䅍䅤桂䡁䅑督時䡁䅙免時䕁䅙兡畂䝁䅅䅢畁䡁䅧䅢穂䝁䄰兘䑂䝁䅅䅣灂䡁䅑兙獂䝁䅫来桂䡁䅑兡療䝁䄴睊桁䍁䅑兒歁䑁䅑杏歁䕁䅯䅊ぁ䅁䅁䅚䅧䥁䄴䅁湁䙁䅳睑療䡁䅁入杁䝁䄸杚杁䙁䅍䅕䡂䙁䄸睑療䝁䄰䅣桂䝁䄴入時䕁䅳党㕂䙁䅍䅤桂䡁䅑督時䡁䅙免時䕁䅙兡畂䝁䅅䅢畁䡁䅧䅢穂䝁䄰兘䑂䝁䅅䅣灂䡁䅑兙獂䝁䅫来桂䡁䅑兡療䝁䄴睊桁䍁䅑兒歁䑁䅕杏歁䕁䅯䅊ㅁ䅁䅁杚䅧䩁䅯䅁湁䙁䅳睑療䡁䅁入杁䝁䄸杚杁䙁䅍䅕䡂䙁䄸睑療䝁䄰䅣桂䝁䄴入時䕁䅳党㕂䙁䅍䅤桂䡁䅑督時䡁䅙免時䕁䅙兡畂䝁䅅䅢畁䡁䅧䅢穂䝁䄰兘䑂䝁䅅䅣灂䡁䅑兙獂䙁䄸睕あ䡁䅉兤橂䡁䅑兤祂䝁䅕睘呂䡁䅕兢瑂䝁䅅杣㕂䍁䅣光歁䕁䅍䅊㉁䅁䅁睚䅧䭁䅯䅁湁䙁䅳睑療䡁䅁入杁䝁䄸杚杁䙁䅍䅕䡂䙁䄸睑療䝁䄰䅣桂䝁䄴入時䕁䅳党㕂䙁䅍䅤桂䡁䅑督時䡁䅙免時䕁䅙兡畂䝁䅅䅢畁䡁䅧䅢穂䝁䄰兘䑂䝁䅅䅣灂䡁䅑兙獂䙁䄸睕あ䡁䅉兤橂䡁䅑兤祂䝁䅕睘呂䡁䅕兢瑂䝁䅅杣㕂䍁䅣光歁䕁䅍䅊硁䑁䅕杏歁䕁䅍䅊硁䑁䅣免䅁䝁䥫䅁歃䅁䅁睊扂䕁䅍睢睂䡁䅫䅉療䝁䅙䅉呂䙁䅁睒時䕁䅍睢瑂䡁䅁兙畂䡁䅫睘䱂䝁䅕入呂䡁䅑兙あ䡁䅍睘㉂䑁䅅睘䝂䝁䅫杢桂䝁䅷杌㑂䝁䅷督瑂䙁䄰睑桂䡁䅁兡あ䝁䅅䅢時䙁䅍䅤祂䡁䅕睙あ䡁䅕杣求䙁䄸睕ㅂ䝁䄰兢桂䡁䅉入湁䍁䅅䅊䙂䍁䅑睎㙁䍁䅑兕歁䑁䅣䅁煂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䅳䅊硁䑁䅉䅁牂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䅅兑歁䑁䅕䅁獂䅃䅁䅤䅁䍁䅣睗䑂䝁䄸䅣㕂䍁䅁睢浂䍁䅁睕兂䕁䅣睘䑂䝁䄸兢睂䝁䅅杢㕂䙁䄸睓求䡁䅫睕あ䝁䅅䅤穂䙁䄸杤硁䙁䄸杒灂䝁䄴兙獂䍁䄴䅥獂䡁䅍兢摂䙁䅉兙あ䝁䅫睢穂䍁䅣光歁䕁䅍䅊㉁䅁䅁兢䅧䡁䄴䅁湁䙁䅳睑療䡁䅁入杁䝁䄸杚杁䙁䅍䅕䡂䙁䄸睑療䝁䄰䅣桂䝁䄴入時䕁䅳党㕂䙁䅍䅤桂䡁䅑督時䡁䅙免時䕁䅙兡畂䝁䅅䅢畁䡁䅧䅢穂䝁䄰兘卂䝁䅅䅤灂䝁䄸督湁䍁䅅䅊䕂䍁䅑李㙁䍁䅑兓歁䑁䅙䅁畂䅃䅁杦䅁䍁䅣睗䑂䝁䄸䅣㕂䍁䅁睢浂䍁䅁睕兂䕁䅣睘䑂䝁䄸兢睂䝁䅅杢㕂䙁䄸睓求䡁䅫睕あ䝁䅅䅤穂䙁䄸杤硁䙁䄸杒灂䝁䄴兙獂䍁䄴䅥獂䡁䅍兢摂䙁䅉兙あ䝁䅫睢穂䍁䅣光歁䕁䅑䅊㍁䑁䅯䅊䩂䍁䅑睎䅁䡁䥁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兑䉂䍁䅑李䅁䡁䥉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村歁䑁䅑䅎䅁䡁䥍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睒歁䑁䅅杍䅁䡁䥙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兓歁䑁䅅杍䅁䡁䥣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兒歁䑁䅅杍䅁䡁䥧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䅒歁䑁䅣李䅁䡁䥫䅁坂䅁䅁睔睂䡁䅑兡療䝁䄴督㙁䕁䅍兤祂䡁䅉児噂䙁䅍䅒獁䕁䄰兙湂䑁䄰兔灂䝁䅷䅢灂䝁䄸杢穂䍁䅷睑療䝁䄴杤㥁䕁䅧䅌佂䕁䅅児佂䕁䅅䅁㙂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䅙䅊硁䑁䅉䅁㡂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䅉䅊硁䑁䅉䅁㥂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䅙䅊㍁䑁䅙䅁⽂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䅯䅊㍁䑁䅙䅁䅃䅃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䅧䅊ぁ䑁䅑䅁䉃䅃䅁杭䅁䍁䅣睗䑂䝁䄸䅣㕂䍁䅁睢浂䍁䅁睕兂䕁䅣睘䑂䝁䄸兢睂䝁䅅杢㕂䙁䄸睓求䡁䅫睕あ䝁䅅䅤穂䙁䄸杤硁䙁䄸杒灂䝁䄴兙獂䍁䄴䅥獂䡁䅍兢摂䕁䅍兙睂䝁䅫䅤桂䝁䅷睘呂䡁䅑杣ㅂ䝁䅍䅤ㅂ䡁䅉党時䙁䅍兤瑂䝁䄰兙祂䡁䅫睊桁䍁䅑睑歁䑁䅣䅁䍃䅃䅁䅱䅁䍁䅣睗䑂䝁䄸䅣㕂䍁䅁睢浂䍁䅁睕兂䕁䅣睘䑂䝁䄸兢睂䝁䅅杢㕂䙁䄸睓求䡁䅫睕あ䝁䅅䅤穂䙁䄸杤硁䙁䄸杒灂䝁䄴兙獂䍁䄴䅥獂䡁䅍兢摂䕁䅍兙睂䝁䅫䅤桂䝁䅷睘呂䡁䅑杣ㅂ䝁䅍䅤ㅂ䡁䅉党時䙁䅍兤瑂䝁䄰兙祂䡁䅫睊桁䍁䅑杒歁䑁䅅䅍㙁䍁䅑杕歁䑁䅅䅍䅁䥁䥍䅁潃䅁䅁睊扂䕁䅍睢睂䡁䅫䅉療䝁䅙䅉呂䙁䅁睒時䕁䅍睢瑂䡁䅁兙畂䡁䅫睘䱂䝁䅕入呂䡁䅑兙あ䡁䅍睘㉂䑁䅅睘䝂䝁䅫杢桂䝁䅷杌㑂䝁䅷督瑂䙁䄰睑桂䡁䅁兡あ䝁䅅䅢時䙁䅍䅤祂䡁䅕睙あ䡁䅕杣求䙁䄸睕ㅂ䝁䄰兢桂䡁䅉入湁䍁䅅䅊䝂䍁䅑免硁䑁䅯䅊卂䍁䅑免硁䅁䅁全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䕂䍁䅑免祁䅁䅁睨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䙂䍁䅑䅎ぁ䅁䅁杩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䝂䍁䅑䅎ぁ䅁䅁睩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䡂䍁䅑睎㉁䅁䅁䅫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䭂䍁䅑䅎ぁ䅁䅁兪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䑂䍁䅑睎㉁䅁䅁睪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䩂䍁䅑睎㉁䅁䅁八䅧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䱂䍁䅑睎㉁䅁䅁杫䅧䥁䅁䅁湁䙁䅳睑療䡁䅁入杁䝁䄸杚杁䙁䅍䅕䡂䙁䄸睑療䝁䄰䅣桂䝁䄴入時䕁䅳党㕂䙁䅍䅤桂䡁䅑督時䡁䅙免時䕁䅙兡畂䝁䅅䅢畁䡁䅧䅢穂䝁䄰兘呂䡁䅕䅣睂䝁䅷党瑂䝁䅕杢あ䝁䅅䅢湁䍁䅅䅊䑂䍁䅑李䅁䩁䥍䅁䭃䅁䅁睊扂䕁䅍睢睂䡁䅫䅉療䝁䅙䅉呂䙁䅁睒時䕁䅍睢瑂䡁䅁兙畂䡁䅫睘䱂䝁䅕入呂䡁䅑兙あ䡁䅍睘㉂䑁䅅睘䝂䝁䅫杢桂䝁䅷杌㑂䝁䅷督瑂䙁䄰睕ㅂ䡁䅁䅣獂䝁䅕兢求䝁䄴䅤桂䝁䅷睊桁䍁䅑䅒歁䑁䅙杏歁䕁䅫䅊㉁䅁䅁䅬䅧䩁䅁䅁湁䙁䅳睑療䡁䅁入杁䝁䄸杚杁䙁䅍䅕䡂䙁䄸睑療䝁䄰䅣桂䝁䄴入時䕁䅳党㕂䙁䅍䅤桂䡁䅑督時䡁䅙免時䕁䅙兡畂䝁䅅䅢畁䡁䅧䅢穂䝁䄰兘呂䡁䅕䅣睂䝁䅷党瑂䝁䅕杢あ䝁䅅䅢湁䍁䅅䅊䑂䍁䅑免硁䑁䅯䅊䑂䍁䅑免㉁䑁䅑䅁噃䅃䅁杩䅁䍁䅣睗䑂䝁䄸䅣㕂䍁䅁睢浂䍁䅁睕兂䕁䅣睘䑂䝁䄸兢睂䝁䅅杢㕂䙁䄸睓求䡁䅫睕あ䝁䅅䅤穂䙁䄸杤硁䙁䄸杒灂䝁䄴兙獂䍁䄴䅥獂䡁䅍兢摂䙁䅍兤睂䡁䅁䅢求䝁䄰党畂䡁䅑兙獂䍁䅣光歁䕁䅑䅊㍁䑁䅯䅊䩂䍁䅑睎䅁䩁䥙䅁䭃䅁䅁睊扂䕁䅍睢睂䡁䅫䅉療䝁䅙䅉呂䙁䅁睒時䕁䅍睢瑂䡁䅁兙畂䡁䅫睘䱂䝁䅕入呂䡁䅑兙あ䡁䅍睘㉂䑁䅅睘䝂䝁䅫杢桂䝁䅷杌㑂䝁䅷督瑂䙁䄰䅕求䝁䄴督灂䝁䄸杢瑁䕁䄸䅕䙂䕁䅉睊桁䍁䅑䅒歁䑁䅙杏歁䕁䅫䅊㉁䅁䅁䅭䅧䕁䅷䅁偂䡁䅁䅤灂䝁䄸杢穂䑁䅯䅉䑂䡁䅕杣祂䑁䄰兖呂䕁䅑䅌䑂䝁䄸杢㉂䕁䄰党あ䝁䅧睢歂䑁䄰䅓獁䍁䅁杔䉂䑁䄰杔䉂䅁䅁睭䅧䡁䄴䅁湁䙁䅳睑療䡁䅁入杁䝁䄸杚杁䙁䅍䅕䡂䙁䄸睑療䝁䄰䅣桂䝁䄴入時䕁䅳党㕂䙁䅍䅤桂䡁䅑督時䡁䅙免時䕁䅙兡畂䝁䅅䅢畁䡁䅧䅢穂䝁䄰兘䱂䝁䅕入時䙁䅍䅤桂䡁䅑督湁䍁䅅䅊䍂䍁䅑免睁䑁䅣䅁捃䅃䅁䅪䅁䍁䅣睗䑂䝁䄸䅣㕂䍁䅁睢浂䍁䅁睕兂䕁䅣睘䑂䝁䄸兢睂䝁䅅杢㕂䙁䄸睓求䡁䅫睕あ䝁䅅䅤穂䙁䄸杤硁䙁䄸杒灂䝁䄴兙獂䍁䄴䅥獂䡁䅍兢摂䕁䅳党㕂䙁䄸睕あ䝁䅅䅤穂䍁䅣光歁䕁䅑䅊硁䑁䅅免㙁䍁䅑䅒歁䑁䅅免㉁䅁䅁杮䅧䥁䅷䅁湁䙁䅳睑療䡁䅁入杁䝁䄸杚杁䙁䅍䅕䡂䙁䄸睑療䝁䄰䅣桂䝁䄴入時䕁䅳党㕂䙁䅍䅤桂䡁䅑督時䡁䅙免時䕁䅙兡畂䝁䅅䅢畁䡁䅧䅢穂䝁䄰兘䱂䝁䅕入時䙁䅍䅤桂䡁䅑督湁䍁䅅䅊䙂䍁䅑免睁䑁䅣杏歁䕁䅙䅊硁䑁䅁睎䅁䩁䤸䅁⭂䅁䅁睊扂䕁䅍睢睂䡁䅫䅉療䝁䅙䅉呂䙁䅁睒時䕁䅍睢瑂䡁䅁兙畂䡁䅫睘䱂䝁䅕入呂䡁䅑兙あ䡁䅍睘㉂䑁䅅睘䝂䝁䅫杢桂䝁䅷杌㑂䝁䅷督瑂䙁䄰杕桂䡁䅑兡療䡁䅍睊桁䍁䅑䅒歁䑁䅙杏歁䕁䅯䅊㉁䅁䅁䅯䅧䡁䄴䅁湁䙁䅳睑療䡁䅁入杁䝁䄸杚杁䙁䅍䅕䡂䙁䄸睑療䝁䄰䅣桂䝁䄴入時䕁䅳党㕂䙁䅍䅤桂䡁䅑督時䡁䅙免時䕁䅙兡畂䝁䅅䅢畁䡁䅧䅢穂䝁䄰兘卂䝁䅅䅤灂䝁䄸督湁䍁䅅䅊䕂䍁䅑睎㙁䍁䅑杓歁䑁䅣䅁桃䅃䅁䅤䅁䍁䅣睗䑂䝁䄸䅣㕂䍁䅁睢浂䍁䅁睕兂䕁䅣睘䑂䝁䄸兢睂䝁䅅杢㕂䙁䄸睓求䡁䅫睕あ䝁䅅䅤穂䙁䄸杤硁䙁䄸杒灂䝁䄴兙獂䍁䄴䅥獂䡁䅍兢摂䙁䅉兙あ䝁䅫睢穂䍁䅣光歁䕁䅍䅊㍁䅁䅁杯䅧䥁䅑䅁湁䙁䅳睑療䡁䅁入杁䝁䄸杚杁䙁䅍䅕䡂䙁䄸睑療䝁䄰䅣桂䝁䄴入時䕁䅳党㕂䙁䅍䅤桂䡁䅑督時䡁䅙免時䕁䅙兡畂䝁䅅䅢畁䡁䅧䅢穂䝁䄰兘卂䝁䅅䅤灂䝁䄸督湁䍁䅅䅊䑂䍁䅑免祁䑁䅯䅊䑂䍁䅑免ㅁ䑁䅧䅁橃䅃䅁䅧䅁䍁䅣睗䑂䝁䄸䅣㕂䍁䅁睢浂䍁䅁睕兂䕁䅣睘䑂䝁䄸兢睂䝁䅅杢㕂䙁䄸睓求䡁䅫睕あ䝁䅅䅤穂䙁䄸杤硁䙁䄸杒灂䝁䄴兙獂䍁䄴䅥獂䡁䅍兢摂䙁䅍兤睂䡁䅁䅢求䝁䄰党畂䡁䅑兙獂䍁䅣光歁䕁䅍䅊㍁䅁䅁兰䅧䩁䅁䅁湁䙁䅳睑療䡁䅁入杁䝁䄸杚杁䙁䅍䅕䡂䙁䄸睑療䝁䄰䅣桂䝁䄴入時䕁䅳党㕂䙁䅍䅤桂䡁䅑督時䡁䅙免時䕁䅙兡畂䝁䅅䅢畁䡁䅧䅢穂䝁䄰兘呂䡁䅕䅣睂䝁䅷党瑂䝁䅕杢あ䝁䅅䅢湁䍁䅅䅊䑂䍁䅑免祁䑁䅯䅊䑂䍁䅑免㉁䑁䅕䅁浃䅃䅁杩䅁䍁䅣睗䑂䝁䄸䅣㕂䍁䅁睢浂䍁䅁睕兂䕁䅣睘䑂䝁䄸兢睂䝁䅅杢㕂䙁䄸睓求䡁䅫睕あ䝁䅅䅤穂䙁䄸杤硁䙁䄸杒灂䝁䄴兙獂䍁䄴䅥獂䡁䅍兢摂䙁䅍兤睂䡁䅁䅢求䝁䄰党畂䡁䅑兙獂䍁䅣光歁䕁䅑䅊㑁䑁䅯䅊䩂䍁䅑䅏䅁䭁䥣䅁䅃䅁䅁睊扂䕁䅍睢睂䡁䅫䅉療䝁䅙䅉呂䙁䅁睒時䕁䅍睢瑂䡁䅁兙畂䡁䅫睘䱂䝁䅕入呂䡁䅑兙あ䡁䅍睘㉂䑁䅅睘䝂䝁䅫杢桂䝁䅷杌㑂䝁䅷督瑂䙁䄰䅕求䝁䄴督灂䝁䄸杢瑁䕁䄸䅕䙂䕁䅉睊桁䍁䅑睑歁䑁䅣䅁潃䅃䅁权䅁䕁䅅兑兂䕁䅷䅁牃䅃䅁李䅁䕁䅅䅣睂䝁䅷党杁䕁䅫杢橂䍁䄴䅉潁䕁䄴兑呂䕁䅑兑剂䕁䅣睕㙁䕁䅅兑兂䕁䅷克䅁䭁䥷䅁歁䅁䅁睕兂䙁䄸兑䍂䙁䅍睘兂䕁䅕杕䩂䕁䄸䅒時䕁䅕睕啂䅁䅁䅳䅧䅁䄴䅁祁䑁䅁杍㑁䕁䅙兗䅁䱁䥅䅁佁䅁䅁杍睁䑁䅉李䝂䙁䅫䅁祃䅃䅁䅅䅁䑁䅉䅍祁䑁䅙杒剂䑁䅅䅁ぃ䅃䅁权䅁䕁䅙兕牁䑁䅉䅁ㅃ䅃䅁䅅䅁䑁䅉䅍祁䑁䅙杒剂䑁䅉䅁㉃䅃䅁权䅁䕁䅙兕牁䑁䅍䅁㍃䅃䅁杂䅁䙁䅅免䅁䱁䥯䅁佁䅁䅁杍睁䑁䅉兎䝂䙁䅫䅁㝃䅃䅁䅅䅁䑁䅉䅍祁䑁䅕杒剂䑁䅑䅁㡃䅃䅁䅮䅍䅁杷允䅁䅁䅙䅁䑁䅁䅷䅁䭁䥁䝣䅁䭁䝁䝅䅁䭁䅁䅅䅁䙁䅁䅁䅁权⭐䅚权婂杂䅁允䅁䅁䅅䅁䙁䙁䐶癶㉔穘䅨䍄䉁䅁䅁睂䅁䅁䅍䅄䅁䅁䅯睨䅙䅁䅯䅗䅙䅁䅯允䅁䅁䅕䅁䅁䭁⽁欵䙁䅁䅁䅁杁⭓䅚权呄睂䅁允䅁䅁䅅䅁䙁偁汖慡浦橱䅤䍄䉁䅁䅁杂䅁䅁䅍䅄䅁䅁䅯睨䅙䅁䅯兡䅙䅁䅯允䅁䅁䅕䅁䅁䕁瑂欵䭁䙁䝫䅁䉁䅁䅁允䅁䅁䅕婮桹併摐歏䵁䅉䅅䅁䡁䅁䅁睁䵁䅁䅁权䡃杂䅁权楂杂䅁权剂杂䅁兂䅁䅁䅁䑯洯䅑䅕䅁䅁䍁䱂欵䭁乁䡉䅁䉁䅁䅁允䅁䅁䅕兢䨳灋呹䕍䵁䅉䅅䅁䡁䅁䅁睁䵁䅁䅁权䡃杂䅁权浂杂䅁权䉁䅁䅁兂䅁䅁䅁䡷浪䅑䅕䅁䅁䝁㥂欵䭁乁䡑䅁䉁䅁䅁允䅁䅁䅕煍楺捪䑷䕎䵁䅉䅅䅁䡁䅁䅁睁䵁䅁䅁权䡃杂䅁权捂杂䅁权䉁䅁䅁兂䅁䅁䅁䕉浶䅑䅕䅁䅁䝁坂欵䭁乁䡑䅁䉁䅁䅁允䅁䅁䅕っ坷砹㤹歏䵁䅉䅅䅁䡁䅁䅁睁䵁䅁䅁权䡃杂䅁权時杂䅁权剂杂䅁兂䅁䅁䅁䝑洳䅑䅕䅁䅁䵁㑂欵䭁乁䡉䅁䉁䅁䅁允䅁䅁䅕唰祪䵃䕁歍䵁䅉䅅䅁䡁䅁䅁睁䵁䅁䅁权䡃杂䅁权歂杂䅁权䉁䅁䅁兂䅁䅁䅁䝷浈䅑䅕䅁䅁䕁瑂欵䭁乁䡑䅁䉁䅁䅁允䅁䅁䅯免䅁䅁杷允䅁䅁䅣䅁䑁䅁䅷䅁䭁䥁䝣䅁䭁䙁䝑䅁䭁䅁䅅䅁䙁䅁䅁䅁杂畖䅚兂䅁䅁䅁䝷浈䅑䅯䄱䅣䅁䅅䅁䉁䅁䅁兂歂湏㙒琳栰䅑杷允䅁䅁䅣䅁䑁䅁䅷䅁䭁䥁䝣䅁䭁䙁䝕䅁䭁䅁䅅䅁䙁䅁䅁䅁权⭐䅚兂䅁䅁䅁䕉浶䅑䅯朰䅣䅁䅅䅁䉁䅁䅁兂㡄䡇塐灅䑂䅑杷允䅁䅁䅣䅁䑁䅁䅷䅁䭁䥁䝣䅁䭁䝁䝍䅁䭁䅁䅅䅁䙁䅁䅁䅁权⭐䅚兂䅁䅁䅁䕉浶䅑䅯眰䅣䅁䅅䅁䉁䅁䅁兂獄䉯塌呍祉䅑杷允䅁䅁䅙䅁䑁䅁䅷䅁䭁䥁䝣䅁䭁䙁䝑䅁䭁䅁䅅䅁䙁䅁䅁䅁杁低䅚权婂杂䅁允䅁䅁䅅䅁䙁䍁瑔桒稯剕䅴䍄䉁䅁䅁睂䅁䅁䅍䅄䅁䅁䅯睨䅙䅁䅯兖䅙䅁䅯允䅁䅁䅕䅁䅁䵁桂欵䙁䅁䅁䅁䅂敢䅚权卄睂䅁允䅁䅁䅅䅁䙁䥁晖甶乤な䅤䍄䉁䅁䅁睂䅁䅁䅍䅄䅁䅁䅯睨䅙䅁䅯杘䅙䅁䅯兕䅙䅁䅕䅁䅁䍁䱂欵䙁䅁䅁䅁杂畖䅚权剄睂䅁允䅁䅁䅅䅁䙁䱁䕳卹䍲⭬⽧䍄䉁䅁䅁杂䅁䅁䅍䅄䅁䅁䅯睨䅙䅁䅯杗䅙䅁䅯兕䅙䅁䅕䅁䅁䭁⽁欵䭁䙁䝫䅁䉁䅁䅁允䅁䅁䅕瑤䅷儵䭥啎䵁䅉䅅䅁䝁䅁䅁睁䵁䅁䅁权䡃杂䅁权煂杂䅁权㥁䅁䅁兂䅁䅁䅁䝑洳䅑䅯兗䅙䅁䅅䅁䉁䅁䅁兂䱃剮洰杙桁䅑杷允䅁䅁䅙䅁䑁䅁䅷䅁䭁䥁䝣䅁䭁䙁䜸䅁䭁䙁䝅䅁䙁䅁䅁䅁杂畖䅚权婂杂䅁允䅁䅁䅅䅁䙁䱁偕慢渫䑂䅂䍄䉁䅁䅁杂䅁䅁䅍䅄䅁䅁䅯睨䅙䅁䅯杘䅙䅁䅯兕䅙䅁䅕䅁䅁䭁⽁欵䭁䙁䝫䅁䉁䅁䅁允䅁䅁䅕杤畤䵭慥啅䵁䅉䅅䅁䡁䅁䅁睁䵁䅁䅁权䡃杂䅁权兂杂䅁权剂杂䅁兂䅁䅁䅁䙙浢䅑䅕䅁䅁䵁桂欵䭁乁䡍䅁䉁䅁䅁允䅁䅁䅕穉乍㔸漲歄䵁䅉䅅䅁䡁䅁䅁睁䵁䅁䅁权䡃杂䅁权奂杂䅁权䉁䅁䅁兂䅁䅁䅁䕉浶䅑䅕䅁䅁䝁坂欵䭁乁䡁䅁䉁䅁䅁允䅁䅁䅕佩兏歎㘸䕐䵁䅉䅅䅁䡁䅁䅁睁䵁䅁䅁权䡃杂䅁权浂杂䅁权䉁䅁䅁兂䅁䅁䅁䑯洯䅑䅕䅁䅁䍁䱂欵䭁乁䡅䅁䉁䅁䅁允䅁䅁䅕歰歓穰䍌吴䴸䅉䅅䅁䡁䅁䅁睁䵁䅁䅁权䡃杂䅁权捂杂䅁权䉁䅁䅁兂䅁䅁䅁䝷浈䅑䅕䅁䅁䕁瑂欵䭁乁䡉䅁䉁䅁䅁允䅁䅁䅕䕪⽬㑌䑘く䵁䅉䅅䅁䡁䅁䅁睁䵁䅁䅁权䡃杂䅁权奂杂䅁权䉁䅁䅁兂䅁䅁䅁䑯洯䅑䅕䅁䅁䍁䱂欵䭁乁䡁䅁䉁䅁䅁允䅁䅁䅕⽅癇摐匱問䵁䅉䅅䅁䡁䅁䅁睁䵁䅁䅁权䡃杂䅁权歂杂䅁权䉁䅁䅁兂䅁䅁䅁䕉浶䅑䅕䅁䅁䝁坂欵䭁乁䡑䅁䉁䅁䅁允䅁䅁䅯免䅁䅁杷允䅁䅁䅣䅁䑁䅁䅷䅁䭁䥁䝣䅁䭁䝁䝫䅁䭁䅁䅅䅁䙁䅁䅁䅁杂畖䅚兂䅁䅁䅁䝷浈䅑䅯䄱䅣䅁䅅䅁䉁䅁䅁兂剂煶䙃䥂㕑䅑杷允䅁䅁䅣䅁䑁䅁䅷䅁䭁䥁䝣䅁䭁䙁䜰䅁䭁䅁䅅䅁䙁䅁䅁䅁权⭐䅚兂䅁䅁䅁䕉浶䅑䅯䄱䅣䅁䅅䅁䉁䅁䅁兂歂唶塍䠱䭣䅑杷允䅁䅁䅣䅁䑁䅁䅷䅁䭁䥁䝣䅁䭁䙁䜴䅁䭁䙁䝅䅁䙁䅁䅁䅁䅄教䅚兂䅁䅁䅁䝑洳䅑䅯䄱䅣䅁䅅䅁䉁䅁䅁兂䩃䉶番㉪䭷䅑杷允䅁䅁䅣䅁䑁䅁䅷䅁䭁䥁䝣䅁䭁䙁䝯䅁䭁䙁䝅䅁䙁䅁䅁䅁杁⭓䅚兂䅁䅁䅁䙙浢䅑䅯䄱䅣䅁䅅䅁䉁䅁䅁兂⭁浚兕䜲㈰䅑杷允䅁䅁䅣䅁䑁䅁䅷䅁䭁䥁䝣䅁䭁䙁䜸䅁䭁䙁䝅䅁䙁䅁䅁䅁杁⭓䅚兂䅁䅁䅁䙙浢䅑䅯䄰䅣䅁䅅䅁䉁䅁䅁兂硂獶猵ㅚ瘸䅑杷允䅁䅁䅣䅁䑁䅁䅷䅁䭁䥁䝣䅁䭁䝁䝙䅁䭁䅁䅅䅁䙁䅁䅁䅁杁⭓䅚兂䅁䅁䅁䙙浢䅑䅯䄱䅣䅁䅅䅁䉁䅁䅁兂桃晶㑰䄶穣䅑杷允䅁䅁䅣䅁䑁䅁䅷䅁䭁䥁䝣䅁䭁䝁䝍䅁䭁䅁䅅䅁䙁䅁䅁䅁䅄佋䅚兂䅁䅁䅁䑉浔䅑䅯䄱䅣䅁䅅䅁䉁䅁䅁兂潃硕搷䙃獍䅑杷允䅁䅁䅣䅁䑁䅁䅷䅁䭁䥁䝣䅁䭁䙁䝧䅁䭁䅁䅅䅁䙁䅁䅁䅁权⭐䅚兂䅁䅁䅁䕉浶䅑䅯朰䅣䅁䅅䅁䉁䅁䅁兂硂䅹卢晸㙙䅑杷允䅁䅁䅣䅁䑁䅁䅷䅁䭁䥁䝣䅁䭁䝁䝅䅁䭁䅁䅅䅁䙁䅁䅁䅁䅄佥䅚兂䅁䅁䅁䡙洳䅑䅯眰䅣䅁䅅䅁䉁䅁䅁兂祁噤㉤敷㕑䅑杷允䅁䅁䅣䅁䑁䅁䅷䅁䭁䥁䝣䅁䭁䝁䝷䅁䭁䙁䝅䅁䙁䅁䅁䅁䅄教䅚兂䅁䅁䅁䝑洳䅑䅯䄱䅣䅁䅅䅁䉁䅁䅁兂䥃䝙敖䅓䵷䅑杷允䅁䅁䅙䅁䑁䅁䅷䅁䭁䥁䝣䅁䭁䝁䝉䅁䭁䙁䝅䅁䙁䅁䅁䅁杂敦䅚权婂杂䅁允䅁䅁䅅䅁䭁䑁䅅䅁䵁䅉䅅䅁䡁䅁䅁睁䵁䅁䅁权䡃杂䅁权灂杂䅁权䉁䅁䅁兂䅁䅁䅁䝷浈䅑䅕䅁䅁䕁瑂欵䭁乁䡉䅁䉁䅁䅁允䅁䅁䅕歱䙩女捕啐䵁䅉䅅䅁䡁䅁䅁睁䵁䅁䅁权䡃杂䅁权桂杂䅁权䉁䅁䅁兂䅁䅁䅁䙙浢䅑䅕䅁䅁䵁桂欵䭁乁䡅䅁䉁䅁䅁允䅁䅁䅕䙄畱㝨娰歅䵁䅉䅅䅁䑁䅁䅁睁䵁䅁䅁权䡃杂䅁权橁䅁䅁允䅁䅁䅅䅁䭁䡁䝕䅁䵁䅉䅅䅁䡁䅁䅁睁䵁䅁䅁权䡃杂䅁权慂杂䅁权剂杂䅁兂䅁䅁䅁䑉浔䅑䅕䅁䅁䭁⽁欵䭁乁䡉䅁䉁䅁䅁允䅁䅁䅕㔯䍧低潭啎䵁䅉䅅䅁䡁䅁䅁睁䵁䅁䅁权䡃杂䅁权噂杂䅁权䉁䅁䅁兂䅁䅁䅁䝑洳䅑䅕䅁䅁䵁㑂欵䭁乁䡁䅁䉁䅁䅁允䅁䅁䅕慄佲䝃楳歒䵁䅉䅅䅁䡁䅁䅁睁䵁䅁䅁权䡃杂䅁权橂杂䅁权䉁䅁䅁兂䅁䅁䅁䝷浈䅑䅕䅁䅁䕁瑂欵䭁乁䡁䅁䉁䅁䅁允䅁䅁䅕䡪杖㜷塑き䵁䅉䅅䅁䝁䅁䅁睁䵁䅁䅁权䡃杂䅁权敂杂䅁权剂杂䅁兂䅁䅁䅁䝑洳䅑䅯兗䅙䅁䅅䅁䉁䅁䅁兂䉃㉸扴倸䬸䅑杷允䅁䅁䅣䅁䑁䅁䅷䅁䭁䥁䝣䅁䭁䙁䝑䅁䭁䅁䅅䅁䙁䅁䅁䅁䅄教䅚兂䅁䅁䅁䝑洳䅑䅯儰䅣䅁䅅䅁䉁䅁䅁兂汁ㅇ䑆ㅵ浺睐杷允䅁䅁䅣䅁䑁䅁䅷䅁䭁䥁䝣䅁䭁䙁䝙䅁䭁䅁䅅䅁䙁䅁䅁䅁杁⭓䅚兂䅁䅁䅁䙙浢䅑䅯䄰䅣䅁䅅䅁䉁䅁䅁兂䍃䉉唲ぇ剕䅑杷允䅁䅁䅣䅁䑁䅁䅷䅁䭁䥁䝣䅁䭁䙁䜴䅁䭁䙁䝅䅁䙁䅁䅁䅁权⭐䅚兂䅁䅁䅁䕉浶䅑䅯䄱䅣䅁䅅䅁䉁䅁䅁兂汄儯煕乸剉䅑杷允䅁䅁䅣䅁䑁䅁䅷䅁䭁䥁䝣䅁䭁䝁䝷䅁䭁䙁䝅䅁䙁䅁䅁䅁权⭐䅚兂䅁䅁䅁䕉浶䅑䅯眰䅣䅁䅅䅁䉁䅁䅁兂㡁卪䅲塍䡷䅑杷允䅁䅁䅣䅁䑁䅁䅷䅁䭁䥁䝣䅁䭁䝁䝅䅁䭁䅁䅅䅁䙁䅁䅁䅁䅄教䅚兂䅁䅁䅁䝑洳䅑䅯眰䅣䅁䅅䅁䉁䅁䅁兂杄㉌䱚癖䌹䅑杷允䅁䅁䅣䅁䑁䅁䅷䅁䭁䥁䝣䅁䭁䝁䝉䅁䭁䙁䝅䅁䙁䅁䅁䅁杁⭓䅚兂䅁䅁䅁䙙浢䅑䅯䄰䅣䅁䅅䅁䉁䅁䅁兂呂呑噮湥睙䅑杷允䅁䅁䅣䅁䑁䅁䅷䅁䭁䥁䝣䅁䭁䙁䝁䅁䭁䙁䝅䅁䙁䅁䅁䅁䅄佋䅚兂䅁䅁䅁䑉浔䅑䅯朰䅣䅁䅅䅁䉁䅁䅁兂婃䑅捤䴲䱯䅑杷允䅁䅁䅣䅁䑁䅁䅷䅁䭁䥁䝣䅁䭁䙁䝁䅁䭁䙁䝅䅁䙁䅁䅁䅁䅄佋䅚兂䅁䅁䅁䑉浔䅑䅯䄱䅣䅁䅅䅁䉁䅁䅁兂㙂坍ぃ䕙䩳䅑杷允䅁䅁䅣䅁䑁䅁䅷䅁䭁䥁䝣䅁䭁䝁䝧䅁䭁䙁䝅䅁䙁䅁䅁䅁杂畖䅚兂䅁䅁䅁䝷浈䅑䅯儰䅣䅁䅅䅁䉁䅁䅁兂㥁⼵ㅡ䅂㑌睐杷允䅁䅁䅣䅁䑁䅁䅷䅁䭁䥁䝣䅁䭁䙁䝁䅁䭁䙁䝅䅁䙁䅁䅁䅁杁⭓䅚兂䅁䅁䅁䙙浢䅑䅯儰䅣䅁䅅䅁䉁䅁䅁兂噂卺䥭䡢䥦睐杷允䅁䅁䅣䅁䑁䅁䅷䅁䭁䥁䝣䅁䭁䙁䜸䅁䭁䙁䝅䅁䙁䅁䅁䅁䅄佥䅚兂䅁䅁䅁䡙洳䅑䅯眰䅣䅁䅅䅁䉁䅁䅁兂灁䵴⽍䉶瘰䅑杷允䅁䅁䅣䅁䑁䅁䅷䅁䭁䥁䝣䅁䭁䙁䝑䅁䭁䅁䅅䅁䙁䅁䅁䅁䅄佥䅚兂䅁䅁䅁䡙洳䅑䅯䄰䅣䅁䅅䅁䉁䅁䅁兂硃匰呧呢樰䅑杷允䅁䅁䅣䅁䑁䅁䅷䅁䭁䥁䝣䅁䭁䙁䝕䅁䭁䅁䅅䅁䙁䅁䅁䅁杂畖䅚兂䅁䅁䅁䝷浈䅑䅯眰䅣䅁䅅䅁䉁䅁䅁兂⭁昷塄䑚䍎䅑杷允䅁䅁䅣䅁䑁䅁䅷䅁䭁䥁䝣䅁䭁䙁䝕䅁䭁䅁䅅䅁䙁䅁䅁䅁杁低䅚兂䅁䅁䅁䑯洯䅑䅯䄱䅣䅁䅅䅁䉁䅁䅁兂㉃扮䝚䑂⼸䅑杷允䅁䅁䅣䅁䑁䅁䅷䅁䭁䥁䝣䅁䭁䝁䝫䅁䭁䅁䅅䅁䙁䅁䅁䅁权⭐䅚兂䅁䅁䅁䕉浶䅑䅯朰䅣䅁䅅䅁䉁䅁䅁兂呄票漶穢㑫䅑杷允䅁䅁䅣䅁䑁䅁䅷䅁䭁䥁䝣䅁䭁䙁䜴䅁䭁䙁䝅䅁䙁䅁䅁䅁杂畖䅚兂䅁䅁䅁䝷浈䅑䅯䄰䅣䅁䅅䅁䉁䅁䅁兂畄極材牂䭷䅑杷允䅁䅁䅣䅁䑁䅁䅷䅁䭁䥁䝣䅁䭁䙁䝙䅁䭁䅁䅅䅁䙁䅁䅁䅁杂畖䅚兂䅁䅁䅁䝷浈䅑䅯儰䅣䅁䅅䅁䉁䅁䅁兂㍃潌乩癰呔睐杷允䅁䅁䅣䅁䑁䅁䅷䅁䭁䥁䝣䅁䭁䝁䝧䅁䭁䙁䝅䅁䙁䅁䅁䅁杂畖䅚兂䅁䅁䅁䝷浈䅑䅯眰䅣䅁䅅䅁䉁䅁䅁兂歄䤯䍰慦ぁ䅑杷允䅁䅁䅙䅁䑁䅁䅷䅁䭁䥁䝣䅁䭁䙁䜴䅁䭁䙁䝅䅁䙁䅁䅁䅁䅄教䅚权婂杂䅁允䅁䅁䅅䅁䙁䥁⬰䅱癗杬䄵䍄䉁䅁䅁睂䅁䅁䅍䅄䅁䅁䅯睨䅙䅁䅯睘䅙䅁䅯兕䅙䅁䅕䅁䅁䵁桂欵䙁䅁䅁䅁䅂敢䅚权剄睂䅁允䅁䅁䅅䅁䙁䑁塊灱唲晦⽅䍄䉁䅁䅁睂䅁䅁䅍䅄䅁䅁䅯睨䅙䅁䅯䅡䅙䅁䅯兕䅙䅁䅕䅁䅁䍁ぁ欵䙁䅁䅁䅁权⭐䅚权呄睂䅁允䅁䅁䅅䅁䙁䑁剐歷異橰䅆䍄䉁䅁䅁杂䅁䅁䅍䅄䅁䅁䅯睨䅙䅁䅯䅚䅙䅁䅯允䅁䅁䅕䅁䅁䕁瑂欵䭁䙁䝫䅁䉁䅁䅁允䅁䅁䅯党䅙䅁杷允䅁䅁䅣䅁䑁䅁䅷䅁䭁䥁䝣䅁䭁䙁䝕䅁䭁䅁䅅䅁䙁䅁䅁䅁杁低䅚兂䅁䅁䅁䑯洯䅑䅯䄰䅣䅁䅅䅁䉁䅁䅁兂灃㝤摧獏⽕䅑杷允䅁䅁䅣䅁䑁䅁䅷䅁䭁䥁䝣䅁䭁䙁䜸䅁䭁䙁䝅䅁䙁䅁䅁䅁杂畖䅚兂䅁䅁䅁䝷浈䅑䅯䄰䅣䅁䅅䅁䉁䅁䅁兂乃扭䭴歃睉䅑杷允䅁䅁䅣䅁䑁䅁䅷䅁䭁䥁䝣䅁䭁䝁䝫䅁䭁䅁䅅䅁䙁䅁䅁䅁杁⭓䅚兂䅁䅁䅁䙙浢䅑䅯䄰䅣䅁䅅䅁䉁䅁䅁兂祃㍋㉌李㕙䅑杷允䅁䅁䅣䅁䑁䅁䅷䅁䭁䥁䝣䅁䭁䙁䜰䅁䭁䅁䅅䅁䙁䅁䅁䅁杁⭓䅚兂䅁䅁䅁䙙浢䅑䅯儰䅣䅁䅅䅁䉁䅁䅁兂䡃㑔癨其丯睐杷允䅁䅁䅙䅁䑁䅁䅷䅁䭁䥁䝣䅁䭁䙁䝯䅁䭁䙁䝅䅁䙁䅁䅁䅁杁低䅚权婂杂䅁允䅁䅁䅅䅁䙁䭁㕸兹橴穕䅆䍄䉁䅁䅁杂䅁䅁䅍䅄䅁䅁䅯睨䅙䅁䅯杙䅙䅁䅯兕䅙䅁䅕䅁䅁䍁䱂欵䭁䙁䝫䅁䉁䅁䅁允䅁䅁䅕䔷匴癋摏歌䵁䅉䅅䅁䡁䅁䅁睁䵁䅁䅁权䡃杂䅁权坂杂䅁权䉁䅁䅁兂䅁䅁䅁䕉浶䅑䅕䅁䅁䝁坂欵䭁乁䡑䅁䉁䅁䅁允䅁䅁䅕搹䉫砱䑗啅䵁䅉䅅䅁䝁䅁䅁睁䵁䅁䅁权䡃杂䅁权摂杂䅁权䉁䅁䅁兂䅁䅁䅁䝷浈䅑䅯兗䅙䅁䅅䅁䉁䅁䅁兂㕄㙯穧㌹剁䅑杷允䅁䅁䅣䅁䑁䅁䅷䅁䭁䥁䝣䅁䭁䙁䜴䅁䭁䙁䝅䅁䙁䅁䅁䅁杁低䅚兂䅁䅁䅁䑯洯䅑䅯眰䅣䅁䅅䅁䉁䅁䅁兂杂䕅湹䘲乑䅑杷允䅁䅁䅣䅁䑁䅁䅷䅁䭁䥁䝣䅁䭁䝁䝯䅁䭁䑁䄰䅁䙁䅁䅁䅁权⭐䅚兂䅁䅁䅁䕉浶䅑䅯䄱䅣䅁䅅䅁䉁䅁䅁兂煃䡄㍦牂晧䅑杷允䅁䅁䅣䅁䑁䅁䅷䅁䭁䥁䝣䅁䭁䙁䝧䅁䭁䅁䅅䅁䙁䅁䅁䅁杂畖䅚兂䅁䅁䅁䝷浈䅑䅯䄱䅣䅁䅅䅁䉁䅁䅁兂摃杓䅡煋㡉䅑杷允䅁䅁䅣䅁䑁䅁䅷䅁䭁䥁䝣䅁䭁䝁䝯䅁䭁䑁䄰䅁䙁䅁䅁䅁杁低䅚兂䅁䅁䅁䑯洯䅑䅯䄱䅣䅁䅅䅁䉁䅁䅁兂坄㡅塮潰慳䅑杷允䅁䅁䅣䅁䑁䅁䅷䅁䭁䥁䝣䅁䭁䝁䝯䅁䭁䑁䄰䅁䙁䅁䅁䅁䅄教䅚兂䅁䅁䅁䝑洳䅑䅯朰䅣䅁䅅䅁䉁䅁䅁兂剂〵䉹奚桫䅑杷允䅁䅁䅣䅁䑁䅁䅷䅁䭁䥁䝣䅁䭁䙁䝷䅁䭁䅁䅅䅁䙁䅁䅁䅁杂畖䅚兂䅁䅁䅁䝷浈䅑䅯儰䅣䅁䅅䅁䉁䅁䅁兂⭂䨱摦⬴穈睐杷允䅁䅁䅣䅁䑁䅁䅷䅁䭁䥁䝣䅁䭁䝁䝙䅁䭁䅁䅅䅁䙁䅁䅁䅁杁⭓䅚兂䅁䅁䅁䙙浢䅑䅯䄰䅣䅁䅅䅁䉁䅁䅁兂敄坯煦噋礴䅑杷允䅁䅁䅙䅁䑁䅁䅷䅁䭁䥁䝣䅁䭁䝁䝯䅁䭁䑁䄰䅁䙁䅁䅁䅁䅄教䅚权婂杂䅁允䅁䅁䅅䅁䙁䙁湈䥔汆卩䅆䍄䉁䅁䅁睂䅁䅁䅍䅄䅁䅁䅯睨䅙䅁䅯兖䅙䅁䅯允䅁䅁䅕䅁䅁䵁桂欵䙁䅁䅁䅁䅂敢䅚权剄睂䅁允䅁䅁䅅䅁䙁䥁㑅汲㥒䅦䅴䍄䉁䅁䅁睂䅁䅁䅍䅄䅁䅁䅯睨䅙䅁䅯杚䅙䅁䅯允䅁䅁䅕䅁䅁䕁瑂欵䙁䅁䅁䅁䅄佥䅚权卄睂䅁允䅁䅁䅅䅁䙁䡁灤㉷灆䑋䅖䍄䉁䅁䅁睂䅁䅁䅍䅄䅁䅁䅯睨䅙䅁䅯䅡䅙䅁䅯兕䅙䅁䅕䅁䅁䭁⽁欵䙁䅁䅁䅁杁⭓䅚权啄睂䅁允䅁䅁䅅䅁䙁䉁橣剁晁䑳䅖䍄䉁䅁䅁睂䅁䅁䅍䅄䅁䅁䅯睨䅙䅁䅯䅢䅙䅁䅯兕䅙䅁䅕䅁䅁䭁⽁欵䙁䅁䅁䅁杁⭓䅚权啄睂䅁允䅁䅁䅅䅁䙁䭁儷啥潍東䅬䍄䉁䅁䅁睂䅁䅁䅍䅄䅁䅁䅯睨䅙䅁䅯杗䅙䅁䅯兕䅙䅁䅕䅁䅁䝁坂欵䙁䅁䅁䅁䅄教䅚权啄睂䅁允䅁䅁䅅䅁䙁䉁⭌䡰䉘呱䅖䍄䉁䅁䅁杂䅁䅁䅍䅄䅁䅁䅯睨䅙䅁䅯杗䅙䅁䅯兕䅙䅁䅕䅁䅁䝁坂欵䭁䙁䝫䅁䉁䅁䅁允䅁䅁䅕乢児䱁眹歎䵁䅉䅅䅁䝁䅁䅁睁䵁䅁䅁权䡃杂䅁权捂杂䅁权䉁䅁䅁兂䅁䅁䅁䝑洳䅑䅯兗䅙䅁䅅䅁䉁䅁䅁兂塂穐䩢睪ㅑ䅑杷允䅁䅁䅣䅁䑁䅁䅷䅁䭁䥁䝣䅁䭁䙁䝙䅁䭁䅁䅅䅁䙁䅁䅁䅁䅄教䅚兂䅁䅁䅁䝑洳䅑䅯儰䅣䅁䅅䅁䉁䅁䅁兂偃畁ぺ票午睐杷允䅁䅁䅣䅁䑁䅁䅷䅁䭁䥁䝣䅁䭁䙁䜰䅁䭁䅁䅅䅁䙁䅁䅁䅁䅄佋䅚兂䅁䅁䅁䑉浔䅑䅯朰䅣䅁䅅䅁䉁䅁䅁兂婁㥣卣焸䝅䅑杷允䅁䅁䅣䅁䑁䅁䅷䅁䭁䥁䝣䅁䭁䝁䝑䅁䭁䅁䅅䅁䙁䅁䅁䅁权⭐䅚兂䅁䅁䅁䕉浶䅑䅯眰䅣䅁䅅䅁䉁䅁䅁权硁䅁䅁䍄䉁䅁䅁睂䅁䅁䅍䅄䅁䅁䅯睨䅙䅁䅯条䅙䅁䅯児䅁䅁䅕䅁䅁䍁ぁ欵䙁䅁䅁䅁权⭐䅚权卄睂䅁允䅁䅁䅅䅁䙁䉁娰䝢㡭砹䄵䍄䉁䅁䅁睂䅁䅁䅍䅄䅁䅁䅯睨䅙䅁䅯兖䅙䅁䅯允䅁䅁䅕䅁䅁䍁ぁ欵䙁䅁䅁䅁权⭐䅚权卄睂䅁允䅁䅁䅅䅁䙁䕁癕ㅯ畨啅䅊䍄䉁䅁䅁睂䅁䅁䅍䅄䅁䅁䅯睨䅙䅁䅯䅘䅙䅁䅯允䅁䅁䅕䅁䅁䍁ぁ欵䙁䅁䅁䅁权⭐䅚权兄睂䅁允䅁䅁䅅䅁䙁䅁㕯⼷吸䑄䅤䍄䉁䅁䅁睂䅁䅁䅍䅄䅁䅁䅯睨䅙䅁䅯䅡䅙䅁䅯兕䅙䅁䅕䅁䅁䭁⽁欵䙁䅁䅁䅁杁⭓䅚权卄睂䅁允䅁䅁䅅䅁䙁䩁穬䉨⬴穑䅤䍄䉁䅁䅁睂䅁䅁䅍䅄䅁䅁䅯睨䅙䅁䅯䅖䅙䅁䅯允䅁䅁䅕䅁䅁䵁潁欵䙁䅁䅁䅁杁低䅚权啄睂䅁允䅁䅁䅅䅁䙁佁癷祵偣砲䅰䍄䉁䅁䅁睂䅁䅁䅍䅄䅁䅁䅯睨䅙䅁䅯杗䅙䅁䅯兕䅙䅁䅕䅁䅁䵁潁欵䙁䅁䅁䅁杁低䅚权兄睂䅁允䅁䅁䅅䅁䙁乁㍹留匰穏䅆䍄䉁䅁䅁睂䅁䅁䅍䅄䅁䅁䅯睨䅙䅁䅯䅕䅙䅁䅯兕䅙䅁䅕䅁䅁䭁⽁欵䙁䅁䅁䅁杁⭓䅚权兄睂䅁允䅁䅁䅅䅁䙁䵁䉌摭匹䅕䄹䍄䉁䅁䅁睂䅁䅁䅍䅄䅁䅁䅯睨䅙䅁䅯杗䅙䅁䅯兕䅙䅁䅕䅁䅁䭁⽁欵䙁䅁䅁䅁杁⭓䅚权卄睂䅁允䅁䅁䅅䅁䙁䭁⽮奤㙹穱䅚䍄䉁䅁䅁睂䅁䅁䅍䅄䅁䅁䅯睨䅙䅁䅯䅗䅙䅁䅯允䅁䅁䅕䅁䅁䍁䱂欵䙁䅁䅁䅁杂畖䅚权呄睂䅁允䅁䅁䅅䅁䙁䭁獅䡦琲稰䅨䍄䉁䅁䅁睂䅁䅁䅍䅄䅁䅁䅯睨䅙䅁䅯睘䅙䅁䅯兕䅙䅁䅕䅁䅁䍁ぁ欵䙁䅁䅁䅁权⭐䅚权呄睂䅁允䅁䅁䅅䅁䙁䥁䱷睩䥹䌱䅨䍄䉁䅁䅁睂䅁䅁䅍䅄䅁䅁䅯睨䅙䅁䅯兡䅙䅁䅯允䅁䅁䅕䅁䅁䭁⽁欵䙁䅁䅁䅁杁⭓䅚权啄睂䅁允䅁䅁䅅䅁䙁䑁午㥩㥲橵䅚䍄䉁䅁䅁睂䅁䅁䅍䅄䅁䅁䅯睨䅙䅁䅯杙䅙䅁䅯兕䅙䅁䅕䅁䅁䍁䱂欵䙁䅁䅁䅁杂畖䅚权卄睂䅁允䅁䅁䅅䅁䙁䱁硉慭㥹味䅆䍄䉁䅁䅁杂䅁䅁䅍䅄䅁䅁䅯睨䅙䅁䅯杖䅙䅁䅯允䅁䅁䅕䅁䅁䍁ぁ欵䭁䙁䝫䅁䉁䅁䅁允䅁䅁䅕灐㥐稸村歃䵁䅉䅅䅁䡁䅁䅁睁䵁䅁䅁权䡃杂䅁权潂杂䅁权剂杂䅁兂䅁䅁䅁䝷浈䅑䅕䅁䅁䕁瑂欵䭁乁䡍䅁䉁䅁䅁允䅁䅁䅕㡄獯䠴瑑䕎䵁䅉䅅䅁䡁䅁䅁睁䵁䅁䅁权䡃杂䅁权楂杂䅁权剂杂䅁兂䅁䅁䅁䑉浔䅑䅕䅁䅁䭁⽁欵䭁乁䡍䅁䉁䅁䅁允䅁䅁䅕敇䱆㑳楬䕋䵁䅉䅅䅁䡁䅁䅁睁䵁䅁䅁权䡃杂䅁权歂杂䅁权䉁䅁䅁兂䅁䅁䅁䕉浶䅑䅕䅁䅁䝁坂欵䭁乁䡍䅁䉁䅁䅁允䅁䅁䅯免䅁䅁杷允䅁䅁䅙䅁䑁䅁䅷䅁䭁䥁䝣䅁䭁䝁䝧䅁䭁䙁䝅䅁䙁䅁䅁䅁杁低䅚权婂杂䅁允䅁䅁䅅䅁䙁䑁剐歷異橰䅆䍄䉁䅁䅁睂䅁䅁䅍䅄䅁䅁䅯睨䅙䅁䅯兡䅙䅁䅯允䅁䅁䅕䅁䅁䵁潁欵䙁䅁䅁䅁杁低䅚权兄睂䅁允䅁䅁䅅䅁䙁䅁晎態乇䑬䅆䍄䉁䅁䅁睂䅁䅁䅍䅄䅁䅁䅯睨䅙䅁䅯杖䅙䅁䅯允䅁䅁䅕䅁䅁䵁潁欵䙁䅁䅁䅁杁低䅚权呄睂䅁允䅁䅁䅅䅁䙁偁䵐㉹㍈先䅬䍄䉁䅁䅁睂䅁䅁䅍䅄䅁䅁䅯睨䅙䅁䅯兖䅙䅁䅯允䅁䅁䅕䅁䅁䕁瑂欵䙁䅁䅁䅁䅄佥䅚权啄睂䅁允䅁䅁䅅䅁䙁䝁敲奣佱䕏䅚䍄䉁䅁䅁睂䅁䅁䅍䅄䅁䅁䅯睨䅙䅁䅯杚䅙䅁䅯允䅁䅁䅕䅁䅁䭁⽁欵䙁䅁䅁䅁杁⭓䅚权啄睂䅁允䅁䅁䅅䅁䙁䙁牯栲湺橨䅂䍄䉁䅁䅁睂䅁䅁䅍䅄䅁䅁䅯睨䅙䅁䅯兙䅙䅁䅯允䅁䅁䅕䅁䅁䍁䱂欵䙁䅁䅁䅁杂畖䅚权卄睂䅁允䅁䅁䅅䅁䙁䵁稯㑰焳歬䅒䍄䉁䅁䅁睂䅁䅁䅍䅄䅁䅁䅯睨䅙䅁䅯杗䅙䅁䅯兕䅙䅁䅕䅁䅁䵁桂欵䙁䅁䅁䅁䅂敢䅚权剄睂䅁允䅁䅁䅅䅁䙁䝁䵍噰呂⽯⽯䍄䉁䅁䅁杂䅁䅁䅍䅄䅁䅁䅯睨䅙䅁䅯睙䅙䅁䅯允䅁䅁䅕䅁䅁䍁ぁ欵䭁䙁䝫䅁䉁䅁䅁允䅁䅁䅕㉙穌坣儳䕌䵁䅉䅅䅁䡁䅁䅁睁䵁䅁䅁权䡃杂䅁权桂杂䅁权䉁䅁䅁兂䅁䅁䅁䙙浢䅑䅕䅁䅁䵁桂欵䭁乁䡑䅁䉁䅁䅁允䅁䅁䅕桘卐潇獍歒䵁䅉䅅䅁䡁䅁䅁睁䵁䅁䅁权䡃杂䅁权桂杂䅁权䉁䅁䅁兂䅁䅁䅁䝑洳䅑䅕䅁䅁䵁㑂欵䭁乁䡁䅁䉁䅁䅁允䅁䅁䅕䉴睐浱敬け䵁䅉䅅䅁䡁䅁䅁睁䵁䅁䅁权䡃杂䅁权獂杂䅁权剂杂䅁兂䅁䅁䅁䍷浪䅑䅕䅁䅁䍁ぁ欵䭁乁䡉䅁䉁䅁䅁允䅁䅁䅕⽰佹牢稯啂䵁䅉䅅䅁䝁䅁䅁睁䵁䅁䅁权䡃杂䅁权橂杂䅁权䉁䅁䅁兂䅁䅁䅁䡙洳䅑䅯兗䅙䅁䅅䅁䉁䅁䅁兂乂圹⭔吰ㅣ䅑杷允䅁䅁䅣䅁䑁䅁䅷䅁䭁䥁䝣䅁䭁䙁䜴䅁䭁䙁䝅䅁䙁䅁䅁䅁杂畖䅚兂䅁䅁䅁䝷浈䅑䅯朰䅣䅁䅅䅁䉁䅁䅁兂乃煐䙧㕲余䅑杷允䅁䅁䅕䅁䑁䅁䅷䅁䭁䥁䝣䅁䭁䩁䡣䅁䙁䅁䅁䅁杁佣䅚权扃䅃䅁允䅁䅁䅅䅁啁䉁䈰䅁䅁䅁䅁䍄䉁䅁䅁睂䅁䅁䅍䅄䅁䅁䅯睨䅙䅁䅯杙䅙䅁䅯兕䅙䅁䅕䅁䅁䝁坂欵䙁䅁䅁䅁䅄教䅚权卄睂䅁允䅁䅁䅅䅁䙁䡁さ敩剃樯䅊䍄䉁䅁䅁睂䅁䅁䅍䅄䅁䅁䅯睨䅙䅁䅯睙䅙䅁䅯允䅁䅁䅕䅁䅁䵁潁欵䙁䅁䅁䅁杁低䅚权卄睂䅁允䅁䅁䅅䅁䙁䙁桔⽺浂呌䅂䍄䉁䅁䅁睂䅁䅁䅍䅄䅁䅁䅯睨䅙䅁䅯䅕䅙䅁䅯兕䅙䅁䅕䅁䅁䝁坂欵䙁䅁䅁䅁䅄教䅚权卄睂䅁允䅁䅁䅅䅁䙁䉁摑䴰偅桔䅎䍄䉁䅁䅁睂䅁䅁䅍䅄䅁䅁䅯睨䅙䅁䅯杗䅙䅁䅯兕䅙䅁䅕䅁䅁䕁瑂欵䙁䅁䅁䅁䅄佥䅚权剄睂䅁允䅁䅁䅅䅁䙁䥁偡㕨奌⭁⽉䍄䉁䅁䅁杂䅁䅁䅍䅄䅁䅁䅯睨䅙䅁䅯睘䅙䅁䅯兕䅙䅁䅕䅁䅁䍁䱂欵䭁䙁䝫䅁䉁䅁䅁允䅁䅁䅕啎商祫㘫䕌䵁䅉䅅䅁䡁䅁䅁睁䵁䅁䅁权䡃杂䅁权時杂䅁权剂杂䅁兂䅁䅁䅁䕉浶䅑䅕䅁䅁䝁坂欵䭁乁䡑䅁䉁䅁䅁允䅁䅁䅕睬搶偃䭅䕍䵁䅉䅅䅁䡁䅁䅁睁䵁䅁䅁权䡃杂䅁权煂杂䅁权㥁䅁䅁兂䅁䅁䅁䙙浢䅑䅕䅁䅁䵁桂欵䭁乁䡑䅁䉁䅁䅁允䅁䅁䅕䩓䝌桦䙔歈䵁䅉䅅䅁䡁䅁䅁睁䵁䅁䅁权䡃杂䅁权敂杂䅁权剂杂䅁兂䅁䅁䅁䝷浈䅑䅕䅁䅁䕁瑂欵䭁乁䡅䅁䉁䅁䅁允䅁䅁䅕奂⼰牔洷樱䴸䅉䅅䅁䡁䅁䅁睁䵁䅁䅁权䡃杂䅁权桂杂䅁权䉁䅁䅁兂䅁䅁䅁䡷浪䅑䅕䅁䅁䝁㥂欵䭁乁䡅䅁䉁䅁䅁允䅁䅁䅕䙩䱺昴桡䕅䵁䅉䅅䅁䡁䅁䅁睁䵁䅁䅁权䡃杂䅁权敂杂䅁权剂杂䅁兂䅁䅁䅁䑯洯䅑䅕䅁䅁䍁䱂欵䭁乁䡁䅁䉁䅁䅁允䅁䅁䅕洴㉌噱⭌啅䵁䅉䅅䅁䡁䅁䅁睁䵁䅁䅁权䡃杂䅁权歂杂䅁权䉁䅁䅁兂䅁䅁䅁䍷浪䅑䅕䅁䅁䍁ぁ欵䭁乁䡁䅁䉁䅁䅁允䅁䅁䅯免䅁䅁杷允䅁䅁䅣䅁䑁䅁䅷䅁䭁䥁䝣䅁䭁䝁䝙䅁䭁䅁䅅䅁䙁䅁䅁䅁䅄教䅚兂䅁䅁䅁䝑洳䅑䅯眰䅣䅁䅅䅁䉁䅁䅁兂杂獫啯㍣硷䅑杷允䅁䅁䅙䅁䑁䅁䅷䅁䭁䥁䝣䅁䭁䝁䝯䅁䭁䑁䄰䅁䙁䅁䅁䅁杂畖䅚权婂杂䅁允䅁䅁䅅䅁䙁䅁婳卺济桭䄱䍄䉁䅁䅁睂䅁䅁䅍䅄䅁䅁䅯睨䅙䅁䅯杖䅙䅁䅯允䅁䅁䅕䅁䅁䍁䱂欵䙁䅁䅁䅁杂畖䅚权剄睂䅁允䅁䅁䅅䅁䙁䙁杈捎㝄㡴⽯䍄䉁䅁䅁睂䅁䅁䅍䅄䅁䅁䅯睨䅙䅁䅯䅖䅙䅁䅯允䅁䅁䅕䅁䅁䵁桂欵䙁䅁䅁䅁䅂敢䅚权兄睂䅁允䅁䅁䅅䅁䙁偁㉲案䙌䌳䅆䍄䉁䅁䅁睂䅁䅁䅍䅄䅁䅁䅯睨䅙䅁䅯杗䅙䅁䅯兕䅙䅁䅕䅁䅁䍁ぁ欵䙁䅁䅁䅁权⭐䅚权兄睂䅁允䅁䅁䅅䅁䙁偁歧硧慕穖䅎䍄䉁䅁䅁睂䅁䅁䅍䅄䅁䅁䅯睨䅙䅁䅯䅡䅙䅁䅯兕䅙䅁䅕䅁䅁䍁ぁ欵䙁䅁䅁䅁权⭐䅚权啄睂䅁允䅁䅁䅅䅁䙁䅁敖䜯䭅䑍䅎䍄䉁䅁䅁睂䅁䅁䅍䅄䅁䅁䅯睨䅙䅁䅯䅕䅙䅁䅯兕䅙䅁䅕䅁䅁䍁ぁ欵䙁䅁䅁䅁权⭐䅚权卄睂䅁允䅁䅁䅅䅁䙁䙁㘯㍇䅱兣䄹䍄䉁䅁䅁睂䅁䅁䅍䅄䅁䅁䅯睨䅙䅁䅯䅗䅙䅁䅯允䅁䅁䅕䅁䅁䵁潁欵䙁䅁䅁䅁杁低䅚权兄睂䅁允䅁䅁䅅䅁䙁佁婥㜷歡穬䅒䍄䉁䅁䅁睂䅁䅁䅍䅄䅁䅁䅯睨䅙䅁䅯䅢䅙䅁䅯兕䅙䅁䅕䅁䅁䍁䱂欵䙁䅁䅁䅁杂畖䅚权剄睂䅁允䅁䅁䅅䅁䙁䭁晴眫焲㡃⽳䍄䉁䅁䅁睂䅁䅁䅍䅄䅁䅁䅯睨䅙䅁䅯兖䅙䅁䅯允䅁䅁䅕䅁䅁䵁潁欵䙁䅁䅁䅁杁低䅚权兄睂䅁允䅁䅁䅅䅁䙁偁牐䉁穩橖䅸䍄䉁䅁䅁睂䅁䅁䅍䅄䅁䅁䅯睨䅙䅁䅯兡䅙䅁䅯允䅁䅁䅕䅁䅁䝁坂欵䙁䅁䅁䅁䅄教䅚权兄睂䅁允䅁䅁䅅䅁䙁䅁獰䕷奄穮䅬䍄䉁䅁䅁睂䅁䅁䅍䅄䅁䅁䅯睨䅙䅁䅯䅚䅙䅁䅯允䅁䅁䅕䅁䅁䭁⽁欵䙁䅁䅁䅁杁⭓䅚权剄睂䅁允䅁䅁䅅䅁䭁䑁䅅䅁䵁䅉䅅䅁䡁䅁䅁睁䵁䅁䅁权䡃杂䅁权浂杂䅁权䉁䅁䅁兂䅁䅁䅁䑯洯䅑䅕䅁䅁䍁䱂欵䭁乁䡁䅁䉁䅁䅁允䅁䅁䅕串塥㡁㑬䕍䵁䅉䅅䅁䡁䅁䅁睁䵁䅁䅁权䡃杂䅁权獂杂䅁权剂杂䅁兂䅁䅁䅁䍷浪䅑䅕䅁䅁䍁ぁ欵䭁乁䡑䅁䉁䅁䅁允䅁䅁䅕䝂䙢婺䉄ぁ䵁䅉䅅䅁䡁䅁䅁睁䵁䅁䅁权䡃杂䅁权獂杂䅁权剂杂䅁兂䅁䅁䅁䑉浔䅑䅕䅁䅁䭁⽁欵䭁乁䡉䅁䉁䅁䅁允䅁䅁䅕㕃㙷祹琲啃䵁䅉䅅䅁䡁䅁䅁睁䵁䅁䅁权䡃杂䅁权敂杂䅁权剂杂䅁兂䅁䅁䅁䕉浶䅑䅕䅁䅁䝁坂欵䭁乁䡁䅁䉁䅁䅁允䅁䅁䅕癒眱㡊牸歄䵁䅉䅅䅁䡁䅁䅁睁䵁䅁䅁权䡃杂䅁权潂杂䅁权剂杂䅁兂䅁䅁䅁䙙浢䅑䅕䅁䅁䵁桂欵䭁乁䡁䅁䉁䅁䅁允䅁䅁䅕剖㔱汷䩒ぎ䵁䅉䅅䅁䝁䅁䅁睁䵁䅁䅁权䡃杂䅁权橂杂䅁权䉁䅁䅁兂䅁䅁䅁䡷浪䅑䅯兗䅙䅁䅅䅁䉁䅁䅁兂䥃砹奸潪㍷䅑杷允䅁䅁䅣䅁䑁䅁䅷䅁䭁䥁䝣䅁䭁䝁䝫䅁䭁䅁䅅䅁䙁䅁䅁䅁䅄佋䅚兂䅁䅁䅁䑉浔䅑䅯朰䅣䅁䅅䅁䉁䅁䅁兂敃䙘杍穳積䅑杷允䅁䅁䅣䅁䑁䅁䅷䅁䭁䥁䝣䅁䭁䙁䝷䅁䭁䅁䅅䅁䙁䅁䅁䅁䅄教䅚兂䅁䅁䅁䝑洳䅑䅯䄱䅣䅁䅅䅁䉁䅁䅁兂䑃乩こ㕩穕䅑杷允䅁䅁䅣䅁䑁䅁䅷䅁䭁䥁䝣䅁䭁䙁䝑䅁䭁䅁䅅䅁䙁䅁䅁䅁䅂敢䅚兂䅁䅁䅁䡷浪䅑䅯朰䅣䅁䅅䅁䉁䅁䅁兂坃䙃⽔䉉汯䅑杷允䅁䅁䅣䅁䑁䅁䅷䅁䭁䥁䝣䅁䭁䙁䝧䅁䭁䅁䅅䅁䙁䅁䅁䅁杂畖䅚兂䅁䅁䅁䝷浈䅑䅯䄰䅣䅁䅅䅁䉁䅁䅁兂塂娰樰婳㠴䅑杷允䅁䅁䅙䅁䑁䅁䅷䅁䭁䥁䝣䅁䭁䝁䝯䅁䭁䑁䄰䅁䙁䅁䅁䅁权⭐䅚权婂杂䅁允䅁䅁䅅䅁䙁䙁丸䠰慖䉰䄵䍄䉁䅁䅁睂䅁䅁䅍䅄䅁䅁䅯睨䅙䅁䅯睘䅙䅁䅯兕䅙䅁䅕䅁䅁䵁潁欵䙁䅁䅁䅁杁低䅚权卄睂䅁允䅁䅁䅅䅁䙁乁塎湫瑘匰䅴䍄䉁䅁䅁睂䅁䅁䅍䅄䅁䅁䅯睨䅙䅁䅯䅚䅙䅁䅯允䅁䅁䅕䅁䅁䝁坂欵䙁䅁䅁䅁䅄教䅚权卄睂䅁允䅁䅁䅅䅁䭁䑁䅅䅁䵁䅉䅅䅁䡁䅁䅁睁䵁䅁䅁权䡃杂䅁权桂杂䅁权䉁䅁䅁兂䅁䅁䅁䍷浪䅑䅕䅁䅁䍁ぁ欵䭁乁䡑䅁䉁䅁䅁允䅁䅁䅕倫戲祆⭣き䵁䅉䅅䅁䡁䅁䅁睁䵁䅁䅁权䡃杂䅁权煂杂䅁权㥁䅁䅁兂䅁䅁䅁䕉浶䅑䅕䅁䅁䝁坂欵䭁乁䡑䅁䉁䅁䅁允䅁䅁䅕乍破楡琷歈䵁䅉䅅䅁䡁䅁䅁睁䵁䅁䅁权䡃杂䅁权楂杂䅁权剂杂䅁兂䅁䅁䅁䑉浔䅑䅕䅁䅁䭁⽁欵䭁乁䡑䅁䉁䅁䅁允䅁䅁䅕慊決䱒塙か䵁䅉䅅䅁䡁䅁䅁睁䵁䅁䅁权䡃杂䅁权噂杂䅁权䉁䅁䅁兂䅁䅁䅁䑉浔䅑䅕䅁䅁䭁⽁欵䭁乁䡅䅁䉁䅁䅁允䅁䅁䅕扆㍑慒䱉啁䵁䅉䅅䅁䡁䅁䅁睁䵁䅁䅁权䡃杂䅁权坂杂䅁权䉁䅁䅁兂䅁䅁䅁䑉浔䅑䅕䅁䅁䭁⽁欵䭁乁䡅䅁䉁䅁䅁允䅁䅁䅕か癢䝂㠯橹䴸䅉䅅䅁䝁䅁䅁睁䵁䅁䅁权䡃杂䅁权㑃睂䅁权⭃睂䅁兂䅁䅁䅁䡙洳䅑䅯䅶䅣䅁䅅䅁䉁䅁䅁睂䅁䅁䅁䡉浄䅑杷允䅁䅁䅣䅁䑁䅁䅷䅁䭁䥁䝣䅁䭁䝁䝙䅁䭁䅁䅅䅁䙁䅁䅁䅁䅄教䅚兂䅁䅁䅁䝑洳䅑䅯朰䅣䅁䅅䅁䉁䅁䅁兂㍄硏䙑椫㉧䅑杷允䅁䅁䅙䅁䑁䅁䅷䅁䭁䥁䝣䅁䭁䙁䜸䅁䭁䙁䝅䅁䙁䅁䅁䅁䅂敢䅚权婂杂䅁允䅁䅁䅅䅁䙁䑁⽇䭩乢橁䅆䍄䉁䅁䅁睂䅁䅁䅍䅄䅁䅁䅯睨䅙䅁䅯䅕䅙䅁䅯兕䅙䅁䅕䅁䅁䵁桂欵䙁䅁䅁䅁䅂敢䅚权兄睂䅁允䅁䅁䅅䅁䙁䕁䭨䙈摹剙䅆䍄䉁䅁䅁杂䅁䅁䅍䅄䅁䅁䅯睨䅙䅁䅯䅖䅙䅁䅯允䅁䅁䅕䅁䅁䍁䱂欵䭁䙁䝫䅁䉁䅁䅁允䅁䅁䅕湏党敩杵䕉䵁䅉䅅䅁䡁䅁䅁睁䵁䅁䅁权䡃杂䅁权坂杂䅁权䉁䅁䅁兂䅁䅁䅁䝑洳䅑䅕䅁䅁䵁㑂欵䭁乁䡑䅁䉁䅁䅁允䅁䅁䅕䜶煦奤䅵䕆䵁䅉䅅䅁䡁䅁䅁睁䵁䅁䅁权䡃杂䅁权摂杂䅁权䉁䅁䅁兂䅁䅁䅁䝷浈䅑䅕䅁䅁䕁瑂欵䭁乁䡑䅁䉁䅁䅁允䅁䅁䅕㌫卙晅水歄䵁䅉䅅䅁䝁䅁䅁睁䵁䅁䅁权䡃杂䅁权煂杂䅁权㥁䅁䅁兂䅁䅁䅁䙙浢䅑䅯儰䅣䅁䅅䅁䉁䅁䅁兂祄呔桴兖牌睐杷允䅁䅁䅣䅁䑁䅁䅷䅁䭁䥁䝣䅁䭁䝁䝉䅁䭁䙁䝅䅁䙁䅁䅁䅁权⭐䅚兂䅁䅁䅁䕉浶䅑䅯儰䅣䅁䅅䅁䉁䅁䅁兂䉄堯佘敚決睐杷允䅁䅁䅣䅁䑁䅁䅷䅁䭁䥁䝣䅁䭁䝁䝙䅁䭁䅁䅅䅁䙁䅁䅁䅁䅂敢䅚兂䅁䅁䅁䡷浪䅑䅯眰䅣䅁䅅䅁䉁䅁䅁兂摁圵㉁塁穉䅑杷允䅁䅁䅣䅁䑁䅁䅷䅁䭁䥁䝣䅁䭁䙁䜰䅁䭁䅁䅅䅁䙁䅁䅁䅁杁低䅚兂䅁䅁䅁䑯洯䅑䅯䄱䅣䅁䅅䅁䉁䅁䅁兂䉃呺㑬瑊䝑䅑杷允䅁䅁䅣䅁䑁䅁䅷䅁䭁䥁䝣䅁䭁䝁䝅䅁䭁䅁䅅䅁䙁䅁䅁䅁权⭐䅚兂䅁䅁䅁䕉浶䅑䅯眰䅣䅁䅅䅁䉁䅁䅁兂䅁噣癥楉㐸䅑杷允䅁䅁䅣䅁䑁䅁䅷䅁䭁䥁䝣䅁䭁䝁䝙䅁䭁䅁䅅䅁䙁䅁䅁䅁杁低䅚兂䅁䅁䅁䑯洯䅑䅯䄰䅣䅁䅅䅁䉁䅁䅁兂佂奔㍉䰵瑫䅑杷允䅁䅁䅣䅁䑁䅁䅷䅁䭁䥁䝣䅁䭁䙁䝧䅁䭁䅁䅅䅁䙁䅁䅁䅁䅄教䅚兂䅁䅁䅁䝑洳䅑䅯眰䅣䅁䅅䅁䉁䅁䅁兂佄摸㈯佂㐰䅑杷允䅁䅁䅣䅁䑁䅁䅷䅁䭁䥁䝣䅁䭁䝁䝍䅁䭁䅁䅅䅁䙁䅁䅁䅁杁⭓䅚兂䅁䅁䅁䙙浢䅑䅯䄰䅣䅁䅅䅁䉁䅁䅁兂䝁祔桧瑺㍉䅑杷允䅁䅁䅣䅁䑁䅁䅷䅁䭁䥁䝣䅁䭁䙁䝧䅁䭁䅁䅅䅁䙁䅁䅁䅁杁低䅚兂䅁䅁䅁䑯洯䅑䅯朰䅣䅁䅅䅁䉁䅁䅁兂䑄⭚杶䑙㕣䅑杷允䅁䅁䅣䅁䑁䅁䅷䅁䭁䥁䝣䅁䭁䝁䝍䅁䭁䅁䅅䅁䙁䅁䅁䅁䅄佥䅚兂䅁䅁䅁䡙洳䅑䅯眰䅣䅁䅅䅁䉁䅁䅁兂桂灱ㅭ䍆ㅧ䅑杷允䅁䅁䅣䅁䑁䅁䅷䅁䭁䥁䝣䅁䭁䙁䝁䅁䭁䙁䝅䅁䙁䅁䅁䅁杁⭓䅚兂䅁䅁䅁䙙浢䅑䅯朰䅣䅁䅅䅁䉁䅁䅁兂楄慈瑬捵剁䅑杷允䅁䅁䅣䅁䑁䅁䅷䅁䭁䥁䝣䅁䭁䝁䝅䅁䭁䅁䅅䅁䙁䅁䅁䅁杂畖䅚兂䅁䅁䅁䝷浈䅑䅯眰䅣䅁䅅䅁䉁䅁䅁兂湁剷卶䑱䉂䅑杷允䅁䅁䅣䅁䑁䅁䅷䅁䭁䥁䝣䅁䭁䝁䝯䅁䭁䑁䄰䅁䙁䅁䅁䅁䅂敢䅚兂䅁䅁䅁䡷浪䅑䅯䄱䅣䅁䅅䅁䉁䅁䅁兂流扷㙯㙖楣䅑杷允䅁䅁䅕䅁䑁䅁䅷䅁䭁䥁䝣䅁䭁䩁䡣䅁䙁䅁䅁䅁杂⭑䅚权扃䅃䅁允䅁䅁䅅䅁䙁䵁䴳䵺䵺䝮䅬䍄䉁䅁䅁杂䅁䅁䅍䅄䅁䅁䅯睨䅙䅁䅯䅚䅙䅁䅯允䅁䅁䅕䅁䅁䭁⽁欵䭁䙁䝫䅁䉁䅁䅁允䅁䅁䅯党䅙䅁杷允䅁䅁䅣䅁䑁䅁䅷䅁䭁䥁䝣䅁䭁䝁䝙䅁䭁䅁䅅䅁䙁䅁䅁䅁杁⭓䅚兂䅁䅁䅁䙙浢䅑䅯朰䅣䅁䅅䅁䉁䅁䅁兂煁潣㑩协〰䅑杷允䅁䅁䅣䅁䑁䅁䅷䅁䭁䥁䝣䅁䭁䝁䝉䅁䭁䙁䝅䅁䙁䅁䅁䅁䅄教䅚兂䅁䅁䅁䝑洳䅑䅯儰䅣䅁䅅䅁䉁䅁䅁兂偄潱楱摍㍄睐杷允䅁䅁䅕䅁䑁䅁䅷䅁䭁䥁䝣䅁䭁䡁䝙䅁䭁䉁䄸䅁䙁䅁䅁䅁杂敦䅚允䅁䅁䅅䅁䭁䡁䝣䅁䵁䅉䅅䅁䡁䅁䅁睁䵁䅁䅁权䡃杂䅁权噂杂䅁权䉁䅁䅁兂䅁䅁䅁䕉浶䅑䅕䅁䅁䝁坂欵䭁乁䡉䅁䉁䅁䅁允䅁䅁䅕㍓塦娲偂歒䵁䅉䅅䅁䝁䅁䅁睁䵁䅁䅁权䡃杂䅁权浂杂䅁权䉁䅁䅁兂䅁䅁䅁䝷浈䅑䅯兗䅙䅁䅅䅁䉁䅁䅁兂㍄硏䙑椫㉧䅑杷允䅁䅁䅣䅁䑁䅁䅷䅁䭁䥁䝣䅁䭁䙁䜸䅁䭁䙁䝅䅁䙁䅁䅁䅁杂畖䅚兂䅁䅁䅁䝷浈䅑䅯朰䅣䅁䅅䅁䉁䅁䅁兂䕂兒䈳剕祑䅑杷允䅁䅁䅣䅁䑁䅁䅷䅁䭁䥁䝣䅁䭁䝁䝧䅁䭁䙁䝅䅁䙁䅁䅁䅁杁⭓䅚兂䅁䅁䅁䙙浢䅑䅯䄰䅣䅁䅅䅁䉁䅁䅁兂卄㡕䩨畐㈸䅑杷允䅁䅁䅣䅁䑁䅁䅷䅁䭁䥁䝣䅁䭁䙁䝑䅁䭁䅁䅅䅁䙁䅁䅁䅁杁低䅚兂䅁䅁䅁䑯洯䅑䅯儰䅣䅁䅅䅁䉁䅁䅁兂婄硇䍵硓效睐杷允䅁䅁䅣䅁䑁䅁䅷䅁䭁䥁䝣䅁䭁䙁䜴䅁䭁䙁䝅䅁䙁䅁䅁䅁䅄教䅚兂䅁䅁䅁䝑洳䅑䅯䄰䅣䅁䅅䅁䉁䅁䅁兂塁灬煗䉏䭕䅑杷允䅁䅁䅣䅁䑁䅁䅷䅁䭁䥁䝣䅁䭁䙁䝑䅁䭁䅁䅅䅁䙁䅁䅁䅁权⭐䅚兂䅁䅁䅁䕉浶䅑䅯䄰䅣䅁䅅䅁䉁䅁䅁兂坁䙓湔⭳杣䅑杷允䅁䅁䅣䅁䑁䅁䅷䅁䭁䥁䝣䅁䭁䙁䝯䅁䭁䙁䝅䅁䙁䅁䅁䅁杂畖䅚兂䅁䅁䅁䝷浈䅑䅯䄰䅣䅁䅅䅁䉁䅁䅁兂奃㔸儵⭎ㅯ䅑杷允䅁䅁䅣䅁䑁䅁䅷䅁䭁䥁䝣䅁䭁䙁䝷䅁䭁䅁䅅䅁䙁䅁䅁䅁杂畖䅚兂䅁䅁䅁䝷浈䅑䅯䄱䅣䅁䅅䅁䉁䅁䅁兂䅃⬸䕌㉖㕣䅑杷允䅁䅁䅙䅁䑁䅁䅷䅁䭁䥁䝣䅁䭁䙁䝙䅁䭁䅁䅅䅁䙁䅁䅁䅁杁⭓䅚权婂杂䅁允䅁䅁䅅䅁䙁䉁奖䙁䝍朷䄹䍄䉁䅁䅁睂䅁䅁䅍䅄䅁䅁䅯睨䅙䅁䅯䅕䅙䅁䅯兕䅙䅁䅕䅁䅁䵁㑂欵䙁䅁䅁䅁杂敦䅚权兄睂䅁允䅁䅁䅅䅁䙁䕁癚ふ汏栫䅊䍄䉁䅁䅁睂䅁䅁䅍䅄䅁䅁䅯睨䅙䅁䅯䅡䅙䅁䅯兕䅙䅁䅕䅁䅁䵁㑂欵䙁䅁䅁䅁杂敦䅚权啄睂䅁允䅁䅁䅅䅁䙁佁稴䰶䅔䑯䅨䍄䉁䅁䅁睂䅁䅁䅍䅄䅁䅁䅯睨䅙䅁䅯䅕䅙䅁䅯兕䅙䅁䅕䅁䅁䕁瑂欵䙁䅁䅁䅁䅄佥䅚权卄睂䅁允䅁䅁䅅䅁䙁䭁䭰摓㑇砹䅎䍄䉁䅁䅁睂䅁䅁䅍䅄䅁䅁䅯睨䅙䅁䅯兖䅙䅁䅯允䅁䅁䅕䅁䅁䵁桂欵䙁䅁䅁䅁䅂敢䅚权呄睂䅁允䅁䅁䅅䅁䙁䵁乣㕶畴啈䅊䍄䉁䅁䅁杂䅁䅁䅍䅄䅁䅁䅯睨䅙䅁䅯杗䅙䅁䅯兕䅙䅁䅕䅁䅁䵁桂欵䭁䙁䝫䅁䉁䅁䅁允䅁䅁䅕積敖䱮祒䕏䵁䅉䅅䅁䝁䅁䅁睁䵁䅁䅁权䡃杂䅁权橂杂䅁权䉁䅁䅁兂䅁䅁䅁䙙浢䅑䅯兗䅙䅁䅅䅁䉁䅁䅁兂䕂穯䥵扮㑫䅑杷允䅁䅁䅣䅁䑁䅁䅷䅁䭁䥁䝣䅁䭁䝁䝙䅁䭁䅁䅅䅁䙁䅁䅁䅁䅄佋䅚兂䅁䅁䅁䑉浔䅑䅯眰䅣䅁䅅䅁䉁䅁䅁兂獂啐㑍癚灅䅑杷允䅁䅁䅣䅁䑁䅁䅷䅁䭁䥁䝣䅁䭁䙁䝷䅁䭁䅁䅅䅁䙁䅁䅁䅁䅄佋䅚兂䅁䅁䅁䑉浔䅑䅯䄰䅣䅁䅅䅁䉁䅁䅁兂㡂䡘砲杒硍䅑杷允䅁䅁䅣䅁䑁䅁䅷䅁䭁䥁䝣䅁䭁䙁䝷䅁䭁䅁䅅䅁䙁䅁䅁䅁䅄教䅚兂䅁䅁䅁䝑洳䅑䅯眰䅣䅁䅅䅁䉁䅁䅁兂坁兩煬䈫祉䅑杷允䅁䅁䅣䅁䑁䅁䅷䅁䭁䥁䝣䅁䭁䝁䝙䅁䭁䅁䅅䅁䙁䅁䅁䅁䅄佋䅚兂䅁䅁䅁䑉浔䅑䅯䄱䅣䅁䅅䅁䉁䅁䅁兂橄㥍⽫㙔煳䅑杷允䅁䅁䅣䅁䑁䅁䅷䅁䭁䥁䝣䅁䭁䙁䝁䅁䭁䙁䝅䅁䙁䅁䅁䅁䅄教䅚兂䅁䅁䅁䝑洳䅑䅯眰䅣䅁䅅䅁䉁䅁䅁兂捃則是牸偧䅑杷允䅁䅁䅙䅁䑁䅁䅷䅁䭁䥁䝣䅁䭁䙁䝕䅁䭁䅁䅅䅁䙁䅁䅁䅁䅄教䅚权婂杂䅁允䅁䅁䅅䅁䙁䥁晖甶乤な䅤䍄䉁䅁䅁睂䅁䅁䅍䅄䅁䅁䅯睨䅙䅁䅯杙䅙䅁䅯兕䅙䅁䅕䅁䅁䍁ぁ欵䙁䅁䅁䅁权⭐䅚权卄睂䅁允䅁䅁䅅䅁䙁䥁捔啭刴䍥䄹䍄䉁䅁䅁睂䅁䅁䅍䅄䅁䅁䅯睨䅙䅁䅯䅕䅙䅁䅯兕䅙䅁䅕䅁䅁䍁䱂欵䙁䅁䅁䅁杂畖䅚权兄睂䅁允䅁䅁䅅䅁䙁偁卄㙂業䉲䅂䍄䉁䅁䅁睂䅁䅁䅍䅄䅁䅁䅯睨䅙䅁䅯兘䅙䅁䅯允䅁䅁䅕䅁䅁䭁⽁欵䙁䅁䅁䅁杁⭓䅚权兄睂䅁允䅁䅁䅅䅁䙁䝁⼶桎橄睔䅰䍄䉁䅁䅁杂䅁䅁䅍䅄䅁䅁䅯睨䅙䅁䅯杚䅙䅁䅯允䅁䅁䅕䅁䅁䍁ぁ欵䭁䙁䝫䅁䉁䅁䅁允䅁䅁䅕汩慱祗㡈歋䵁䅉䅅䅁䡁䅁䅁睁䵁䅁䅁权䡃杂䅁权啂杂䅁权䉁䅁䅁兂䅁䅁䅁䑯洯䅑䅕䅁䅁䍁䱂欵䭁乁䡉䅁䉁䅁䅁允䅁䅁䅕潍制䈷䭅歉䵁䅉䅅䅁䡁䅁䅁睁䵁䅁䅁权䡃杂䅁权歂杂䅁权䉁䅁䅁兂䅁䅁䅁䍷浪䅑䅕䅁䅁䍁ぁ欵䭁乁䡑䅁䉁䅁䅁允䅁䅁䅯免䅁䅁杷允䅁䅁䅣䅁䑁䅁䅷䅁䭁䥁䝣䅁䭁䙁䜸䅁䭁䙁䝅䅁䙁䅁䅁䅁䅄佋䅚兂䅁䅁䅁䑉浔䅑䅯䄰䅣䅁䅅䅁䉁䅁䅁兂婄塑祒礹灣䅑杷允䅁䅁䅣䅁䑁䅁䅷䅁䭁䥁䝣䅁䭁䝁䝅䅁䭁䅁䅅䅁䙁䅁䅁䅁杁低䅚兂䅁䅁䅁䑯洯䅑䅯眰䅣䅁䅅䅁䉁䅁䅁兂䝁扯偹㥯穅䅑杷允䅁䅁䅙䅁䑁䅁䅷䅁䭁䥁䝣䅁䭁䙁䝧䅁䭁䅁䅅䅁䙁䅁䅁䅁杂敦䅚权婂杂䅁允䅁䅁䅅䅁䙁䍁汋吲佷穕䅴䍄䉁䅁䅁睂䅁䅁䅍䅄䅁䅁䅯睨䅙䅁䅯䅖䅙䅁䅯允䅁䅁䅕䅁䅁䝁坂欵䙁䅁䅁䅁䅄教䅚权兄睂䅁允䅁䅁䅅䅁䙁䱁㍣橊䥍極䅆䍄䉁䅁䅁睂䅁䅁䅍䅄䅁䅁䅯睨䅙䅁䅯䅗䅙䅁䅯允䅁䅁䅕䅁䅁䝁坂欵䙁䅁䅁䅁䅄教䅚权卄睂䅁允䅁䅁䅅䅁䙁䱁㍏偬䙐樫䄹䍄䉁䅁䅁睂䅁䅁䅍䅄䅁䅁䅯睨䅙䅁䅯睙䅙䅁䅯允䅁䅁䅕䅁䅁䍁ぁ欵䙁䅁䅁䅁权⭐䅚权卄睂䅁允䅁䅁䅅䅁䙁䉁即ㄹ㙪䐯䅨䍄䉁䅁䅁睂䅁䅁䅍䅄䅁䅁䅯睨䅙䅁䅯兘䅙䅁䅯允䅁䅁䅕䅁䅁䍁䱂欵䙁䅁䅁䅁杂畖䅚权兄睂䅁允䅁䅁䅅䅁䙁䉁㑸䙨晚眱䅸䍄䉁䅁䅁杂䅁䅁䅍䅄䅁䅁䅯睨䅙䅁䅯䅵䅣䅁䅯兵䅣䅁䅕䅁䅁䝁㥂欵䭁䱁䡷䅁䉁䅁䅁允䅁䅁䅣䅁䅁䝁䑂欵䵁䅉䅅䅁䡁䅁䅁睁䵁䅁䅁权䡃杂䅁权坂杂䅁权䉁䅁䅁兂䅁䅁䅁䙙浢䅑䅕䅁䅁䵁桂欵䭁乁䡁䅁䉁䅁䅁允䅁䅁䅕支煏祮䭒歅䵁䅉䅅䅁䝁䅁䅁睁䵁䅁䅁权䡃杂䅁权奂杂䅁权䉁䅁䅁兂䅁䅁䅁䕉浶䅑䅯兗䅙䅁䅅䅁䉁䅁䅁兂敂猱䍑睘㔰䅑杷允䅁䅁䅣䅁䑁䅁䅷䅁䭁䥁䝣䅁䭁䝁䝑䅁䭁䅁䅅䅁䙁䅁䅁䅁䅄教䅚兂䅁䅁䅁䝑洳䅑䅯䄰䅣䅁䅅䅁䉁䅁䅁权硁䅁䅁䍄䉁䅁䅁杂䅁䅁䅍䅄䅁䅁䅯睨䅙䅁䅯杖䅙䅁䅯允䅁䅁䅕䅁䅁䵁桂欵䭁䙁䝫䅁䉁䅁䅁允䅁䅁䅕㕮敐㝎圶䕆䵁䅉䅅䅁䡁䅁䅁睁䵁䅁䅁权䡃杂䅁权時杂䅁权剂杂䅁兂䅁䅁䅁䑉浔䅑䅕䅁䅁䭁⽁欵䭁乁䡁䅁䉁䅁䅁允䅁䅁䅕噗祇塴牃か䵁䅉䅅䅁䡁䅁䅁睁䵁䅁䅁权䡃杂䅁权坂杂䅁权䉁䅁䅁兂䅁䅁䅁䙙浢䅑䅕䅁䅁䵁桂欵䭁乁䡍䅁䉁䅁䅁允䅁䅁䅕搲乄欯㕃い䵁䅉䅅䅁䡁䅁䅁睁䵁䅁䅁权䡃杂䅁权歂杂䅁权䉁䅁䅁兂䅁䅁䅁䍷浪䅑䅕䅁䅁䍁ぁ欵䭁乁䡉䅁䉁䅁䅁允䅁䅁䅯免䅁䅁杷允䅁䅁䅙䅁䑁䅁䅷䅁䭁䥁䝣䅁䭁䝁䝧䅁䭁䙁䝅䅁䙁䅁䅁䅁䅂敢䅚权婂杂䅁允䅁䅁䅅䅁䙁䅁ぬ䙖㉹橋䅨䍄䉁䅁䅁睂䅁䅁䅍䅄䅁䅁䅯睨䅙䅁䅯䅘䅙䅁䅯允䅁䅁䅕䅁䅁䍁䱂欵䙁䅁䅁䅁杂畖䅚权剄睂䅁允䅁䅁䅅䅁䙁䍁䅃㙂歒儹䅎䍄䉁䅁䅁睂䅁䅁䅍䅄䅁䅁䅯睨䅙䅁䅯䅖䅙䅁䅯允䅁䅁䅕䅁䅁䵁桂欵䙁䅁䅁䅁䅂敢䅚权卄睂䅁允䅁䅁䅅䅁䙁䩁浌㉪瑬楙䅒䍄䉁䅁䅁睂䅁䅁䅍䅄䅁䅁䅯睨䅙䅁䅯䅗䅙䅁䅯允䅁䅁䅕䅁䅁䵁桂欵䙁䅁䅁䅁䅂敢䅚权卄睂䅁允䅁䅁䅅䅁䙁䱁㍏偬䙐樫䄹䍄䉁䅁䅁睂䅁䅁䅍䅄䅁䅁䅯睨䅙䅁䅯䅘䅙䅁䅯允䅁䅁䅕䅁䅁䍁ぁ欵䙁䅁䅁䅁权⭐䅚权啄睂䅁允䅁䅁䅅䅁䙁䡁坹㠵摈告䅨䍄䉁䅁䅁睂䅁䅁䅍䅄䅁䅁䅯睨䅙䅁䅯兡䅙䅁䅯允䅁䅁䅕䅁䅁䵁桂欵䙁䅁䅁䅁䅂敢䅚权啄睂䅁允䅁䅁䅅䅁䙁䡁婯塸䱊穱䅨䍄䉁䅁䅁兂䅁䅁䅍䅄䅁䅁䅯睨䅙䅁䅯杤䅙䅁䅯䅥䅙䅁䅕䅁䅁䝁㥂欵䉁䅁䅁允䅁䅁䅯兲䅧䅁杷允䅁䅁䅣䅁䑁䅁䅷䅁䭁䥁䝣䅁䭁䙁䝙䅁䭁䅁䅅䅁䙁䅁䅁䅁䅄佥䅚兂䅁䅁䅁䡙洳䅑䅯䄰䅣䅁䅅䅁䉁䅁䅁兂䝁⭍䱁硆啉䅑杷允䅁䅁䅣䅁䑁䅁䅷䅁䭁䥁䝣䅁䭁䙁䝧䅁䭁䅁䅅䅁䙁䅁䅁䅁杁低䅚兂䅁䅁䅁䑯洯䅑䅯䄱䅣䅁䅅䅁䉁䅁䅁兂煁䩇啘坃㈴䅑杷允䅁䅁䅣䅁䑁䅁䅷䅁䭁䥁䝣䅁䭁䝁䝉䅁䭁䙁䝅䅁䙁䅁䅁䅁权⭐䅚兂䅁䅁䅁䕉浶䅑䅯眰䅣䅁䅅䅁䉁䅁䅁兂乄硉票䥯獫䅑杷允䅁䅁䅣䅁䑁䅁䅷䅁䭁䥁䝣䅁䭁䝁䝫䅁䭁䅁䅅䅁䙁䅁䅁䅁权⭐䅚兂䅁䅁䅁䕉浶䅑䅯眰䅣䅁䅅䅁䉁䅁䅁兂畃㡴唱䩩〸䅑杷允䅁䅁䅣䅁䑁䅁䅷䅁䭁䥁䝣䅁䭁䙁䝯䅁䭁䙁䝅䅁䙁䅁䅁䅁䅂敢䅚兂䅁䅁䅁䡷浪䅑䅯眰䅣䅁䅅䅁䉁䅁䅁兂㕃䑢佭呮㉙䅑杷允䅁䅁䅣䅁䑁䅁䅷䅁䭁䥁䝣䅁䭁䝁䝍䅁䭁䅁䅅䅁䙁䅁䅁䅁杁⭓䅚兂䅁䅁䅁䙙浢䅑䅯眰䅣䅁䅅䅁䉁䅁䅁兂呂牑煃歘稴䅑杷允䅁䅁䅣䅁䑁䅁䅷䅁䭁䥁䝣䅁䭁䝁䝫䅁䭁䅁䅅䅁䙁䅁䅁䅁䅄佥䅚兂䅁䅁䅁䡙洳䅑䅯䄱䅣䅁䅅䅁䉁䅁䅁兂汁瑁⽕䱩㙷䅑杷允䅁䅁䅣䅁䑁䅁䅷䅁䭁䥁䝣䅁䭁䝁䝷䅁䭁䙁䝅䅁䙁䅁䅁䅁杁⭓䅚兂䅁䅁䅁䙙浢䅑䅯䄰䅣䅁䅅䅁䉁䅁䅁兂扁㌶牪㤫䱍䅑杷允䅁䅁䅣䅁䑁䅁䅷䅁䭁䥁䝣䅁䭁䝁䝫䅁䭁䅁䅅䅁䙁䅁䅁䅁杂畖䅚兂䅁䅁䅁䝷浈䅑䅯眰䅣䅁䅅䅁䉁䅁䅁兂䡂杏橍㑌㉍䅑杷允䅁䅁䅙䅁䑁䅁䅷䅁䭁䥁䝣䅁䭁䙁䜸䅁䭁䙁䝅䅁䙁䅁䅁䅁䅄教䅚权婂杂䅁允䅁䅁䅅䅁䙁䕁䙒捄剆䑆䅊䍄䉁䅁䅁睂䅁䅁䅍䅄䅁䅁䅯睨䅙䅁䅯䅖䅙䅁䅯允䅁䅁䅕䅁䅁䍁䱂欵䙁䅁䅁䅁杂畖䅚权呄睂䅁允䅁䅁䅅䅁䙁偁穱祈楫硁䄹䍄䉁䅁䅁杂䅁䅁䅍䅄䅁䅁䅯睨䅙䅁䅯䅢䅙䅁䅯兕䅙䅁䅕䅁䅁䵁㑂欵䭁䙁䝫䅁䉁䅁䅁允䅁䅁䅕汶摈乮汪い䵁䅉䅅䅁䡁䅁䅁睁䵁䅁䅁权䡃杂䅁权奂杂䅁权䉁䅁䅁兂䅁䅁䅁䝷浈䅑䅕䅁䅁䕁瑂欵䭁乁䡅䅁䉁䅁䅁允䅁䅁䅕㝍䑃睩甸歁䵁䅉䅅䅁䡁䅁䅁睁䵁䅁䅁权䡃杂䅁权浂杂䅁权䉁䅁䅁兂䅁䅁䅁䡷浪䅑䅕䅁䅁䝁㥂欵䭁乁䡅䅁䉁䅁䅁允䅁䅁䅕䥳桓㉭湵稷䴸䅉䅅䅁䝁䅁䅁睁䵁䅁䅁权䡃杂䅁权煂杂䅁权㥁䅁䅁兂䅁䅁䅁䡙洳䅑䅯兗䅙䅁䅅䅁䉁䅁䅁权硁䅁䅁䍄䉁䅁䅁睂䅁䅁䅍䅄䅁䅁䅯睨䅙䅁䅯兘䅙䅁䅯允䅁䅁䅕䅁䅁䭁⽁欵䙁䅁䅁䅁杁⭓䅚权呄睂䅁允䅁䅁䅅䅁䙁䕁塷癙䡖䅏䅨䍄䉁䅁䅁睂䅁䅁䅍䅄䅁䅁䅯睨䅙䅁䅯䅘䅙䅁䅯允䅁䅁䅕䅁䅁䵁桂欵䙁䅁䅁䅁䅂敢䅚权兄睂䅁允䅁䅁䅅䅁䙁䩁砯㍆ㅄ橎䅖䍄䉁䅁䅁睂䅁䅁䅍䅄䅁䅁䅯睨䅙䅁䅯杙䅙䅁䅯兕䅙䅁䅕䅁䅁䕁瑂欵䙁䅁䅁䅁䅄佥䅚权卄睂䅁允䅁䅁䅅䅁䙁䅁稵㉖㤱呭䅊䍄䉁䅁䅁睂䅁䅁䅍䅄䅁䅁䅯睨䅙䅁䅯䅚䅙䅁䅯允䅁䅁䅕䅁䅁䭁⽁欵䙁䅁䅁䅁杁⭓䅚权兄睂䅁允䅁䅁䅅䅁䭁䑁䅅䅁䵁䅉䅅䅁䝁䅁䅁睁䵁䅁䅁权䡃杂䅁权兂杂䅁权剂杂䅁兂䅁䅁䅁䑯洯䅑䅯兗䅙䅁䅅䅁䉁䅁䅁兂卂坣こ卪倴䅑杷允䅁䅁䅣䅁䑁䅁䅷䅁䭁䥁䝣䅁䭁䙁䝕䅁䭁䅁䅅䅁䙁䅁䅁䅁䅄佋䅚兂䅁䅁䅁䑉浔䅑䅯䄱䅣䅁䅅䅁䉁䅁䅁兂湃摑㡅乧㝕䅑杷允䅁䅁䅣䅁䑁䅁䅷䅁䭁䥁䝣䅁䭁䙁䜸䅁䭁䙁䝅䅁䙁䅁䅁䅁䅄佋䅚兂䅁䅁䅁䑉浔䅑䅯䄱䅣䅁䅅䅁䉁䅁䅁兂奂は䑎㑋潕䅑杷允䅁䅁䅣䅁䑁䅁䅷䅁䭁䥁䝣䅁䭁䝁䝍䅁䭁䅁䅅䅁䙁䅁䅁䅁权⭐䅚兂䅁䅁䅁䕉浶䅑䅯䄱䅣䅁䅅䅁䉁䅁䅁兂ㅃ䭰捍䍺す䅑杷允䅁䅁䅙䅁䑁䅁䅷䅁䭁䥁䝣䅁䭁䝁䝍䅁䭁䅁䅅䅁䙁䅁䅁䅁䅄教䅚权婂杂䅁允䅁䅁䅅䅁䙁佁㑣睴㍮樷䅬䍄䉁䅁䅁睂䅁䅁䅍䅄䅁䅁䅯睨䅙䅁䅯䅡䅙䅁䅯兕䅙䅁䅕䅁䅁䭁⽁欵䙁䅁䅁䅁杁⭓䅚权兄睂䅁允䅁䅁䅅䅁䙁䉁䙥䅩偗䑫䅖䍄䉁䅁䅁睂䅁䅁䅍䅄䅁䅁䅯睨䅙䅁䅯杖䅙䅁䅯允䅁䅁䅕䅁䅁䍁ぁ欵䙁䅁䅁䅁权⭐䅚权兄睂䅁允䅁䅁䅅䅁䙁䥁㙤末㡪䅃䄱䍄䉁䅁䅁睂䅁䅁䅍䅄䅁䅁䅯睨䅙䅁䅯䅘䅙䅁䅯允䅁䅁䅕䅁䅁䵁㑂欵䙁䅁䅁䅁杂敦䅚权啄睂䅁允䅁䅁䅅䅁䙁佁睴䩤畘橕䅬䍄䉁䅁䅁睂䅁䅁䅍䅄䅁䅁䅯睨䅙䅁䅯睘䅙䅁䅯兕䅙䅁䅕䅁䅁䝁坂欵䙁䅁䅁䅁䅄教䅚权啄睂䅁允䅁䅁䅅䅁䙁䭁偁㍵㡳積䅂䍄䉁䅁䅁杂䅁䅁䅍䅄䅁䅁䅯睨䅙䅁䅯条䅙䅁䅯児䅁䅁䅕䅁䅁䍁ぁ欵䭁䙁䝫䅁䉁䅁䅁允䅁䅁䅕剡䅔乂潙䕇䵁䅉䅅䅁䡁䅁䅁睁䵁䅁䅁权䡃杂䅁权噂杂䅁权䉁䅁䅁兂䅁䅁䅁䙙浢䅑䅕䅁䅁䵁桂欵䭁乁䡑䅁䉁䅁䅁允䅁䅁䅕㝸乬䙵浥䕒䵁䅉䅅䅁䙁䅁䅁睁䵁䅁䅁权䡃杂䅁权塃睂䅁兂䅁䅁䅁䡙洳䅑䅯杖䅧䅁䅅䅁䉁䅁䅁兂䭁㘱睎剐礵䅑杷允䅁䅁䅣䅁䑁䅁䅷䅁䭁䥁䝣䅁䭁䙁䝑䅁䭁䅁䅅䅁䙁䅁䅁䅁权⭐䅚兂䅁䅁䅁䕉浶䅑䅯儰䅣䅁䅅䅁䉁䅁䅁兂睂瑰⽅䑤奌睐杷允䅁䅁䅣䅁䑁䅁䅷䅁䭁䥁䝣䅁䭁䙁䝧䅁䭁䅁䅅䅁䙁䅁䅁䅁杁⭓䅚兂䅁䅁䅁䙙浢䅑䅯䄱䅣䅁䅅䅁䉁䅁䅁兂い嘴䍭䍪㡧䅑杷允䅁䅁䅣䅁䑁䅁䅷䅁䭁䥁䝣䅁䭁䙁䝯䅁䭁䙁䝅䅁䙁䅁䅁䅁权⭐䅚兂䅁䅁䅁䕉浶䅑䅯儰䅣䅁䅅䅁䉁䅁䅁兂㝁䭉卮晚癐睐杷允䅁䅁䅣䅁䑁䅁䅷䅁䭁䥁䝣䅁䭁䙁䝯䅁䭁䙁䝅䅁䙁䅁䅁䅁杁⭓䅚兂䅁䅁䅁䙙浢䅑䅯朰䅣䅁䅅䅁䉁䅁䅁兂桄氯が䥈㍍䅑杷允䅁䅁䅙䅁䑁䅁䅷䅁䭁䥁䝣䅁䭁䝁䝯䅁䭁䑁䄰䅁䙁䅁䅁䅁杁⭓䅚权婂杂䅁允䅁䅁䅅䅁䙁䙁杩睳琫剒䄹䍄䉁䅁䅁睂䅁䅁䅍䅄䅁䅁䅯睨䅙䅁䅯兡䅙䅁䅯允䅁䅁䅕䅁䅁䵁桂欵䙁䅁䅁䅁䅂敢䅚权兄睂䅁允䅁䅁䅅䅁䙁佁扑㑪䝙穏䅬䍄䉁䅁䅁睂䅁䅁䅍䅄䅁䅁䅯睨䅙䅁䅯䅢䅙䅁䅯兕䅙䅁䅕䅁䅁䝁坂欵䙁䅁䅁䅁䅄教䅚权兄睂䅁允䅁䅁䅅䅁䙁䙁捋杨㙘睶䅸䍄䉁䅁䅁睂䅁䅁䅍䅄䅁䅁䅯睨䅙䅁䅯䅗䅙䅁䅯允䅁䅁䅕䅁䅁䵁桂欵䙁䅁䅁䅁䅂敢䅚权兄睂䅁允䅁䅁䅅䅁䙁䅁扡⬲㡰呶䅴䍄䉁䅁䅁兂䅁䅁䅍䅄䅁䅁䅯睨䅙䅁䅯䅳䅧䅁䅯杲䅧䅁䅕䅁䅁䝁㥂欵䉁䅁䅁允䅁䅁䅯睳䅧䅁杷允䅁䅁䅣䅁䑁䅁䅷䅁䭁䥁䝣䅁䭁䙁䝧䅁䭁䅁䅅䅁䙁䅁䅁䅁䅄佋䅚兂䅁䅁䅁䑉浔䅑䅯朰䅣䅁䅅䅁䉁䅁䅁兂㥄兌㑈㉰㉑䅑杷允䅁䅁䅣䅁䑁䅁䅷䅁䭁䥁䝣䅁䭁䝁䝫䅁䭁䅁䅅䅁䙁䅁䅁䅁䅄佥䅚兂䅁䅁䅁䡙洳䅑䅯眰䅣䅁䅅䅁䉁䅁䅁兂䝃乏䙢卢㙧䅑杷允䅁䅁䅙䅁䑁䅁䅷䅁䭁䥁䝣䅁䭁䙁䝁䅁䭁䙁䝅䅁䙁䅁䅁䅁䅄佥䅚权婂杂䅁允䅁䅁䅅䅁䙁䍁㌰匹䔷样䅊䍄䉁䅁䅁杂䅁䅁䅍䅄䅁䅁䅯睨䅙䅁䅯兘䅙䅁䅯允䅁䅁䅕䅁䅁䵁㑂欵䭁䙁䝫䅁䉁䅁䅁允䅁䅁䅕汩婤砲癔䕅䵁䅉䅅䅁䡁䅁䅁睁䵁䅁䅁权䡃杂䅁权楂杂䅁权剂杂䅁兂䅁䅁䅁䕉浶䅑䅕䅁䅁䝁坂欵䭁乁䡍䅁䉁䅁䅁允䅁䅁䅕瀶湊湇商啌䵁䅉䅅䅁䝁䅁䅁睁䵁䅁䅁权䡃杂䅁权慂杂䅁权剂杂䅁兂䅁䅁䅁䕉浶䅑䅯兗䅙䅁䅅䅁䉁䅁䅁兂千儸㌴䙏け䅑杷允䅁䅁䅣䅁䑁䅁䅷䅁䭁䥁䝣䅁䭁䝁䝙䅁䭁䅁䅅䅁䙁䅁䅁䅁杁⭓䅚兂䅁䅁䅁䙙浢䅑䅯儰䅣䅁䅅䅁䉁䅁䅁兂扁䱁婱䝺ㅈ睐杷允䅁䅁䅣䅁䑁䅁䅷䅁䭁䥁䝣䅁䭁䙁䝕䅁䭁䅁䅅䅁䙁䅁䅁䅁杂畖䅚兂䅁䅁䅁䝷浈䅑䅯䄰䅣䅁䅅䅁䉁䅁䅁兂ぁ硓䍒扷䕴䅑杷允䅁䅁䅕䅁䑁䅁䅷䅁䭁䥁䝣䅁䭁䱁䥁䅁䭁䑁䄰䅁䙁䅁䅁䅁杂敦䅚允䅁䅁䅅䅁䭁䱁䥉䅁䵁䅉䅅䅁䝁䅁䅁睁䵁䅁䅁权䡃杂䅁权潂杂䅁权剂杂䅁兂䅁䅁䅁䙙浢䅑䅯兗䅙䅁䅅䅁䉁䅁䅁兂䑂橦㥱橫㍍䅑杷允䅁䅁䅣䅁䑁䅁䅷䅁䭁䥁䝣䅁䭁䝁䝫䅁䭁䅁䅅䅁䙁䅁䅁䅁杁低䅚兂䅁䅁䅁䑯洯䅑䅯眰䅣䅁䅅䅁䉁䅁䅁兂睄橨煑䵣硙䅑杷允䅁䅁䅙䅁䑁䅁䅷䅁䭁䥁䝣䅁䭁䙁䝙䅁䭁䅁䅅䅁䙁䅁䅁䅁杂畖䅚权婂杂䅁允䅁䅁䅅䅁䙁佁求潨礲桦䅆䍄䉁䅁䅁睂䅁䅁䅍䅄䅁䅁䅯睨䅙䅁䅯兙䅙䅁䅯允䅁䅁䅕䅁䅁䵁潁欵䙁䅁䅁䅁杁低䅚权呄睂䅁允䅁䅁䅅䅁䙁乁浕畔㌵䑮䅊䍄䉁䅁䅁睂䅁䅁䅍䅄䅁䅁䅯睨䅙䅁䅯兙䅙䅁䅯允䅁䅁䅕䅁䅁䍁䱂欵䙁䅁䅁䅁杂畖䅚权剄睂䅁允䅁䅁䅅䅁䙁䍁呸払ㅒ儰䅰䍄䉁䅁䅁睂䅁䅁䅍䅄䅁䅁䅯睨䅙䅁䅯䅚䅙䅁䅯允䅁䅁䅕䅁䅁䍁ぁ欵䙁䅁䅁䅁权⭐䅚权剄睂䅁允䅁䅁䅅䅁䭁䑁䅅䅁䵁䅉䅅䅁䝁䅁䅁睁䵁䅁䅁权䡃杂䅁权桂杂䅁权䉁䅁䅁兂䅁䅁䅁䝑洳䅑䅯兗䅙䅁䅅䅁䉁䅁䅁兂乁奇匹摃䝖䅑杷允䅁䅁䅣䅁䑁䅁䅷䅁䭁䥁䝣䅁䭁䙁䝷䅁䭁䅁䅅䅁䙁䅁䅁䅁杁⭓䅚兂䅁䅁䅁䙙浢䅑䅯䄰䅣䅁䅅䅁䉁䅁䅁兂湂灬灙婴㔴䅑杷允䅁䅁䅣䅁䑁䅁䅷䅁䭁䥁䝣䅁䭁䝁䝯䅁䭁䑁䄰䅁䙁䅁䅁䅁䅄佋䅚兂䅁䅁䅁䑉浔䅑䅯眰䅣䅁䅅䅁䉁䅁䅁兂剂㥯䭔灣坳䅑杷允䅁䅁䅣䅁䑁䅁䅷䅁䭁䥁䝣䅁䭁䙁䜴䅁䭁䙁䝅䅁䙁䅁䅁䅁权⭐䅚兂䅁䅁䅁䕉浶䅑䅯眰䅣䅁䅅䅁䉁䅁䅁兂扃祏桔攳偣䅑杷允䅁䅁䅣䅁䑁䅁䅷䅁䭁䥁䝣䅁䭁䙁䝕䅁䭁䅁䅅䅁䙁䅁䅁䅁杂畖䅚兂䅁䅁䅁䝷浈䅑䅯儰䅣䅁䅅䅁䉁䅁䅁兂ㅂ䙒⭲湳䝙䅑杷允䅁䅁䅣䅁䑁䅁䅷䅁䭁䥁䝣䅁䭁䙁䝙䅁䭁䅁䅅䅁䙁䅁䅁䅁䅄佋䅚兂䅁䅁䅁䑉浔䅑䅯朰䅣䅁䅅䅁䉁䅁䅁兂敂晓捊㘳䵣䅑杷允䅁䅁䅣䅁䑁䅁䅷䅁䭁䥁䝣䅁䭁䙁䝙䅁䭁䅁䅅䅁䙁䅁䅁䅁杁⭓䅚兂䅁䅁䅁䙙浢䅑䅯朰䅣䅁䅅䅁䉁䅁䅁兂䱁呙块䝳卙䅑杷允䅁䅁䅣䅁䑁䅁䅷䅁䭁䥁䝣䅁䭁䝁䝑䅁䭁䅁䅅䅁䙁䅁䅁䅁杂畖䅚兂䅁䅁䅁䝷浈䅑䅯儰䅣䅁䅅䅁䉁䅁䅁权硁䅁䅁䍄䉁䅁䅁杂䅁䅁䅍䅄䅁䅁䅯睨䅙䅁䅯䅢䅙䅁䅯兕䅙䅁䅕䅁䅁䵁桂欵䭁䙁䝫䅁䉁䅁䅁允䅁䅁䅕㉢啫潏慨䕅䵁䅉䅅䅁䡁䅁䅁睁䵁䅁䅁权䡃杂䅁权噂杂䅁权䉁䅁䅁兂䅁䅁䅁䕉浶䅑䅕䅁䅁䝁坂欵䭁乁䡑䅁䉁䅁䅁允䅁䅁䅕䍶㑌〳佱䕒䵁䅉䅅䅁䡁䅁䅁睁䵁䅁䅁权䡃杂䅁权奂杂䅁权䉁䅁䅁兂䅁䅁䅁䝑洳䅑䅕䅁䅁䵁㑂欵䭁乁䡑䅁䉁䅁䅁允䅁䅁䅕䭱兲䍑穷啐䵁䅉䅅䅁䡁䅁䅁睁䵁䅁䅁权䡃杂䅁权敂杂䅁权剂杂䅁兂䅁䅁䅁䙙浢䅑䅕䅁䅁䵁桂欵䭁乁䡅䅁䉁䅁䅁允䅁䅁䅕畖灵祗䔱吰䴸䅉䅅䅁䡁䅁䅁睁䵁䅁䅁权䡃杂䅁权啂杂䅁权䉁䅁䅁兂䅁䅁䅁䑉浔䅑䅕䅁䅁䭁⽁欵䭁乁䡁䅁䉁䅁䅁允䅁䅁䅕摎潑䩊䝬歈䵁䅉䅅䅁䡁䅁䅁睁䵁䅁䅁权䡃杂䅁权橂</x:t>
  </x:si>
  <x:si>
    <x:t>允䅁䱁䤰䅁㡂䅁䅁睊扂䕁䄰兓時䕁䅍睢瑂䡁䅁兙畂䡁䅫睘䱂䝁䅕入呂䡁䅑兙あ䡁䅍睘㉂䑁䅅兌䑂䝁䄸䅣㕂䍁䄴䅥獂䡁䅍兢摂䕁䅉兙獂䝁䅅杢橂䝁䅕睘呂䝁䅧党求䡁䅑睊桁䍁䅑睑歁䑁䅫杏歁䕁䅍䅊硁䑁䅍兏䅁䡁䙯䅁䕃䅁䅁睊扂䕁䄰兓時䕁䅍睢瑂䡁䅁兙畂䡁䅫睘䱂䝁䅕入呂䡁䅑兙あ䡁䅍睘㉂䑁䅅䅉潁䑁䅍克畁䡁䅧䅢穂䝁䄰兘䑂䝁䅅䅣灂䡁䅑兙獂䙁䄸睕あ䡁䅉兤橂䡁䅑兤祂䝁䅕睘呂䡁䅕兢瑂䝁䅅杣㕂䍁䅣光歁䕁䅍䅊ぁ䅁䅁杙䅑䡁䅉䅁湁䙁䅳兔䩂䙁䄸睑療䝁䄰䅣桂䝁䄴入時䕁䅳党㕂䙁䅍䅤桂䡁䅑督時䡁䅙免瑁䍁䅁睔祂䝁䅫睚灂䝁䄴兙獂䍁䄴䅥獂䡁䅍兢摂䕁䅳党㕂䙁䄸睕あ䝁䅅䅤穂䍁䅣光歁䕁䅉䅊祁䑁䅍䅁捂兂䅁䅤䅁䙁䅳兔䩂䙁䄸睑療䝁䄰䅣桂䝁䄴入時䕁䅳党㕂䙁䅍䅤桂䡁䅑督時䡁䅙免時䍁䄴䅥獂䡁䅍兢摂䕁䅉兙獂䝁䅅杢橂䝁䅕睘呂䝁䅧党求䡁䅑光歁䕁䅕䅊硁䑁䅑䅎㙁䍁䅑䅕歁䑁䅅䅎ぁ䅁䅁䄴䅑䑁䅙䅁乂䝁䅅杣牂䝁䅕䅤杁䕁䅍兙睂䝁䅫䅤桂䝁䅷兡㙂䝁䅅䅤灂䝁䄸杢杁䍁䅧䅊乂䍁䅫䅁牃兂䅁䅤䅁䍁䅣睗乂䕁䅫睘䑂䝁䄸兢睂䝁䅅杢㕂䙁䄸睓求䡁䅫睕あ䝁䅅䅤穂䙁䄸杤硁䍁䄰睑療䡁䅁入畁䡁䅧䅢穂䝁䄰兘䱂䝁䅕入時䙁䅍䅤桂䡁䅑督湁䍁䅅䅊䕂䍁䅑杍㑁䑁䅯䅊䕂䍁䅑兎祁䅁䅁杉䅕䍁䅑䅁䩂䙁䅅睘佂䕁䅫睘佂䕁䄸杕乂䙁䄸兔䉂䙁䅉睒䩂䕁䄴䅁偁杁䅁杣䅁䙁䅳睕兂䕁䅣睘䑂䝁䄸兢睂䝁䅅杢㕂䙁䄸睓求䡁䅫睕あ䝁䅅䅤穂䙁䄸杤硁䍁䄴䅥獂䡁䅍兢摂䕁䅫杢橂䝁䄸兢求䙁䄸睕あ䝁䅅䅤求䝁䄰党畂䡁䅑光歁䕁䅕䅊㉁䑁䅯䅊兂䍁䅑李䅁佁䙕䅁浂䅁䅁睊扂䕁䅳党㕂䙁䅍䅤桂䡁䅑督時䡁䅑党穂䡁䅑杚灂䝁䅷党畁䡁䅧䅢穂䝁䄰兘兂䝁䅕杢穂䝁䅫睢畂䍁䄰睔兂䕁䅕村湁䍁䅅䅊䕂䍁䅑兏㙁䍁䅑䅒歁䑁䅅䅎㕁䅁䅁杵䅉䝁䅯䅁湁䙁䅳睕兂䕁䅣睘䑂䝁䄸兢睂䝁䅅杢㕂䙁䄸睓求䡁䅫睕あ䝁䅅䅤穂䙁䄸杤硁䍁䅁䅋祁䍁䅫杌㑂䝁䅷督瑂䙁䄰杕桂䡁䅑兡療䡁䅍睊桁䍁䅑䅒歁䑁䅙杏歁䕁䅫䅊㉁䅁䅁兒䅙䙁䅷䅁扂䕁䅳党㕂䙁䅍䅤桂䡁䅑督時䡁䅑党穂䡁䅑杚灂䝁䅷党畁䡁䅧䅢穂䝁䄰兘䱂䝁䅕入時䙁䅍䅤桂䡁䅑督桁䍁䅑睑歁䑁䅕䅎㙁䍁䅑睑歁䑁䅕兎䅁乁䅧䅁奂䅁䅁睊扂䕁䅳党㕂䙁䅍䅤桂䡁䅑督時䡁䅑党穂䡁䅑杚灂䝁䅷党畁䡁䅧䅢穂䝁䄰兘兂䝁䅕杢穂䝁䅫睢畂䍁䄰睔兂䕁䅕村湁䍁䅅䅊䑂䍁䅑䅎䅁䱁䍧䅁坂䅁䅁睗呂䙁䅁睒時䕁䅍睢瑂䡁䅁兙畂䡁䅫睘䱂䝁䅕入呂䡁䅑兙あ䡁䅍睘㉂䑁䅉杌㑂䝁䅷督瑂䙁䄰睕潂䝁䅕党あ䑁䅅光歁䕁䅳䅊硁䑁䅅䅁橃杂䅁来䅁䙁䅳睕兂䕁䅣睘䑂䝁䄸兢睂䝁䅅杢㕂䙁䄸睓求䡁䅫睕あ䝁䅅䅤穂䙁䄸杤硁䍁䄴䅥獂䡁䅍兢摂䕁䅍兙睂䝁䅫䅤桂䝁䅷睘呂䡁䅑杣ㅂ䝁䅍䅤ㅂ䡁䅉党時䙁䅍兤瑂䝁䄰兙祂䡁䅫光歁䕁䅍䅊㉁䅁䅁䄯䅕䑁䅧䅁䩂䙁䅅睘啂䕁䄸䅖䉂䕁䅷睘塂䕁䅅杕卂䕁䅅杔啂䙁䅍睘䑂䕁䅅杔䑂䕁䅕䅔䵂䕁䅕䅒䅁䕁䑑䅁睂䅁䅁睊扂䕁䄰兓時䕁䅍睢瑂䡁䅁兙畂䡁䅫睘䱂䝁䅕入呂䡁䅑兙あ䡁䅍睘㉂䑁䅅䅉潁䑁䅍克畁䡁䅧䅢穂䝁䄰兘䑂䝁䅅䅣灂䡁䅑兙獂䝁䅫来桂䡁䅑兡療䝁䄴睊桁䍁䅑睑歁䑁䅑睎䅁䙁䔴䅁煂䅁䅁睑ㅂ䡁䅉杣求䝁䄴䅤杁䕁䅷睢畂䝁䅣䅉啂䝁䅕杣瑂䍁䅁䅒求䝁䅉䅤杁䝁䅅杢歂䍁䅁睑桂䡁䅁兡あ䝁䅅䅢杁䕁䅷党桂䡁䅍党穂䍁䅁䅋卂䝁䅕䅣療䡁䅉䅤求䝁䅑克䅁䍁䈰䅁䝂䅁䅁䅒求䝁䅙党祂䡁䅉党歂䍁䅁䅒療䝁䄰党穂䡁䅑兡橂䍁䅁䅖桂䡁䅧党穂䍁䅁䅋卂䝁䅕䅣療䡁䅉䅤求䝁䅑克䅁䥁䐴䅁潁䅁䅁睉䩂䕁䄴杖䉂䕁䅷兓䕂䍁䅁睑偂䕁䄰䅕䉂䕁䄴兗杁䕁䅫䅒䅁䥁䝕䅁祂䅁䅁睊扂䕁䄰兓時䕁䅍睢瑂䡁䅁兙畂䡁䅫睘䱂䝁䅕入呂䡁䅑兙あ䡁䅍睘㉂䑁䅅兌䑂䝁䄸䅣㕂䍁䄴䅥獂䡁䅍兢摂䕁䅍兙穂䝁䅧睘䝂䝁䅷睢㍂䍁䅣光歁䕁䅍䅊㕁䑁䅯䅊䑂䍁䅑兏睁䅁䅁杦䅕䝁䅁䅁扂䙁䅍䅕䡂䙁䄸睑療䝁䄰䅣桂䝁䄴入時䕁䅳党㕂䙁䅍䅤桂䡁䅑督時䡁䅙杍畁䡁䅧䅢穂䝁䄰兘呂䡁䅕䅣睂䝁䅷党瑂䝁䅕杢あ䝁䅅䅢桁䍁䅑睑歁䑁䅙䅁佁䅃䅁䅎䅁䕁䅫兕時䕁䅷䅖時䕁䅑兒䍂䙁䅑睘䑂䕁䅅䅕䩂䙁䅑兑䵂䙁䄸䅔䙂䕁䅅睕䙂䙁䅍䅁畁允䅁杦䅁䍁䅣睗乂䕁䅫睘䑂䝁䄸兢睂䝁䅅杢㕂䙁䄸睓求䡁䅫睕あ䝁䅅䅤穂䙁䄸杤硁䍁䄰䅉偂䡁䅉兡湂䝁䅫杢桂䝁䅷杌㑂䝁䅷督瑂䙁䄰睓求䡁䅫睘呂䡁䅑兙あ䡁䅍睊桁䍁䅑兒歁䑁䅉杍㙁䍁䅑䅔歁䑁䅉杍䅁䝁䙧䅁畂䅁䅁睗乂䕁䅫睘䑂䝁䄸兢睂䝁䅅杢㕂䙁䄸睓求䡁䅫睕あ䝁䅅䅤穂䙁䄸杤硁䙁䄸杌㑂䝁䅷督瑂䙁䄰睑桂䡁䅁兡あ䝁䅅䅢灂䡁䅯兙あ䝁䅫睢畂䍁䅅䅊䙂䍁䅑䅎㙁䍁䅑杓歁䑁䅑䅁浄䅂䅁杁䅁䅁䅁光䅁䥁䅧䅁湁䙁䅳睕兂䕁䅣睘䑂䝁䄸兢睂䝁䅅杢㕂䙁䄸睓求䡁䅫睕あ䝁䅅䅤穂䙁䄸杤祁䍁䅁免畁䡁䅧䅢穂䝁䄰兘䑂䝁䅅䅣灂䡁䅑兙獂䙁䄸睕あ䡁䅉兤橂䡁䅑兤祂䝁䅕睘杁䕁䅑党あ䝁䅅兡獂䡁䅍䅉湁䍁䅅䅊䑂䍁䅑睎㉁䅁䅁兆䅣䝁䅁䅁扂䕁䅳党㕂䙁䅍䅤桂䡁䅑督時䡁䅑党穂䡁䅑杚灂䝁䅷党畁䡁䅧䅢穂䝁䄰兘䱂䝁䅕入時䙁䅍䅤桂䡁䅑督桁䍁䅑兒歁䑁䅅䅍睁䑁䅯䅊䡂䍁䅑免睁䑁䅁䅁牄䅁䅁䅨䅁䍁䅣睗呂䙁䅁睒時䕁䅍睢瑂䡁䅁兙畂䡁䅫睘䱂䝁䅕入呂䡁䅑兙あ䡁䅍睘㉂䑁䅉杌㑂䝁䅷督瑂䙁䄰睑桂䡁䅁兡あ䝁䅅䅢時䙁䅍䅤祂䡁䅕睙あ䡁䅕杣求䙁䄸䅉䕂䝁䅕䅤桂䝁䅫䅢穂䍁䅁睊桁䍁䅑䅓歁䑁䅅杍䅁䍁䥉䅁佁䅁䅁睉䙂䙁䅉杕偂䙁䅉䅁呄䅁䅁杆䅁䕁䅫兕時䙁䅁兒時䕁䄴睔卂䕁䄰䅁噂杂䅁䅚䅁䕁䄸䅣あ䝁䅫睢畂䡁䅍䅉䡂䡁䅉兙畂䡁䅑党歂䍁䅁䅒ㅂ䡁䅉兡畂䝁䅣䅉あ䝁䅧党杁䙁䅁党祂䝁䅫睢歂䍁䅷䅉啂䝁䄸䅤桂䝁䅷䅉潁䝁䅅睙あ䡁䅕兙獂䍁䅫䅁䉂睁䅁杋䅁䍁䅍兓佂䙁䅙兑䵂䕁䅫䅒杁䕁䄰兒啂䙁䅉兓䑂䍁䅁杔䉂䕁䄰兒䅁䡁䝳䅁㉁䅁䅁兓剂䙁䄸睕䙂䕁䅍睔佂䕁䅑睘䵂䕁䅫兒佂䙁䄸村偂䕁䄴䅒呂䙁䄸杔偂䙁䅑兒呂䅁䅁䅒䅅䍁䅙䅁䵂䙁䅑䅉䕂䝁䅕杙あ䍁䄸兒硂䡁䅕兡あ䡁䅫䅉潁䍁䅕克䅁䱁䍕䅁獁䅁䅁睑䩂䙁䅅䅉卂䝁䅕督あ䝁䅅䅤求䝁䄰党畂䡁䅑䅉啂䡁䅫䅣求䍁䅁䅁牁睁䅁䅪䅁䍁䅣睗䑂䝁䄸䅣㕂䍁䅁睢浂䍁䅁睕兂䕁䅣睘䑂䝁䄸兢睂䝁䅅杢㕂䙁䄸睓求䡁䅫睕あ䝁䅅䅤穂䙁䄸杤硁䙁䄸杒灂䝁䄴兙獂䍁䄴䅥獂䡁䅍兢摂䕁䅉兙獂䝁䅅杢橂䝁䅕睘呂䝁䅧党求䡁䅑睊桁䍁䅑兒歁䑁䅙杏歁䙁䅅䅊㉁䅁䅁䅘䅧䙁䅙䅁扂䕁䅳党㕂䙁䅍䅤桂䡁䅑督時䡁䅑党穂䡁䅑杚灂䝁䅷党畁䡁䅧䅢穂䡁䅧兘呂䝁䅧党求䡁䅑免桁䍁䅑兒歁䑁䅉免㙁䍁䅑睒歁䑁䅉免䅁䑁䅍䅁㑁䅁䅁睉䩂䕁䄴杖䉂䕁䅷兓䕂䍁䅁杒噂䕁䄴睑啂䕁䅫睔佂䍁䅁䅕䉂䙁䅉兑乂䕁䅕䅖䙂䙁䅉䅁牂杂䅁䅑䅁䙁䅑睢あ䝁䅅䅢杁䙁䅍兤楂䍁䄴䅉䕂䝁䅕杙あ䍁䄸䅉啂䝁䄸䅤桂䝁䅷䅉䕂䝁䅕杙あ䍁䅁䅋汁䍁䅫䅁橁允䅁䅧䅁䍁䅣睗䑂䝁䄸䅣㕂䍁䅁睢浂䍁䅁睕兂䕁䅣睘䑂䝁䄸兢睂䝁䅅杢㕂䙁䄸睓求䡁䅫睕あ䝁䅅䅤穂䙁䄸杤祁䙁䄸杢求䡁䅣杌㑂䝁䅷督瑂䙁䄰睑桂䡁䅍䅡時䕁䅙䅢療䡁䅣睊桁䍁䅑兒歁䑁䅙杏歁䙁䅁䅊㉁䅁䅁睒䅣䡁䅑䅁湁䙁䅳睕兂䕁䅣睘䑂䝁䄸兢睂䝁䅅杢㕂䙁䄸睓求䡁䅫睕あ䝁䅅䅤穂䙁䄸杤硁䍁䅁䅋祁䍁䅫杌㑂䝁䅷督瑂䙁䄰兓畂䝁䅍睢瑂䝁䅕睘呂䡁䅑兙あ䝁䅕兢求䝁䄴䅤湁䍁䅅䅊䑂䍁䅑李䅁䍁䝑䅁潁䅁䅁兓剂䙁䄸睕䙂䕁䅍兖卂䕁䅕䅒時䕁䅑兒䍂䙁䅑睘兂䕁䅍䅖䅁䙁䉷䅁⭂䅁䅁睊扂䙁䅍䅕䡂䙁䄸睑療䝁䄰䅣桂䝁䄴入時䕁䅳党㕂䙁䅍䅤桂䡁䅑督時䡁䅙免杁䍁䅧杍灁䍁䄴䅥獂䡁䅍兢摂䕁䅍兙睂䝁䅫䅤桂䝁䅷兡㙂䝁䅅䅤灂䝁䄸杢湁䍁䅅䅊䑂䍁䅑兎穁䑁䅯䅊䑂䍁䅑兎ぁ䅁䅁李䅙䕁䅑䅁啂䝁䄸䅤桂䝁䅷䅉卂䝁䅕杤求䝁䄴兤求䡁䅍䅌杁䑁䅅䅉婂䝁䅕兙祂䍁䅁睒祂䝁䄸睤あ䝁䅧䅉潁䍁䅕克䅁䅁䅑䅁捂䅁䅁睊扂䕁䄰兓時䕁䅳党㕂䙁䅍䅤桂䡁䅑督時䡁䅙免畁䡁䅧䅢穂䝁䄰兘兂䝁䅕杢穂䝁䅫睢畂䍁䄰睔兂䕁䅕村湁䍁䅅䅊䕂䍁䅑䅎㙁䍁䅑兓歁䑁䅑䅁ㅃ睁䅁杙䅁䙁䅳兔䩂䙁䄸睑療䝁䄰䅣桂䝁䄴入時䕁䅳党㕂䙁䅍䅤桂䡁䅑督時䡁䅙免時䍁䄴䅥獂䡁䅍兢摂䙁䅉兙あ䝁䅫睢穂䍁䅅䅊䑂䍁䅑兏㙁䍁䅑睑歁䑁䅅兎睁䅁䅁眫䅑䅁䅷䅁橁䙁䅁兒佂䕁䅑䅁桄睁䅁杦䅁䍁䅣睗乂䕁䅫睘䑂䝁䄸兢睂䝁䅅杢㕂䙁䄸睓求䡁䅫睕あ䝁䅅䅤穂䙁䄸杤硁䍁䄰睑療䡁䅁入畁䡁䅧䅢穂䝁䄰兘䩂䝁䄴睙療䝁䄰党時䙁䅍䅤桂䡁䅑党瑂䝁䅕杢あ䍁䅣光歁䕁䅕䅊ぁ䑁䅯䅊兂䍁䅑䅎䅁䕁䘸䅁楂䅁䅁睊扂䕁䅳党㕂䙁䅍䅤桂䡁䅑督時䡁䅑党穂䡁䅑杚灂䝁䅷党畁䡁䅧䅢穂䝁䄰兘兂䝁䅕杢穂䝁䅫睢畂䍁䄰睔兂䕁䅕村湁䍁䅅䅊䝂䍁䅑兎㙁䍁䅑睓歁䑁䅕䅁㝃杁䅁杚䅁䍁䅣睗䱂䝁䅕入呂䡁䅑兙あ䡁䅍睘あ䝁䅕督あ䝁䅙兡獂䝁䅕杌㑂䝁䅷督瑂䙁䄰䅕求䝁䄴督灂䝁䄸杢瑁䕁䄸䅕䙂䕁䅉睊桁䍁䅑䅒歁䑁䅫杏歁䕁䅑䅊ㅁ䑁䅙睎䅁䝁䑍䅁啁䅁䅁兓剂䙁䄸䅕䙂䙁䄸䅔啂䕁䄰䅁䥄睂䅁䅦䅁䍁䅣睗乂䕁䅫睘䑂䝁䄸兢睂䝁䅅杢㕂䙁䄸睓求䡁䅫睕あ䝁䅅䅤穂䙁䄸杤硁䍁䅁䅋穁䍁䅫杌㑂䝁䅷督瑂䙁䄰睑桂䡁䅁兡あ䝁䅅䅢灂䡁䅯兙あ䝁䅫睢畂䍁䅣光歁䕁䅕䅊ぁ䑁䅣杏歁䙁䅁䅊ぁ䑁䅣䅁扂䅂䅁村䅁䕁䄴睢祂䝁䄰兙獂䝁䅫来求䝁䅑䅉佂䝁䅕䅤杁䕁䅫杢橂䝁䄸兢求䍁䅁兔桂䡁䅉睚灂䝁䄴䅉潁䍁䅕克䅁䉁䍁䅁潂䅁䅁睗呂䙁䅁睒時䕁䅍睢瑂䡁䅁兙畂䡁䅫睘䱂䝁䅕入呂䡁䅑兙あ䡁䅍睘㉂䑁䅅杌㑂䝁䅷督瑂䙁䄰睓求䡁䅫睘呂䡁䅑兙あ䡁䅍光歁䙁䅍䅊ㅁ䑁䅧杏歁䙁䅍䅊㉁䑁䅅䅁桄兂䅁䅃䅁䕁䅙兗睁䅁䅁䅄䅁䕁䅑䅁啂䝁䄸䅤桂䝁䅷䅉呂䝁䅕杢灂䝁䄸杣杁䕁䅑党楂䡁䅑睌杁䙁䅑睢あ䝁䅅䅢杁䕁䅑党楂䡁䅑䅉潁䍁䅕克䅁䉁䈸䅁浂䅁䅁睊扂䕁䅳党㕂䙁䅍䅤桂䡁䅑督時䡁䅑党穂䡁䅑杚灂䝁䅷党畁䡁䅧䅢穂䝁䄰兘兂䝁䅕杢穂䝁䅫睢畂䍁䄰睔兂䕁䅕村湁䍁䅅䅊䕂䍁䅑兏㙁䍁䅑䅒歁䑁䅕李㑁䅁䅁䅚䅍䝁䅉䅁湁䙁䅳睓求䡁䅫睕あ䝁䅅䅤穂䙁䄸䅤求䡁䅍䅤浂䝁䅫䅢求䍁䄴䅥獂䡁䅍兢摂䙁䅁党畂䡁䅍兡療䝁䄴兌偂䙁䅁兒䍂䍁䅣光歁䕁䅙䅊ぁ䑁䅯䅊䱂䍁䅑䅎䅁䱁䍫䅁獂䅁䅁睊扂䙁䅍䅕䡂䙁䄸睑療䝁䄰䅣桂䝁䄴入時䕁䅳党㕂䙁䅍䅤桂䡁䅑督時䡁䅙杍杁䑁䅅杌㑂䝁䅷督瑂䙁䄰杕桂䡁䅑兡療䡁䅍睊桁䍁䅑睑歁䑁䅅免㙁䍁䅑睑歁䑁䅅兎㑁䅁䅁儫䅙䡁䅙䅁湁䙁䅳兔䩂䙁䄸睑療䝁䄰䅣桂䝁䄴入時䕁䅳党㕂䙁䅍䅤桂䡁䅑督時䡁䅙免杁䍁䅧睍灁䍁䄴䅥獂䡁䅍兢摂䕁䅉兙獂䝁䅅杢橂䝁䅕睘呂䝁䅧党求䡁䅑睊桁䍁䅑兒歁䑁䅕杏歁䙁䅁䅊ㅁ䅁䅁兕䅑䥁䅧䅁湁䙁䅳睑療䡁䅁入杁䝁䄸杚杁䙁䅍䅕䡂䙁䄸睑療䝁䄰䅣桂䝁䄴入時䕁䅳党㕂䙁䅍䅤桂䡁䅑督時䡁䅙免時䕁䅙兡畂䝁䅅䅢畁䡁䅧䅢穂䝁䄰兘䩂䝁䄴睙療䝁䄰党時䙁䅍䅤桂䡁䅑党瑂䝁䅕杢あ䍁䅣光歁䕁䅍䅊㉁䅁䅁睖䅧䕁䅙䅁䩂䙁䅅睘䝂䕁䅅兓卂䙁䄸杖䉂䕁䅷兖䙂䙁䄸睑䥂䕁䅅杔䡂䕁䅕睘䩂䕁䄴睑䵂䙁䄸兒䉂䙁䅉杔䩂䕁䄴睒呂䅁䅁䅋䅍䡁䅧䅁䩂䝁䄴䅤求䡁䅉党穂䡁䅑䅉桂䝁䄴䅚杁䙁䅁党畂䝁䅅䅢あ䝁䅫党穂䍁䅁杕求䝁䅍睢湂䍁䄴䅉療䝁䄴䅉䍂䙁䅍䅉瑁䍁䅁村求䝁䅙睢祂䝁䅕䅉啂䝁䅅䅥杁䍁䅧杕求䡁䅁睢祂䡁䅑党歂䍁䅫䅁呁睁䅁䅦䅁䍁䅣睗䑂䝁䄸䅣㕂䍁䅁睢浂䍁䅁睕兂䕁䅣睘䑂䝁䄸兢睂䝁䅅杢㕂䙁䄸睓求䡁䅫睕あ䝁䅅䅤穂䙁䄸杤硁䙁䄸杒灂䝁䄴兙獂䍁䄴䅥獂䡁䅍兢摂䕁䅳党㕂䙁䄸睕あ䝁䅅䅤穂䍁䅣光歁䕁䅉䅊祁䑁䅕䅁䉂䅃䅁杣䅁䍁䅣睗乂䕁䅫睘䑂䝁䄸兢睂䝁䅅杢㕂䙁䄸睓求䡁䅫睕あ䝁䅅䅤穂䙁䄸杤硁䍁䅁䅋穁䍁䅫杌㑂䝁䅷督瑂䙁䄰睓求䡁䅫睘呂䡁䅑兙あ䡁䅍睊桁䍁䅑睑歁䑁䅉兎㙁䍁䅑睑歁䑁䅑兏䅁䑁䕉䅁煁䅁䅁兓剂䙁䄸杔䩂䙁䄸免婂䙁䅉睘䉂䕁䄴杔時䕁䅣杕偂䙁䅣䅖䥂䅁䅁先䅉䥁䄴䅁湁䙁䅳睑療䡁䅁入杁䝁䄸杚杁䙁䅍䅕䡂䙁䄸睑療䝁䄰䅣桂䝁䄴入時䕁䅳党㕂䙁䅍䅤桂䡁䅑督時䡁䅙杍時䝁䄴党㍂䍁䄴䅥獂䡁䅍兢摂䕁䅫杢橂䝁䄸兢求䙁䄸睕あ䝁䅅䅤求䝁䄰党畂䡁䅑睊桁䍁䅑兒歁䑁䅣杏歁䙁䅅䅊㍁䅁䅁兰䅣䝁䅑䅁湁䙁䅳睕兂䕁䅣睘䑂䝁䄸兢睂䝁䅅杢㕂䙁䄸睓求䡁䅫睕あ䝁䅅䅤穂䙁䄸杤祁䍁䅁免畁䡁䅧䅢穂䝁䄰兘䱂䝁䅕入時䙁䅍䅤桂䡁䅑督湁䍁䅅䅊䙂䍁䅑李穁䅁䅁朰䅙䡁䅉䅁湁䙁䅳兔䩂䙁䄸睑療䝁䄰䅣桂䝁䄴入時䕁䅳党㕂䙁䅍䅤桂䡁䅑督時䡁䅙免瑁䕁䅍睢睂䡁䅫杌㑂䝁䅷督瑂䙁䄰睑桂䡁䅁兡あ䝁䅅䅢灂䡁䅯兙あ䝁䅫睢畂䍁䅣光歁䕁䅍䅊ㅁ䑁䅫䅁䝂兂䅁䅚䅁䙁䅳兔䩂䙁䄸睑療䝁䄰䅣桂䝁䄴入時䕁䅳党㕂䙁䅍䅤桂䡁䅑督時䡁䅙免畁䡁䅧䅢穂䝁䄰兘䑂䝁䅅䅣灂䡁䅑兙獂䝁䅫来桂䡁䅑兡療䝁䄴光歁䕁䅍䅊ぁ䑁䅧䅁啁䅂䅁䅢䅁䍁䅣睗乂䕁䅫睘䑂䝁䄸兢睂䝁䅅杢㕂䙁䄸睓求䡁䅫睕あ䝁䅅䅤穂䙁䄸杤硁䍁䅁䅋穁䍁䅫杌㑂䝁䅷督瑂䙁䄰村桂䝁䅷兙畂䝁䅍党時䙁䅍䅡求䝁䅕䅤湁䍁䅅䅊䑂䍁䅑䅎䅁䕁䔴䅁歂䅁䅁睗乂䕁䅫睘䑂䝁䄸兢睂䝁䅅杢㕂䙁䄸睓求䡁䅫睕あ䝁䅅䅤穂䙁䄸杤硁䍁䄴䅥獂䡁䅍兢摂䕁䅍兙睂䝁䅫䅤桂䝁䅷兡㙂䝁䅅䅤灂䝁䄸杢桁䍁䅑睑歁䑁䅑睎䅁䉁䕧䅁䕃䅁䅁睊扂䕁䅍睢睂䡁䅫䅉療䝁䅙䅉呂䙁䅁睒時䕁䅍睢瑂䡁䅁兙畂䡁䅫睘䱂䝁䅕入呂䡁䅑兙あ䡁䅍睘㉂䑁䅅睘䝂䝁䅫杢桂䝁䅷杌㑂䝁䅷督瑂䙁䄰睑桂䡁䅁兡あ䝁䅅䅢灂䡁䅯兙あ䝁䅫睢畂䍁䅣光歁䕁䅍䅊ぁ䅁䅁睙䅧䕁䅯䅁䑂䝁䅅䅣畁䍁䅁䅔求䝁䅅督求䍁䅁䅕桂䡁䅫兢求䝁䄴䅤杁䕁䅑兤求䍁䅁睋穁䍁䅁䅋卂䝁䅕䅣療䡁䅉䅤求䝁䅑克䅁䭁䈴䅁㙂䅁䅁睊扂䕁䄰兓時䕁䅍睢瑂䡁䅁兙畂䡁䅫睘䱂䝁䅕入呂䡁䅑兙あ䡁䅍睘㉂䑁䅅䅉潁䑁䅍克畁䡁䅧䅢穂䝁䄰兘䍂䝁䅅䅢桂䝁䄴睙求䙁䄸睕潂䝁䅕党あ䍁䅣光歁䕁䅍䅊㕁䑁䅯䅊䑂䍁䅑免穁䑁䅫䅁兂䅂䅁杤䅁䍁䅣睗乂䕁䅫睘䑂䝁䄸兢睂䝁䅅杢㕂䙁䄸睓求䡁䅫睕あ䝁䅅䅤穂䙁䄸杤硁䍁䅁䅋穁䍁䅫杌㑂䝁䅷督瑂䙁䄰睓求䡁䅫睘呂䡁䅑兙あ䡁䅍睊桁䍁䅑兒歁䑁䅅䅍ぁ䑁䅯䅊䡂䍁䅑免睁䑁䅑䅁䩂䅂䅁杖䅁䙁䅳睓求䡁䅫睕あ䝁䅅䅤穂䙁䄸䅤求䡁䅍䅤浂䝁䅫䅢求䍁䄴䅥獂䡁䅍䅥摂䙁䅍䅡求䝁䅕䅤硁䍁䅅䅊䭂䍁䅑杍祁䑁䅯䅊䵂䍁䅑杍祁䅁䅁杓䅁䍁䅯䅁䩂䙁䅅睘呂䙁䅕村時䕁䅷兒䉂䙁䅍兒時䕁䅫杔䑂䙁䄸睑婂䑁䅅䅁䡄允䅁杤䅁䍁䅣睗乂䕁䅫睘䑂䝁䄸兢睂䝁䅅杢㕂䙁䄸睓求䡁䅫睕あ䝁䅅䅤穂䙁䄸杤硁䍁䅁䅋穁䍁䅫杌㑂䝁䅷督瑂䙁䄰村桂䝁䅷兙畂䝁䅍党時䙁䅍䅡求䝁䅕䅤湁䍁䅅䅊䙂䍁䅑䅎㙁䍁䅑䅕歁䑁䅑䅁偂䅂䅁杣䅁䍁䅣睗呂䙁䅁睒時䕁䅍睢瑂䡁䅁兙畂䡁䅫睘䱂䝁䅕入呂䡁䅑兙あ䡁䅍睘㉂䑁䅉䅉硁䍁䄴䅥獂䡁䅍兢摂䙁䅍兤睂䡁䅁䅢求䝁䄰党畂䡁䅑兙獂䍁䅣光歁䕁䅑䅊㉁䑁䅯䅊䩂䍁䅑李䅁偁䝷䅁啃䅁䅁睊扂䕁䄰兓時䕁䅍睢瑂䡁䅁兙畂䡁䅫睘䱂䝁䅕入呂䡁䅑兙あ䡁䅍睘㉂䑁䅅䅉潁䑁䅍克畁䡁䅧䅢穂䝁䄰兘䑂䝁䅅䅣灂䡁䅑兙獂䙁䄸睕あ䡁䅉兤橂䡁䅑兤祂䝁䅕睘呂䡁䅕兢瑂䝁䅅杣㕂䍁䅣光歁䕁䅍䅊硁䑁䅍杏歁䕁䅍䅊硁䑁䅕䅍䅁䝁䕑䅁杁䅁䅁睕兂䙁䄸杕䙂䙁䅙睘䕂䕁䅅䅖䙂䙁䄸兒呂䙁䅑䅁䡂䅁䅁杆䅁䙁䅁杕䩂䕁䅍兒䑂䕁䅷睔呂䕁䅕䅁婃兂䅁杣䅁䍁䅣睗乂䕁䅫睘䑂䝁䄸兢睂䝁䅅杢㕂䙁䄸睓求䡁䅫睕あ䝁䅅䅤穂䙁䄸杤硁䍁䄰䅉偂䡁䅉兡湂䝁䅫杢桂䝁䅷杌㑂䝁䅷督瑂䙁䄰睓求䡁䅫睘呂䡁䅑兙あ䡁䅍睊桁䍁䅑村歁䑁䅉杍䅁䝁䙁䅁䕃䅁䅁睊扂䕁䄰兓時䕁䅍睢瑂䡁䅁兙畂䡁䅫睘䱂䝁䅕入呂䡁䅑兙あ䡁䅍睘㉂䑁䅅䅉潁䑁䅍克畁䡁䅧䅢穂䝁䄰兘䑂䝁䅅䅣灂䡁䅑兙獂䙁䄸睕あ䡁䅉兤橂䡁䅑兤祂䝁䅕睘呂䡁䅕兢瑂䝁䅅杣㕂䍁䅣光歁䕁䅍䅊ㅁ䅁䅁杚䅑䝁䄴䅁湁䙁䅳兔䩂䙁䄸睑療䝁䄰䅣桂䝁䄴入時䕁䅳党㕂䙁䅍䅤桂䡁䅑督時䡁䅙免杁䍁䅧睍灁䍁䄴䅥獂䡁䅍兢摂䕁䅍兙穂䝁䅧睘䝂䝁䅷睢㍂䍁䅣光歁䕁䅕䅊ㅁ䑁䅯䅊兂䍁䅑兎䅁䙁䕕䅁奂䅁䅁睖癁䕁䅅杤求䡁䅉兙湂䝁䅕䅉䩂䝁䄴䅤求䡁䅉党穂䡁䅑䅉卂䝁䅅䅤求䑁䅯䅉䵂䝁䄸杢湂䍁䄰䅤求䡁䅉兢杁䕁䅑党楂䡁䅑䅉潁䍁䅕克䅁佁䉉䅁奁䅁䅁兒䍂䕁䅫䅖杁䍁䅧䅊睁䑁䅁䅍灁䅁䅁睚䅁䝁䄴䅁湁䙁䅳兔䩂䙁䄸睑療䝁䄰䅣桂䝁䄴入時䕁䅳党㕂䙁䅍䅤桂䡁䅑督時䡁䅙免杁䍁䅧睍灁䍁䄴䅥獂䡁䅍兢摂䕁䅍兙睂䝁䅫䅤桂䝁䅷兡㙂䝁䅅䅤灂䝁䄸杢湁䍁䅅䅊䑂䍁䅑䅎䅁䙁䕙䅁楁䅁䅁兓剂䙁䄸䅕卂䕁䅕睘偂䙁䅁兒佂䙁䄸睑偂䙁䅍䅖䅁䭁䄴䅁浂䅁䅁睗乂䕁䅫睘䑂䝁䄸兢睂䝁䅅杢㕂䙁䄸睓求䡁䅫睕あ䝁䅅䅤穂䙁䄸杤硁䍁䄴䅥獂䡁䅍兢摂䕁䅳党㕂䙁䄸睕あ䝁䅅䅤穂䍁䅅䅊啂䍁䅑兎㑁䑁䅯䅊啂䍁䅑李硁䅁䅁杲䅕䩁䅉䅁湁䙁䅳兔䩂䙁䄸睑療䝁䄰䅣桂䝁䄴入時䕁䅳党㕂䙁䅍䅤桂䡁䅑督時䡁䅙免杁䍁䅧睍灁䍁䄴䅥獂䡁䅍兢摂䕁䅍兙睂䝁䅫䅤桂䝁䅷睘呂䡁䅑杣ㅂ䝁䅍䅤ㅂ䡁䅉党時䙁䅍兤瑂䝁䄰兙祂䡁䅫睊桁䍁䅑䅒歁䑁䅉睎㙁䍁䅑䅒歁䑁䅣䅏䅁䝁䕧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䱂䍁䅑免祁䅁䅁来䅣䥁䄴䅁湁䙁䅳兔䩂䙁䄸睑療䝁䄰䅣桂䝁䄴入時䕁䅳党㕂䙁䅍䅤桂䡁䅑督時䡁䅙免杁䍁䅧睍灁䍁䄴䅥獂䡁䅍兢摂䕁䅍兙睂䝁䅫䅤桂䝁䅷睘呂䡁䅑杣ㅂ䝁䅍䅤ㅂ䡁䅉党時䙁䅍兤瑂䝁䄰兙祂䡁䅫睊桁䍁䅑兒歁䑁䅑杏歁䕁䄸䅊ぁ䅁䅁睙䅑䡁䅙䅁湁䙁䅳睕兂䕁䅣睘䑂䝁䄸兢睂䝁䅅杢㕂䙁䄸睓求䡁䅫睕あ䝁䅅䅤穂䙁䄸杤硁䍁䅁䅋祁䍁䅫杌㑂䝁䅷督瑂䙁䄰䅕求䝁䄴督灂䝁䄸杢瑁䕁䄸䅕䙂䕁䅉睊桁䍁䅑䅒歁䑁䅙杏歁䕁䅫䅊㉁䅁䅁兔䅙䝁䅑䅁扂䙁䅍䅕䡂䙁䄸睑療䝁䄰䅣桂䝁䄴入時䕁䅳党㕂䙁䅍䅤桂䡁䅑督時䡁䅙杍畁䡁䅧䅢穂䝁䄰兘䑂䝁䅅督潂䙁䄸杒獂䝁䄸睤桁䍁䅑兒歁䑁䅙杏歁䙁䅅䅊㉁䅁䅁眳䅣䕁䅧䅁䭂䡁䅉杌杁䙁䅍兤楂䍁䅁䅒求䝁䅉䅤杁䍁䄸䅉潁䕁䅕村䩂䙁䅑䅒䉂䍁䅁兌杁䕁䅍兙睂䝁䅕䅥灁䍁䅁䅋㑂䍁䅫䅁慃允䅁䅨䅁䍁䅣睗䑂䝁䄸䅣㕂䍁䅁睢浂䍁䅁睕兂䕁䅣睘䑂䝁䄸兢睂䝁䅅杢㕂䙁䄸睓求䡁䅫睕あ䝁䅅䅤穂䙁䄸杤祁䙁䄸杢求䡁䅣杌㑂䝁䅷督瑂䙁䄰睓求䡁䅫睘呂䡁䅑兙あ䡁䅍睊桁䍁䅑兒歁䑁䅉兎㙁䍁䅑睓歁䑁䅉兎䅁䥁䠰䅁㙂䅁䅁睊扂䕁䄰兓時䕁䅍睢瑂䡁䅁兙畂䡁䅫睘䱂䝁䅕入呂䡁䅑兙あ䡁䅍睘㉂䑁䅅兌䑂䝁䄸䅣㕂䍁䄴䅥獂䡁䅍兢摂䕁䅍兙睂䝁䅫䅤桂䝁䅷兡㙂䝁䅅䅤灂䝁䄸杢湁䍁䅅䅊䙂䍁䅑兎㙁䍁䅑杓歁䑁䅕䅁㍁兂䅁䅨䅁䍁䅣睗䑂䝁䄸䅣㕂䍁䅁睢浂䍁䅁睕兂䕁䅣睘䑂䝁䄸兢睂䝁䅅杢㕂䙁䄸睓求䡁䅫睕あ䝁䅅䅤穂䙁䄸杤祁䙁䄸杢求䡁䅣杌㑂䝁䅷督瑂䙁䄰睓求䡁䅫睘呂䡁䅑兙あ䡁䅍睊桁䍁䅑兒歁䑁䅉李㙁䍁䅑睓歁䑁䅉李䅁䥁䠴䅁卂䅁䅁睕ㅂ䝁䅉兌䵂䝁䅕兙穂䝁䅕䅉䩂䝁䄴睙療䝁䄰党獁䍁䅁兑浂䡁䅑党祂䍁䅁兎杁䙁䅫杣穂䍁䅁䅋卂䝁䅕䅣療䡁䅉䅤求䝁䅑克䅁乁䉉䅁㉁䅁䅁兓剂䙁䄸䅖偂䙁䅑兑䵂䙁䄸睔兂䙁䅑兓偂䕁䄴睕時䕁䅕䅗䙂䙁䅉睑䩂䙁䅍兒䕂䅁䅁村䅍䡁䄴䅁湁䙁䅳兔䩂䙁䄸睑療䝁䄰䅣桂䝁䄴入時䕁䅳党㕂䙁䅍䅤桂䡁䅑督時䡁䅙免瑁䕁䅍睢睂䡁䅫杌㑂䝁䅷督瑂䙁䄰睑桂䡁䅁兡あ䝁䅅䅢灂䡁䅯兙あ䝁䅫睢畂䍁䅣光歁䕁䅕䅊ㅁ䑁䅧杏歁䕁䅯䅊ㅁ䑁䅧䅁䩂兂䅁䅩䅁䍁䅣睗呂䙁䅁睒時䕁䅍睢瑂䡁䅁兙畂䡁䅫睘䱂䝁䅕入呂䡁䅑兙あ䡁䅍睘㉂䑁䅉䅉硁䍁䄴䅥獂䡁䅍兢摂䕁䅍兙睂䝁䅫䅤桂䝁䅷睘呂䡁䅑杣ㅂ䝁䅍䅤ㅂ䡁䅉党時䍁䅁䅒求䡁䅑兙灂䝁䅷督杁䍁䅣光歁䕁䅣䅊㍁䑁䅙䅁楁睂䅁杆䅁䑁䅁兏癁䑁䅅睎癁䑁䅉䅍祁䑁䅁䅁湃兂䅁杚䅁䍁䅣睗乂䕁䅫睘䑂䝁䄸兢睂䝁䅅杢㕂䙁䄸睓求䡁䅫睕あ䝁䅅䅤穂䙁䄸杤硁䍁䅁䅋穁䍁䅫杌㑂䝁䅷督瑂䙁䄰睓求䡁䅫睘呂䡁䅑兙あ䡁䅍睊桁䍁䅑兒歁䑁䅕杍䅁䑁䔸䅁㙁䅁䅁睒求䝁䄴党祂䝁䅅䅢癁䕁䄸䅤潂䝁䅕杣杁䕁䅉睢祂䡁䅉睢㍂䝁䅫杢湂䡁䅍䅉潁䍁䅕克䅁偁䅅䅁䵃䅁䅁睊扂䙁䅍䅕䡂䙁䄸睑療䝁䄰䅣桂䝁䄴入時䕁䅳党㕂䙁䅍䅤桂䡁䅑督時䡁䅙杍杁䑁䅅杌㑂䝁䅷督瑂䙁䄰睑桂䡁䅁兡あ䝁䅅䅢時䙁䅍䅤祂䡁䅕睙あ䡁䅕杣求䙁䄸睕ㅂ䝁䄰兢桂䡁䅉入湁䍁䅅䅊䙂䍁䅑李㙁䍁䅑睔歁䑁䅙䅁睄杂䅁杒䅁䙁䅁杣療䡁䅙兡穂䝁䅫睢畂䍁䅁杚療䡁䅉䅉䍂䝁䅅䅚杁䕁䅑党楂䡁䅑督杁䍁䅧杕求䡁䅁睢祂䡁䅑党歂䍁䅫䅁牃䅁䅁杪䅁䍁䅣睗乂䕁䅫睘䑂䝁䄸兢睂䝁䅅杢㕂䙁䄸睓求䡁䅫睕あ䝁䅅䅤穂䙁䄸杤硁䍁䅁䅋穁䍁䅫杌㑂䝁䅷督瑂䙁䄰睑桂䡁䅁兡あ䝁䅅䅢時䙁䅍䅤祂䡁䅕睙あ䡁䅕杣求䙁䄸睕ㅂ䝁䄰兢桂䡁䅉入湁䍁䅅䅊䙂䍁䅑兎㙁䍁䅑睔歁䑁䅕䅁求䅂䅁䅤䅁䍁䅣睗呂䙁䅁睒時䕁䅍睢瑂䡁䅁兙畂䡁䅫睘䱂䝁䅕入呂䡁䅑兙あ䡁䅍睘㉂䑁䅅杌㑂䝁䅷督瑂䙁䄰䅕求䝁䄴督灂䝁䄸杢瑁䕁䄸䅕䙂䕁䅉睊桁䍁䅑睑歁䑁䅅免㙁䍁䅑睑歁䑁䅕睎睁䅁䅁杄䅙䥁䄴䅁湁䙁䅳兔䩂䙁䄸睑療䝁䄰䅣桂䝁䄴入時䕁䅳党㕂䙁䅍䅤桂䡁䅑督時䡁䅙免杁䍁䅧睍灁䍁䄴䅥獂䡁䅍兢摂䕁䅍兙睂䝁䅫䅤桂䝁䅷睘呂䡁䅑杣ㅂ䝁䅍䅤ㅂ䡁䅉党時䙁䅍兤瑂䝁䄰兙祂䡁䅫睊桁䍁䅑杒歁䑁䅧杏歁䙁䅁䅊㑁䅁䅁睚䅑䝁䅙䅁扂䕁䄰兓時䕁䅍睢瑂䡁䅁兙畂䡁䅫睘䱂䝁䅕入呂䡁䅑兙あ䡁䅍睘㉂䑁䅅杌㑂䝁䅷督瑂䙁䄰睓求䡁䅫睘呂䡁䅑兙あ䡁䅍光歁䕁䅯䅊祁䑁䅍杏歁䕁䅷䅊祁䑁䅍䅁㝄睁䅁杤䅁䍁䅣睗乂䕁䅫睘䑂䝁䄸兢睂䝁䅅杢㕂䙁䄸睓求䡁䅫睕あ䝁䅅䅤穂䙁䄸杤硁䍁䅁䅋穁䍁䅫杌㑂䝁䅷督瑂䙁䄰睓求䡁䅫睘呂䡁䅑兙あ䡁䅍睊桁䍁䅑睑歁䑁䅅䅍ㅁ䑁䅯䅊䑂䍁䅑免睁䑁䅫䅁䥂䅂䅁杢䅁䍁䅣睗乂䕁䅫睘䑂䝁䄸兢睂䝁䅅杢㕂䙁䄸睓求䡁䅫睕あ䝁䅅䅤穂䙁䄸杤硁䍁䅁兌獂䝁䅅䅤求䡁䅍䅤畁䡁䅧䅢穂䝁䄰兘䱂䝁䅕入時䙁䅍䅤桂䡁䅑督湁䍁䅅䅊䙂䍁䅑兎祁䅁䅁睇䅕䙁䅙䅁扂䕁䄰兓時䕁䅳党㕂䙁䅍䅤桂䡁䅑督時䡁䅙免畁䡁䅧䅢穂䝁䄰兘䱂䝁䅕入時䙁䅍䅤桂䡁䅑督桁䍁䅑睑歁䑁䅙免㙁䍁䅑睑歁䑁䅙睎䅁䡁䑍䅁煁䅁䅁兓剂䙁䄸睑䵂䙁䄸䅒噂䕁䅕睘䉂䕁䅙䅖䙂䙁䅉睘䝂䕁䅫杖䙂䅁䅁关䅅䥁䄴䅁湁䙁䅳兔䩂䙁䄸睑療䝁䄰䅣桂䝁䄴入時䕁䅳党㕂䙁䅍䅤桂䡁䅑督時䡁䅙免杁䍁䅧睍灁䍁䄴䅥獂䡁䅍兢摂䕁䅍兙睂䝁䅫䅤桂䝁䅷睘呂䡁䅑杣ㅂ䝁䅍䅤ㅂ䡁䅉党時䙁䅍兤瑂䝁䄰兙祂䡁䅫睊桁䍁䅑杒歁䑁䅫杏歁䙁䅁䅊㕁䅁䅁兡䅑䡁䅑䅁湁䙁䅳睕兂䕁䅣睘䑂䝁䄸兢睂䝁䅅杢㕂䙁䄸睓求䡁䅫睕あ䝁䅅䅤穂䙁䄸杤硁䍁䅁䅋祁䍁䅫杌㑂䝁䅷督瑂䙁䄰睓求䡁䅫睘呂䡁䅑兙あ䡁䅍睊桁䍁䅑睑歁䑁䅉䅏㙁䍁䅑睑歁䑁䅕杍䅁䉁䝉䅁啂䅁䅁䅖療䡁䅑兙獂䍁䅁兖畂䝁䅅兢療䡁䅉䅤灂䡁䅯党歂䍁䅁䅕祂䝁䅕兢灂䡁䅕兢癁䍁䅁䅖療䡁䅑兙獂䍁䅁䅒求䝁䅉䅤杁䍁䅧兊灁䅁䅁眯䅁䍁䄴䅁䩂䙁䅅睘䵂䕁䅙睑䝂䙁䄸睍婂䙁䅉睘䉂䕁䄴杔時䕁䅣杕偂䙁䅣䅖䥂䅁䅁睧䅉䝁䅙䅁湁䙁䅳兔䩂䙁䄸睑療䝁䄰䅣桂䝁䄴入時䕁䅳党㕂䙁䅍䅤桂䡁䅑督時䡁䅙免杁䍁䅧睍灁䍁䄴䅥獂䡁䅍兢摂䕁䅳党㕂䙁䄸睕あ䝁䅅䅤穂䍁䅣光歁䕁䅉䅊祁䑁䅉䅁睁䅂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䅉䅊㍁䑁䅙䅁佃䅃䅁杢䅁䕁䄸䅣求䡁䅉兙あ䝁䅫杢湂䍁䅁䅔求䝁䅅督求䍁䅁睑療䝁䄰兢灂䡁䅑兢求䝁䄴䅤杁䕁䅑兤求䍁䅷䅉䉂䝁䅙䅤求䡁䅉䅉ㅁ䍁䅁兗祂䡁䅍䅉潁䙁䅉党睂䝁䄸杣あ䝁䅕䅚灁䅁䅁䅸䅅䝁䅷䅁扂䕁䄰兓時䕁䅍睢瑂䡁䅁兙畂䡁䅫睘䱂䝁䅕入呂䡁䅑兙あ䡁䅍睘㉂䑁䅅杌㑂䝁䅷督瑂䙁䄰睑桂䡁䅁兡あ䝁䅅䅢灂䡁䅯兙あ䝁䅫睢畂䍁䅅䅊䙂䍁䅑兎㙁䍁䅑杓歁䑁䅕䅁呁䅂䅁䅡䅁䙁䅳兔䩂䙁䄸睑療䝁䄰䅣桂䝁䄴入時䕁䅳党㕂䙁䅍䅤桂䡁䅑督時䡁䅙免時䍁䄴䅥獂䡁䅍兢摂䕁䅳党㕂䙁䄸睕あ䝁䅅䅤穂䍁䅅䅊䕂䍁䅑杍㑁䑁䅯䅊䕂䍁䅑兎祁䅁䅁睷䅑䑁䅧䅁䩂䝁䄴杤求䝁䄴䅤療䡁䅉入獁䍁䅁免杁䙁䅫杣畁䍁䅁睒祂䝁䄸睤あ䝁䅧䅉潁䍁䅕克䅁䍁䍧䅁歃䅁䅁睊扂䕁䅍睢睂䡁䅫䅉療䝁䅙䅉呂䙁䅁睒時䕁䅍睢瑂䡁䅁兙畂䡁䅫睘䱂䝁䅕入呂䡁䅑兙あ䡁䅍睘㉂䑁䅉睘畂䝁䅕睤畁䡁䅧䅢穂䝁䄰兘䑂䝁䅅䅣灂䡁䅑兙獂䙁䄸睕あ䡁䅉兤橂䡁䅑兤祂䝁䅕睘呂䡁䅕兢瑂䝁䅅杣㕂䍁䅣光歁䕁䅙䅊硁䑁䅅杏歁䙁䅉䅊硁䑁䅅䅁䕄睂䅁杍䅁䕁䅫兕時䙁䅑睔啂䕁䅅䅔時䙁䅣兑卂䙁䅉兑佂䙁䅑睕時䕁䅕杔䕂䙁䄸睔呂䅁䅁䅘䅍䡁䅷䅁湁䙁䅳兔䩂䙁䄸睑療䝁䄰䅣桂䝁䄴入時䕁䅳党㕂䙁䅍䅤桂䡁䅑督時䡁䅙免杁䍁䅧睍灁䍁䄴䅥獂䡁䅍兢摂䕁䅍兙睂䝁䅫䅤桂䝁䅷兡㙂䝁䅅䅤灂䝁䄸杢湁䍁䅅䅊䙂䍁䅑䅎㑁䑁䅯䅊兂䍁䅑䅎㑁䅁䅁兘䅑䡁䅧䅁湁䙁䅳兔䩂䙁䄸睑療䝁䄰䅣桂䝁䄴入時䕁䅳党㕂䙁䅍䅤桂䡁䅑督時䡁䅙免瑁䕁䅍睢睂䡁䅫杌㑂䝁䅷督瑂䙁䄰睓求䡁䅫睘呂䡁䅑兙あ䡁䅍睊桁䍁䅑兒歁䑁䅅䅍㑁䑁䅯䅊䡂䍁䅑免睁䑁䅧䅁湁兂䅁杋䅁䕁䅫兕時䕁䄴兓時䑁䅍兗卂䙁䄸兑佂䕁䄴睘䡂䙁䅉睔塂䙁䅑䅓䅁䝁䌸䅁睂䅁䅁睊扂䕁䄰兓時䕁䅍睢瑂䡁䅁兙畂䡁䅫睘䱂䝁䅕入呂䡁䅑兙あ䡁䅍睘㉂䑁䅅䅉潁䑁䅍克畁䡁䅧䅢穂䝁䄰兘䑂䝁䅅䅣灂䡁䅑兙獂䝁䅫来桂䡁䅑兡療䝁䄴睊桁䍁䅑睑歁䑁䅑䅏䅁䙁䕯䅁睂䅁䅁睊扂䕁䄰兓時䕁䅍睢瑂䡁䅁兙畂䡁䅫睘䱂䝁䅕入呂䡁䅑兙あ䡁䅍睘㉂䑁䅅䅉潁䑁䅍克畁䡁䅧䅢穂䝁䄰兘䑂䝁䅅䅣灂䡁䅑兙獂䝁䅫来桂䡁䅑兡療䝁䄴睊桁䍁䅑睑歁䑁䅕䅍䅁䙁䕷䅁㡂䅁䅁睊扂䕁䄰兓時䕁䅍睢瑂䡁䅁兙畂䡁䅫睘䱂䝁䅕入呂䡁䅑兙あ䡁䅍睘㉂䑁䅅䅉潁䑁䅍克畁䡁䅧䅢穂䝁䄰兘䑂䝁䅅䅣灂䡁䅑兙獂䝁䅫来桂䡁䅑兡療䝁䄴睊桁䍁䅑兒歁䑁䅕免㙁䍁䅑杓歁䑁䅕免䅁䙁䔸䅁㡁䅁䅁杖桂䡁䅉兡桂䝁䅉䅢求䍁䅁杕桂䡁䅑党杁䕁䅑党楂䡁䅑䅉潁䙁䅉党睂䝁䄸杣あ䝁䅕䅚灁䅁䅁兕䅅䥁䅙䅁扂䕁䄰兓時䕁䅍睢瑂䡁䅁兙畂䡁䅫睘䱂䝁䅕入呂䡁䅑兙あ䡁䅍睘㉂䑁䅅杌㑂䝁䅷督瑂䙁䄰睑桂䡁䅁兡あ䝁䅅䅢時䙁䅍䅤祂䡁䅕睙あ䡁䅕杣求䙁䄸睕ㅂ䝁䄰兢桂䡁䅉入桁䍁䅑䅒歁䑁䅉睎㙁䍁䅑䅒歁䑁䅣䅏䅁䍁䕉䅁㡂䅁䅁睊扂䕁䄰兓時䕁䅍睢瑂䡁䅁兙畂䡁䅫睘䱂䝁䅕入呂䡁䅑兙あ䡁䅍睘㉂䑁䅅䅉潁䑁䅍克畁䡁䅧䅢穂䝁䄰兘䑂䝁䅅䅣灂䡁䅑兙獂䝁䅫来桂䡁䅑兡療䝁䄴睊桁䍁䅑兒歁䑁䅕杍㙁䍁䅑杓歁䑁䅕杍䅁䝁䕅䅁䭂䅁䅁睑桂䡁䅁兡あ䝁䅅䅢杁䕁䅕䅥睂䝁䅕杢歂䝁䅫䅤ㅂ䡁䅉党穂䍁䅷䅉穁䍁䅁兗祂䍁䄴䅉䑂䕁䅅睒卂䍁䅁䅋汁䍁䅫䅁䍃杁䅁䅦䅁䍁䅣睗乂䕁䅫睘䑂䝁䄸兢睂䝁䅅杢㕂䙁䄸睓求䡁䅫睕あ䝁䅅䅤穂䙁䄸杤硁䍁䅁䅋穁䍁䅫杌㑂䝁䅷督瑂䙁䄰睑桂䡁䅁兡あ䝁䅅䅢灂䡁䅯兙あ䝁䅫睢畂䍁䅣光歁䕁䅍䅊ㅁ䑁䅍杏歁䕁䅍䅊ㅁ䑁䅑䅁杂䅂䅁杓䅁䙁䅳兔䩂䙁䄸睓求䡁䅫睕あ䝁䅅䅤穂䙁䄸杤硁䍁䄴䅥獂䡁䅍兢摂䕁䅳党㕂䙁䄸睕あ䝁䅅䅤穂䍁䅅䅊䙂䍁䅑兎祁䅁䅁杤䅍䝁䅧䅁湁䙁䅳睕兂䕁䅣睘䑂䝁䄸兢睂䝁䅅杢㕂䙁䄸睓求䡁䅫睕あ䝁䅅䅤穂䙁䄸杤硁䍁䅁䅋祁䍁䅫杌㑂䝁䅷督瑂䙁䄰睓求䡁䅫睘呂䡁䅑兙あ䡁䅍睊桁䍁䅑兒歁䑁䅙睍䅁䉁䜸䅁㙂䅁䅁睊扂䕁䄰兓時䕁䅍睢瑂䡁䅁兙畂䡁䅫睘䱂䝁䅕入呂䡁䅑兙あ䡁䅍睘㉂䑁䅅䅉潁䑁䅍克畁䡁䅧䅢穂䝁䄰兘䑂䝁䅅䅣灂䡁䅑兙獂䝁䅫来桂䡁䅑兡療䝁䄴睊桁䍁䅑睑歁䑁䅫杏歁䕁䅍䅊祁䑁䅕䅁奂䅂䅁杆䅁䙁䅍䅕時䙁䅁兒䡂䙁䄸杒塂䕁䅑䅁敂杂䅁杗䅁䙁䅳兔䩂䙁䄸睑療䝁䄰䅣桂䝁䄴入時䕁䅳党㕂䙁䅍䅤桂䡁䅑督時䡁䅙免畁䡁䅧䅢穂䝁䄰兘䱂䝁䅕入時䙁䅍䅤桂䡁䅑督桁䍁䅑村歁䑁䅕兎䅁䡁䙙䅁睁䅁䅁兓剂䙁䄸䅒䉂䕁䅫䅔婂䙁䄸兑坂䕁䅣睘卂䕁䅕杖時䙁䅑杕䉂䕁䅑兒呂䅁䅁䅩䅍䡁䅧䅁湁䙁䅳兔䩂䙁䄸睑療䝁䄰䅣桂䝁䄴入時䕁䅳党㕂䙁䅍䅤桂䡁䅑督時䡁䅙免杁䍁䅧睍灁䍁䄴䅥獂䡁䅍兢摂䕁䅍兙睂䝁䅫䅤桂䝁䅷兡㙂䝁䅅䅤灂䝁䄸杢湁䍁䅅䅊䙂䍁䅑䅎㙁䍁䅑杓歁䑁䅑䅁塂䅂䅁杋䅁䙁䅑睢あ䝁䅅䅢杁䙁䅉党㉂䝁䅕杢ㅂ䝁䅕䅉潁䍁䅑䅍睁䑁䅁克䅁䝁䅕䅁㉂䅁䅁睊扂䕁䄰兓時䕁䅍睢瑂䡁䅁兙畂䡁䅫睘䱂䝁䅕入呂䡁䅑兙あ䡁䅍睘㉂䑁䅅䅉潁䑁䅍克畁䡁䅧䅢穂䝁䄰兘䱂䝁䅕入時䙁䅍䅤桂䡁䅑督湁䍁䅅䅊䙂䍁䅑免睁䑁䅍杏歁䕁䅣䅊硁䑁䅁睍䅁䕁䕣䅁㙂䅁䅁睊扂䙁䅍䅕䡂䙁䄸睑療䝁䄰䅣桂䝁䄴入時䕁䅳党㕂䙁䅍䅤桂䡁䅑督時䡁䅙杍杁䑁䅅杌㑂䝁䅷督瑂䙁䄰睑桂䡁䅁兡あ䝁䅅䅢灂䡁䅯兙あ䝁䅫睢畂䍁䅣光歁䕁䅕䅊ぁ䑁䅙杏歁䕁䅯䅊ぁ䑁䅙䅁獄杂䅁䅗䅁䙁䅳兔䩂䙁䄸睑療䝁䄰䅣桂䝁䄴入時䕁䅳党㕂䙁䅍䅤桂䡁䅑督時䡁䅙免畁䡁䅧䅢穂䝁䄰兘䑂䝁䅅督潂䙁䄸杒獂䝁䄸睤桁䍁䅑睑歁䑁䅑䅁䵁䅂䅁杣䅁䍁䅣睗乂䕁䅫睘䑂䝁䄸兢睂䝁䅅杢㕂䙁䄸睓求䡁䅫睕あ䝁䅅䅤穂䙁䄸杤硁䍁䅁䅋穁䍁䅫杌㑂䝁䅷督瑂䙁䄰睓求䡁䅫睘呂䡁䅑兙あ䡁䅍睊桁䍁䅑䅒歁䑁䅉兎㙁䍁䅑䅒歁䑁䅑兏䅁䑁䕙䅁㑂䅁䅁睊扂䕁䄰兓時䕁䅍睢瑂䡁䅁兙畂䡁䅫睘䱂䝁䅕入呂䡁䅑兙あ䡁䅍睘㉂䑁䅅䅉潁䑁䅍克畁䡁䅧䅢穂䝁䄰兘䑂䝁䅅䅣灂䡁䅑兙獂䝁䅫来桂䡁䅑兡療䝁䄴睊桁䍁䅑兒歁䑁䅕杏歁䕁䅯䅊ㅁ䅁䅁兗䅑䡁䅑䅁湁䙁䅳睕兂䕁䅣睘䑂䝁䄸兢睂䝁䅅杢㕂䙁䄸睓求䡁䅫睕あ䝁䅅䅤穂䙁䄸杤祁䍁䅁免畁䡁䅧䅢穂䝁䄰兘䍂䝁䅅䅢桂䝁䄴睙求䙁䄸睕潂䝁䅕党あ䍁䅣光歁䕁䅕䅊㉁䑁䅯䅊兂䍁䅑李䅁乁䝷䅁歂䅁䅁睊扂䕁䄰兓時䕁䅍睢瑂䡁䅁兙畂䡁䅫睘䱂䝁䅕入呂䡁䅑兙あ䡁䅍睘㉂䑁䅅䅉潁䑁䅍克畁䡁䅧䅢穂䝁䄰兘䑂䝁䅅督潂䙁䄸杒獂䝁䄸睤湁䍁䅅䅊䑂䍁䅑䅎䅁䙁䕉䅁畂䅁䅁睊扂䕁䄰兓時䕁䅍睢瑂䡁䅁兙畂䡁䅫睘䱂䝁䅕入呂䡁䅑兙あ䡁䅍睘㉂䑁䅅䅉瑁䝁䅷兙あ䝁䅕督あ䍁䄴䅥獂䡁䅍兢摂䕁䅳党㕂䙁䄸睕あ䝁䅅䅤穂䍁䅣光歁䕁䅉䅊ㅁ䑁䅅䅁奁兂䅁䅦䅁䍁䅣睗乂䕁䅫睘䑂䝁䄸兢睂䝁䅅杢㕂䙁䄸睓求䡁䅫睕あ䝁䅅䅤穂䙁䄸杤硁䍁䅁䅋穁䍁䅫杌㑂䝁䅷督瑂䙁䄰兓畂䝁䅍睢瑂䝁䅕睘呂䡁䅑兙あ䝁䅕兢求䝁䄴䅤湁䍁䅅䅊䙂䍁䅑䅎㙁䍁䅑䅕歁䑁䅑䅁䱂䅂䅁杗䅁䙁䅳兔䩂䙁䄸睑療䝁䄰䅣桂䝁䄴入時䕁䅳党㕂䙁䅍䅤桂䡁䅑督時䡁䅙免畁䡁䅧䅢穂䝁䄰兘䱂䝁䅕入時䙁䅍䅤桂䡁䅑督桁䍁䅑村歁䑁䅉兎䅁䥁䕧䅁浂䅁䅁睗乂䕁䅫睘䑂䝁䄸兢睂䝁䅅杢㕂䙁䄸睓求䡁䅫睕あ䝁䅅䅤穂䙁䄸杤硁䍁䄴䅥獂䡁䅍兢摂䕁䅳党㕂䙁䄸睕あ䝁䅅䅤穂䍁䅅䅊䑂䍁䅑兎㍁䑁䅯䅊䑂䍁䅑兎㑁䅁䅁睲䅑䡁䅙䅁偂䡁䅁䅤灂䝁䄸杢穂䍁䅁睑桂䝁䄴睙求䝁䅷䅢求䝁䅑䅉䕂䡁䅕杣灂䝁䄴睚杁䡁䅑䅡求䍁䅁䅕求䡁䅉兡療䝁䅑䅌杁䕁䅍睢瑂䝁䄰睢畂䍁䅁睕あ䝁䄸睙牂䍁䅁䅋桂䝁䅍䅤ㅂ䝁䅅䅢灁䅁䅁兏䅍䡁䅁䅁湁䙁䅳兔䩂䙁䄸睑療䝁䄰䅣桂䝁䄴入時䕁䅳党㕂䙁䅍䅤桂䡁䅑督時䡁䅙免杁䍁䅧睍灁䍁䄴䅥獂䡁䅍兢摂䕁䅍兙穂䝁䅧睘䝂䝁䅷睢㍂䍁䅣光歁䕁䅍䅊㕁䑁䅯䅊䑂䍁䅑兏睁䅁䅁䅖䅑䥁䅙䅁湁䙁䅳睕兂䕁䅣睘䑂䝁䄸兢睂䝁䅅杢㕂䙁䄸睓求䡁䅫睕あ䝁䅅䅤穂䙁䄸杤硁䍁䅁䅋祁䍁䅫杌㑂䝁䅷督瑂䙁䄰睑桂䡁䅁兡あ䝁䅅䅢時䙁䅍䅤祂䡁䅕睙あ䡁䅕杣求䙁䄸睕ㅂ䝁䄰兢桂䡁䅉入湁䍁䅅䅊䑂䍁䅑睎䅁䕁䝁䅁ぁ䅁䅁䅕求䡁䅉兡療䝁䅑䅉䙂䝁䄴䅚求䝁䅑䅉潁䝁䄰兢癁䝁䅑䅚癁䡁䅫入㕂䡁䅫克䅁䙁䅉䅁杂䅁䅁睊扂䕁䄰兓時䕁䅳党㕂䙁䅍䅤桂䡁䅑督時䡁䅙免畁䡁䅧䅢穂䝁䄰兘兂䝁䅕杢穂䝁䅫睢畂䍁䄰睔兂䕁䅕村湁䍁䅅䅊䑂䍁䅑兏㙁䍁䅑睑歁䑁䅕李㕁䅁䅁睹䅍䡁䄴䅁湁䙁䅳兔䩂䙁䄸睑療䝁䄰䅣桂䝁䄴入時䕁䅳党㕂䙁䅍䅤桂䡁䅑督時䡁䅙免瑁䕁䅍睢睂䡁䅫杌㑂䝁䅷督瑂䙁䄰睑桂䡁䅁兡あ䝁䅅䅢灂䡁䅯兙あ䝁䅫睢畂䍁䅣光歁䕁䅕䅊㉁䑁䅉杏歁䕁䅯䅊㉁䑁䅉䅁䥂兂䅁䅤䅁䍁䅣睗乂䕁䅫睘䑂䝁䄸兢睂䝁䅅杢㕂䙁䄸睓求䡁䅫睕あ䝁䅅䅤穂䙁䄸杤硁䍁䄰睑療䡁䅁入畁䡁䅧䅢穂䝁䄰兘䱂䝁䅕入時䙁䅍䅤桂䡁䅑督湁䍁䅅䅊乂䍁䅑杍ㅁ䑁䅯䅊偂䍁䅑杍ㅁ䅁䅁光䅕䙁䅙䅁扂䙁䅍䅕䡂䙁䄸睑療䝁䄰䅣桂䝁䄴入時䕁䅳党㕂䙁䅍䅤桂䡁䅑督時䡁䅙杍畁䡁䅧䅢穂䝁䄰兘呂䝁䅧党求䡁䅑免桁䍁䅑䅒歁䑁䅅免䅁䥁䝷䅁䭃䅁䅁睗呂䙁䅁睒時䕁䅍睢瑂䡁䅁兙畂䡁䅫睘䱂䝁䅕入呂䡁䅑兙あ䡁䅍睘㉂䑁䅉杌㑂䝁䅷督瑂䙁䄰睑桂䡁䅁兡あ䝁䅅䅢時䙁䅍䅤祂䡁䅕睙あ䡁䅕杣求䙁䄸睕ㅂ䝁䄰兢桂䡁䅉入桁䍁䅑睑歁䑁䅅兎㙁䍁䅑睑歁䑁䅅睎硁䅁䅁䅂䅧䙁䅷䅁扂䙁䅍䅕䡂䙁䄸睑療䝁䄰䅣桂䝁䄴入時䕁䅳党㕂䙁䅍䅤桂䡁䅑督時䡁䅙免畁䡁䅧䅢穂䝁䄰兘䱂䝁䅕入時䙁䅍䅤桂䡁䅑督桁䍁䅑兒歁䑁䅙睍䅁乁䘸䅁畂䅁䅁睊扂䕁䄰兓時䕁䅍睢瑂䡁䅁兙畂䡁䅫睘䱂䝁䅕入呂䡁䅑兙あ䡁䅍睘㉂䑁䅅䅉潁䑁䅍克畁䡁䅧䅢穂䝁䄰兘䑂䝁䅅督潂䙁䄸杒獂䝁䄸睤湁䍁䅅䅊䙂䍁䅑䅎㙁䍁䅑䅕歁䑁䅑䅁呂䅂䅁䅏䅁䕁䅅䅚煂䡁䅕督あ䝁䄰党畂䡁䅑督癁䍁䅁䅖療䡁䅑兙獂䍁䅁䅒求䝁䅉䅤杁䍁䅧兊灁䅁䅁睁䅅䡁䅯䅁湁䙁䅳睕兂䕁䅣睘䑂䝁䄸兢睂䝁䅅杢㕂䙁䄸睓求䡁䅫睕あ䝁䅅䅤穂䙁䄸杤祁䍁䅁免畁䡁䅧䅢穂䝁䄰兘䩂䝁䄴睙療䝁䄰党時䙁䅍䅤桂䡁䅑党瑂䝁䅕杢あ䍁䅣光歁䕁䅕䅊㍁䑁䅯䅊兂䍁䅑睎䅁乁䝯䅁祂䅁䅁睊扂䕁䄰兓時䕁䅍睢瑂䡁䅁兙畂䡁䅫睘䱂䝁䅕入呂䡁䅑兙あ䡁䅍睘㉂䑁䅅䅉潁䑁䅍克畁䡁䅧䅢穂䝁䄰兘䩂䝁䄴睙療䝁䄰党時䙁䅍䅤桂䡁䅑党瑂䝁䅕杢あ䍁䅣光歁䕁䅍䅊ぁ䅁䅁杓䅑䡁䅙䅁扂䕁䄰兓時䕁䅳党㕂䙁䅍䅤桂䡁䅑督時䡁䅙免畁䡁䅧䅢穂䝁䄰兘䑂䝁䅅䅣灂䡁䅑兙獂䙁䄸睕あ䡁䅉兤橂䡁䅑兤祂䝁䅕睘呂䡁䅕兢瑂䝁䅅杣㕂䍁䅅䅊䙂䍁䅑杍㍁䑁䅯䅊䙂䍁䅑睎㉁䅁䅁內䅍䙁䅷䅁䵂䙁䅑䅉䕂䝁䅕杙あ䍁䅁䅋䩂䝁䄴睙獂䍁䄴䅉䑂䝁䅅䅣畁䍁䅁䅔求䝁䅅督求䡁䅍克杁䕁䅑兤求䍁䅁睋穁䍁䅁䅋卂䝁䅕䅣療䡁䅉䅤求䝁䅑克䅁䭁䉁䅁㉂䅁䅁睗乂䕁䅫睘䱂䝁䅕入呂䡁䅑兙あ䡁䅍睘㉂䑁䅅杌㑂䝁䅷督瑂䙁䄰睑桂䡁䅁兡あ䝁䅅䅢時䙁䅍䅤祂䡁䅕睙あ䡁䅕杣求䙁䄸睕ㅂ䝁䄰兢桂䡁䅉入桁䍁䅑䅒歁䑁䅉睎㙁䍁䅑䅒歁䑁䅣李䅁䭁䐴䅁䅃䅁䅁睊扂䕁䄰兓時䕁䅍睢瑂䡁䅁兙畂䡁䅫睘䱂䝁䅕入呂䡁䅑兙あ䡁䅍睘㉂䑁䅅䅉潁䑁䅍克畁䡁䅧䅢穂䝁䄰兘䩂䝁䄴睙療䝁䄰党時䙁䅍䅤桂䡁䅑党瑂䝁䅕杢あ䍁䅣光歁䕁䅍䅊㕁䑁䅯䅊䑂䍁䅑免㍁䑁䅍䅁䵂䅂䅁䅦䅁䍁䅣睗乂䕁䅫睘䑂䝁䄸兢睂䝁䅅杢㕂䙁䄸睓求䡁䅫睕あ䝁䅅䅤穂䙁䄸杤硁䍁䅁䅋穁䍁䅫杌㑂䝁䅷督瑂䙁䄰兓畂䝁䅍睢瑂䝁䅕睘呂䡁䅑兙あ䝁䅕兢求䝁䄴䅤湁䍁䅅䅊䙂䍁䅑兎㙁䍁䅑䅕歁䑁䅕䅁乂䅂䅁杧䅁䍁䅣睗呂䙁䅁睒時䕁䅍睢瑂䡁䅁兙畂䡁䅫睘䱂䝁䅕入呂䡁䅑兙あ䡁䅍睘㉂䑁䅉䅉硁䍁䄴䅥獂䡁䅍兢摂䕁䅍兙睂䝁䅫䅤桂䝁䅷睘呂䡁䅑杣ㅂ䝁䅍䅤ㅂ䡁䅉党時䙁䅍兤瑂䝁䄰兙祂䡁䅫睊桁䍁䅑睑歁䑁䅙䅁癄杂䅁䅌䅁䕁䅍兓剂䍁䅁睑桂䝁䅷睙ㅂ䝁䅷兙あ䝁䅫睢畂䍁䅁䅖㕂䡁䅁党杁䅁䅁兌䅍䡁䅑䅁湁䙁䅳睕兂䕁䅣睘䑂䝁䄸兢睂䝁䅅杢㕂䙁䄸睓求䡁䅫睕あ䝁䅅䅤穂䙁䄸杤硁䍁䅁䅋祁䍁䅫杌㑂䝁䅷督瑂䙁䄰睓求䡁䅫睘呂䡁䅑兙あ䡁䅍睊桁䍁䅑䅖歁䑁䅕䅏㙁䍁䅑䅖歁䑁䅙免䅁䍁䝍䅁佂䅁䅁兓剂䙁䄸睑䥂䕁䅅杔䡂䕁䅕睘噂䕁䄴杕䙂䕁䅍睔䡂䙁䄸䅖䉂䙁䅧睘䍂䕁䅕杔䙂䕁䅙兓啂䙁䄸免時䙁䅫杕時䕁䄰兓佂䅁䅁杆䅍䝁䅧䅁湁䙁䅳兔䩂䙁䄸睑療䝁䄰䅣桂䝁䄴入時䕁䅳党㕂䙁䅍䅤桂䡁䅑督時䡁䅙免杁䍁䅧睍灁䍁䄴䅥獂䡁䅍兢摂䕁䅳党㕂䙁䄸睕あ䝁䅅䅤穂䍁䅣光歁䕁䅉䅊硁䑁䅁杍䅁䕁䕙䅁浂䅁䅁睊扂䕁䄰兓時䕁䅍睢瑂䡁䅁兙畂䡁䅫睘䱂䝁䅕入呂䡁䅑兙あ䡁䅍睘㉂䑁䅅䅉潁䑁䅍克畁䡁䅧䅢穂䝁䄰兘䱂䝁䅕入時䙁䅍䅤桂䡁䅑督湁䍁䅅䅊䍂䍁䅑杍穁䅁䅁䅎䅑䝁䅉䅁湁䙁䅳兔䩂䙁䄸睑療䝁䄰䅣桂䝁䄴入時䕁䅳党㕂䙁䅍䅤桂䡁䅑督時䡁䅙免畁䡁䅧䅢穂䝁䄰兘兂䝁䅕杢穂䝁䅫睢畂䍁䄰睔兂䕁䅕村湁䍁䅅䅊䑂䍁䅑李䅁䵁䙷䅁浂䅁䅁睊扂䕁䄰兓時䕁䅍睢瑂䡁䅁兙畂䡁䅫睘䱂䝁䅕入呂䡁䅑兙あ䡁䅍睘㉂䑁䅅䅉潁䑁䅍克畁䡁䅧䅢穂䝁䄰兘䱂䝁䅕入時䙁䅍䅤桂䡁䅑督湁䍁䅅䅊䍂䍁䅑兎祁䅁䅁材䅑䙁䅉䅁䵂䝁䅕杤求䡁䅉党歂䍁䅁杒祂䝁䅕党杁䕁䅍兙穂䝁䅧䅉䝂䝁䅷睢㍂䍁䅷䅉硁䍁䅁兗祂䍁䄴䅉䡂䡁䅉睢㍂䡁䅑䅡杁䍁䅧兊灁䅁䅁杋䅉䝁䅁䅁扂䙁䅍䅕䡂䙁䄸睑療䝁䄰䅣桂䝁䄴入時䕁䅳党㕂䙁䅍䅤桂䡁䅑督時䡁䅙免畁䡁䅧䅢穂䝁䄰兘呂䡁䅕䅣睂䝁䅷党瑂䝁䅕杢あ䝁䅅䅢桁䍁䅑睑歁䑁䅙䅁䥁杂䅁杣䅁䍁䅣睗乂䕁䅫睘䑂䝁䄸兢睂䝁䅅杢㕂䙁䄸睓求䡁䅫睕あ䝁䅅䅤穂䙁䄸杤硁䍁䅁䅋穁䍁䅫杌㑂䝁䅷督瑂䙁䄰睓求䡁䅫睘呂䡁䅑兙あ䡁䅍睊桁䍁䅑兒歁䑁䅉睍㙁䍁䅑兓歁䑁䅉睍䅁䑁䕍䅁䭃䅁䅁睊扂䕁䅍睢睂䡁䅫䅉療䝁䅙䅉呂䙁䅁睒時䕁䅍睢瑂䡁䅁兙畂䡁䅫睘䱂䝁䅕入呂䡁䅑兙あ䡁䅍睘㉂䑁䅉睘畂䝁䅕睤畁䡁䅧䅢穂䝁䄰兘䑂䝁䅅䅣灂䡁䅑兙獂䝁䅫来桂䡁䅑兡療䝁䄴睊桁䍁䅑兒歁䑁䅑杏歁䕁䅯䅊ぁ䅁䅁睓䅣䡁䅉䅁湁䙁䅳兔䩂䙁䄸睑療䝁䄰䅣桂䝁䄴入時䕁䅳党㕂䙁䅍䅤桂䡁䅑督時䡁䅙免杁䍁䅧睍灁䍁䄴䅥獂䡁䅍兢摂䕁䅳党㕂䙁䄸睕あ䝁䅅䅤穂䍁䅣光歁䕁䅕䅊祁䑁䅉杏歁䕁䅫䅊祁䑁䅉䅁硁䅂䅁杗䅁䙁䅳睕兂䕁䅣睘䑂䝁䄸兢睂䝁䅅杢㕂䙁䄸睓求䡁䅫睕あ䝁䅅䅤穂䙁䄸杤祁䍁䄴䅥獂䡁䅍兢摂䕁䅳党㕂䙁䄸睕あ䝁䅅䅤穂䍁䅅䅊䝂䍁䅑兏䅁䡁䜸䅁䕃䅁䅁睊扂䕁䅍睢睂䡁䅫䅉療䝁䅙䅉呂䙁䅁睒時䕁䅍睢瑂䡁䅁兙畂䡁䅫睘䱂䝁䅕入呂䡁䅑兙あ䡁䅍睘㉂䑁䅉睘畂䝁䅕睤畁䡁䅧䅢穂䝁䄰兘䱂䝁䅕入時䙁䅍䅤桂䡁䅑督湁䍁䅅䅊呂䍁䅑兎㑁䑁䅯䅊呂䍁䅑李硁䅁䅁睍䅣䩁䅁䅁湁䙁䅳睕兂䕁䅣睘䑂䝁䄸兢睂䝁䅅杢㕂䙁䄸睓求䡁䅫睕あ䝁䅅䅤穂䙁䄸杤祁䍁䅁免畁䡁䅧䅢穂䝁䄰兘䑂䝁䅅䅣灂䡁䅑兙獂䙁䄸睕あ䡁䅉兤橂䡁䅑兤祂䝁䅕睘呂䡁䅕兢瑂䝁䅅杣㕂䍁䅣光歁䕁䅙䅊硁䑁䅁杏歁䙁䅁䅊硁䑁䅁䅁い杂䅁杇䅁䕁䅫兕時䙁䅑睔啂䕁䅅䅔時䙁䅉兒坂䅁䅁兂䅁䝁䅉䅁扂䕁䅳党㕂䙁䅍䅤桂䡁䅑督時䡁䅑党穂䡁䅑杚灂䝁䅷党畁䡁䅧䅢穂䝁䄰兘䑂䝁䅅䅣灂䡁䅑兙獂䝁䅫来桂䡁䅑兡療䝁䄴光歁䕁䅙䅊ぁ䑁䅯䅊剂䍁䅑䅎䅁䵁䅙䅁畂䅁䅁睊扂䕁䄰兓時䕁䅍睢瑂䡁䅁兙畂䡁䅫睘䱂䝁䅕入呂䡁䅑兙あ䡁䅍睘㉂䑁䅅睘畁䡁䅧䅢穂䝁䄰兘兂䝁䅕杢穂䝁䅫睢畂䍁䄰睔兂䕁䅕村湁䍁䅅䅊䕂䍁䅑䅎㙁䍁䅑兓歁䑁䅑䅁䍁兂䅁䅘䅁䙁䅳兔䩂䙁䄸睑療䝁䄰䅣桂䝁䄴入時䕁䅳党㕂䙁䅍䅤桂䡁䅑督時䡁䅙免畁䡁䅧䅢穂䝁䄰兘卂䝁䅅䅤灂䝁䄸督桁䍁䅑䅒歁䑁䅙杏歁䕁䅫䅊㉁䅁䅁典䅕䙁䅙䅁扂䙁䅍䅕䡂䙁䄸睑療䝁䄰䅣桂䝁䄴入時䕁䅳党㕂䙁䅍䅤桂䡁䅑督時䡁䅙杍畁䡁䅧䅢穂䝁䄰兘呂䝁䅧党求䡁䅑免桁䍁䅑村歁䑁䅣兎䅁䱁䝉䅁浂䅁䅁睊扂䕁䄰兓時䕁䅍睢瑂䡁䅁兙畂䡁䅫睘䱂䝁䅕入呂䡁䅑兙あ䡁䅍睘㉂䑁䅅䅉潁䑁䅍克畁䡁䅧䅢穂䝁䄰兘䱂䝁䅕入時䙁䅍䅤桂䡁䅑督湁䍁䅅䅊䍂䍁䅑兎㕁䅁䅁村䅑䝁䄴䅁湁䙁䅳兔䩂䙁䄸睑療䝁䄰䅣桂䝁䄴入時䕁䅳党㕂䙁䅍䅤桂䡁䅑督時䡁䅙免瑁䕁䅍睢睂䡁䅫杌㑂䝁䅷督瑂䙁䄰杕桂䡁䅑兡療䡁䅍睊桁䍁䅑睑歁䑁䅫杏歁䕁䅍䅊硁䑁䅕䅍䅁䥁䙯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䡂䍁䅑免祁䅁䅁䅥䅣䑁䅁䅁䩂䙁䅅睘噂䙁䅍睘䡂䕁䅅兑兂䙁䄸䅖偂䙁䅑兑䵂䙁䄸兒剂䙁䅕兓啂䙁䅫䅁䝄杁䅁杣䅁䍁䅣睗乂䕁䅫睘䑂䝁䄸兢睂䝁䅅杢㕂䙁䄸睓求䡁䅫睕あ䝁䅅䅤穂䙁䄸杤硁䍁䅁䅋穁䍁䅫杌㑂䝁䅷督瑂䙁䄰睓求䡁䅫睘呂䡁䅑兙あ䡁䅍睊桁䍁䅑兒歁䑁䅉杍㙁䍁䅑䅔歁䑁䅉杍䅁䑁䕯䅁浂䅁䅁睊扂䕁䄰兓時䕁䅍睢瑂䡁䅁兙畂䡁䅫睘䱂䝁䅕入呂䡁䅑兙あ䡁䅍睘㉂䑁䅅䅉潁䑁䅍克畁䡁䅧䅢穂䝁䄰兘䱂䝁䅕入時䙁䅍䅤桂䡁䅑督湁䍁䅅䅊䙂䍁䅑李睁䅁䅁兒䅑䕁䅯䅁扂䕁䅳党㕂䙁䅍䅤桂䡁䅑督時䡁䅑党穂䡁䅑杚灂䝁䅷党畁䡁䅧䅢穂䡁䅧兘呂䝁䅧党求䡁䅑免桁䍁䅑兒歁䑁䅉䅍䅁䍁䄴䅁䥃䅁䅁睊扂䙁䅍䅕䡂䙁䄸睑療䝁䄰䅣桂䝁䄴入時䕁䅳党㕂䙁䅍䅤桂䡁䅑督時䡁䅙杍杁䑁䅅杌㑂䝁䅷督瑂䙁䄰睑桂䡁䅁兡あ䝁䅅䅢時䙁䅍䅤祂䡁䅕睙あ䡁䅕杣求䙁䄸䅉䕂䝁䅕䅤桂䝁䅫䅢穂䍁䅁睊桁䍁䅑杒歁䑁䅣李䅁䍁䡅䅁䥃䅁䅁睊扂䙁䅍䅕䡂䙁䄸睑療䝁䄰䅣桂䝁䄴入時䕁䅳党㕂䙁䅍䅤桂䡁䅑督時䡁䅙杍杁䑁䅅杌㑂䝁䅷督瑂䙁䄰睑桂䡁䅁兡あ䝁䅅䅢時䙁䅍䅤祂䡁䅕睙あ䡁䅕杣求䙁䄸䅉䕂䝁䅕䅤桂䝁䅫䅢穂䍁䅁睊桁䍁䅑睒歁䑁䅑䅎䅁䉁䡫䅁祂䅁䅁睊扂䕁䄰兓時䕁䅍睢瑂䡁䅁兙畂䡁䅫睘䱂䝁䅕入呂䡁䅑兙あ䡁䅍睘㉂䑁䅅䅉潁䑁䅍克畁䡁䅧䅢穂䝁䄰兘䱂䝁䅕入時䙁䅍䅤桂䡁䅑督湁䍁䅅䅊䑂䍁䅑兎ぁ䑁䅯䅊䑂䍁䅑兎ㅁ䅁䅁䅑䅑䡁䅉䅁偂䡁䅁䅤灂䝁䄸杢穂䍁䅁睔ㅂ䡁䅑杌杁䝁䅅䅤杁䡁䅑䅡求䍁䅁兒畂䝁䅑䅉療䝁䅙䅉兂䝁䅕杣灂䝁䄸䅚獁䍁䅁睑療䝁䄰兢療䝁䄴䅉呂䡁䅑睢橂䝁䅳䅉潁䝁䅅睙あ䡁䅕兙獂䍁䅫䅁㝁睁䅁杭䅁䕁䄸䅣あ䝁䅫睢畂䡁䅍杏杁䕁䅍兤祂䡁䅉児噂䙁䅍䅒獁䍁䅁兔桂䝁䅣児啂䝁䅧睢ㅂ䡁䅍兙畂䝁䅑督獁䕁䅍睢畂䡁䅙兔求䡁䅑䅡療䝁䅑児乂䕁䅫杣求䝁䅍睢瑂䝁䄰党畂䝁䅑党歂䍁䅷䅉佂䕁䅅児佂䕁䅅䅌杁䙁䅑党祂䝁䄰児求䝁䄴兌噂䙁䅍䅁权䅂䅁䅕䅁䕁䅫兕時䕁䄰兑奂䙁䄸兗卂䙁䄸杒偂䙁䅉睘啂䕁䅅䅗時䕁䅉兒佂䕁䅕杒䩂䙁䅑睘䑂䕁䅅杕卂䙁䅫睘䝂䕁䄸杕塂䕁䅅杕䕂䅁䅁䅁䅍䡁䅉䅁湁䙁䅳兔䩂䙁䄸睑療䝁䄰䅣桂䝁䄴入時䕁䅳党㕂䙁䅍䅤桂䡁䅑督時䡁䅙免杁䍁䅧睍灁䍁䄴䅥獂䡁䅍兢摂䕁䅳党㕂䙁䄸睕あ䝁䅅䅤穂䍁䅣光歁䕁䅍䅊㉁䑁䅅杏歁䕁䅍䅊㉁䑁䅣䅁䕂䅂䅁杌䅁䕁䅫兕時䕁䄴䅕兂䕁䅕睘硁䙁䅫杕時䕁䅅杔佂䙁䄸睒卂䕁䄸睖啂䕁䅧䅁婁杁䅁杓䅁䕁䅙兙灂䡁䅉䅉坂䝁䅅䅢ㅂ䝁䅕䅉療䝁䅙䅉䵂䝁䅫兙楂䝁䅫䅢灂䡁䅑兡求䡁䅍䅉潁䙁䅉党睂䝁䄸杣あ䝁䅕䅚灁䅁䅁睊䅍䥁䅉䅁扂䕁䄰兓時䕁䅍睢瑂䡁䅁兙畂䡁䅫睘䱂䝁䅕入呂䡁䅑兙あ䡁䅍睘㉂䑁䅅杌㑂䝁䅷督瑂䙁䄰睑桂䡁䅁兡あ䝁䅅䅢時䙁䅍䅤祂䡁䅕睙あ䡁䅕杣求䙁䄸睕ㅂ䝁䄰兢桂䡁䅉入桁䍁䅑杒歁䑁䅧杏歁䙁䅁䅊㑁䅁䅁光䅑䡁䅁䅁湁䙁䅳睕兂䕁䅣睘䑂䝁䄸兢睂䝁䅅杢㕂䙁䄸睓求䡁䅫睕あ䝁䅅䅤穂䙁䄸杤硁䍁䅁䅋祁䍁䅫杌㑂䝁䅷督瑂䙁䄰睑桂䡁䅍䅡時䕁䅙䅢療䡁䅣睊桁䍁䅑兒歁䑁䅙杏歁䙁䅁䅊㉁䅁䅁兌䅙䙁䅙䅁扂䙁䅍䅕䡂䙁䄸睑療䝁䄰䅣桂䝁䄴入時䕁䅳党㕂䙁䅍䅤桂䡁䅑督時䡁䅙杍畁䡁䅧䅢穂䝁䄰兘呂䝁䅧党求䡁䅑免桁䍁䅑睒歁䑁䅣兎䅁䱁䝫䅁祂䅁䅁睊扂䕁䄰兓時䕁䅍睢瑂䡁䅁兙畂䡁䅫睘䱂䝁䅕入呂䡁䅑兙あ䡁䅍睘㉂䑁䅅䅉潁䑁䅍克畁䡁䅧䅢穂䝁䄰兘䱂䝁䅕入時䙁䅍䅤桂䡁䅑督湁䍁䅅䅊䕂䍁䅑兎ぁ䑁䅯䅊䕂䍁䅑兎ㅁ䅁䅁兑䅑䡁䅉䅁湁䙁䅳兔䩂䙁䄸睑療䝁䄰䅣桂䝁䄴入時䕁䅳党㕂䙁䅍䅤桂䡁䅑督時䡁䅙免杁䍁䅧睍灁䍁䄴䅥獂䡁䅍兢摂䕁䅳党㕂䙁䄸睕あ䝁䅅䅤穂䍁䅣光歁䕁䅕䅊祁䑁䅍杏歁䕁䅷䅊祁䑁䅍䅁㝁䅂䅁杣䅁䍁䅣睗乂䕁䅫睘䑂䝁䄸兢睂䝁䅅杢㕂䙁䄸睓求䡁䅫睕あ䝁䅅䅤穂䙁䄸杤硁䍁䄰睑療䡁䅁入畁䡁䅧䅢穂䝁䄰兘䑂䝁䅅䅣灂䡁䅑兙獂䝁䅫来桂䡁䅑兡療䝁䄴睊桁䍁䅑睑歁䑁䅕䅍䅁䑁䙉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䍂䍁䅑睎㉁䅁䅁䅨䅣䝁䅙䅁湁䙁䅳兔䩂䙁䄸睑療䝁䄰䅣桂䝁䄴入時䕁䅳党㕂䙁䅍䅤桂䡁䅑督時䡁䅙免杁䍁䅧睍灁䍁䄴䅥獂䡁䅍兢摂䕁䅳党㕂䙁䄸睕あ䝁䅅䅤穂䍁䅣光歁䕁䅕䅊ㅁ䑁䅫䅁䑂䅂䅁杣䅁䍁䅣睗乂䕁䅫睘䑂䝁䄸兢睂䝁䅅杢㕂䙁䄸睓求䡁䅫睕あ䝁䅅䅤穂䙁䄸杤硁䍁䅁䅋穁䍁䅫杌㑂䝁䅷督瑂䙁䄰睓求䡁䅫睘呂䡁䅑兙あ䡁䅍睊桁䍁䅑杓歁䑁䅉杍㙁䍁䅑䅔歁䑁䅉杍䅁䑁䕕䅁潁䅁䅁兓剂䙁䄸杗䙂䙁䅉睔時䕁䅍睔噂䙁䅁睔佂䙁䄸䅒䙂䕁䅉䅖䅁䕁䉷䅁捂䅁䅁睗䱂䝁䅕入呂䡁䅑兙あ䡁䅍睘あ䝁䅕督あ䝁䅙兡獂䝁䅕杌㑂䝁䅷督瑂䙁䄰睓求䡁䅫睘呂䡁䅑兙あ䡁䅍光歁䕁䅍䅊ㅁ䑁䅕杏歁䕁䅍䅊ㅁ䑁䅙䅁楃䅁䅁䅨䅁䍁䅣睗䑂䝁䄸䅣㕂䍁䅁睢浂䍁䅁睕兂䕁䅣睘䑂䝁䄸兢睂䝁䅅杢㕂䙁䄸睓求䡁䅫睕あ䝁䅅䅤穂䙁䄸杤硁䙁䄸杒灂䝁䄴兙獂䍁䄴䅥獂䡁䅍兢摂䙁䅉兙あ䝁䅫睢穂䍁䅣光歁䕁䅍䅊硁䑁䅅杏歁䕁䅍䅊硁䑁䅕睎䅁䝁䤸䅁㑁䅁䅁兓剂䙁䄸兑䑂䕁䅍䅖時䙁䅉兒䑂䙁䅙睘硁䙁䅫杕時䕁䅅杔佂䙁䄸睒卂䕁䄸睖啂䕁䅧䅁晁杁䅁杆䅁䑁䅁睍癁䑁䅉兏癁䑁䅉䅍硁䑁䅫䅁時䅁䅁杣䅁䍁䅣睗乂䕁䅫睘䑂䝁䄸兢睂䝁䅅杢㕂䙁䄸睓求䡁䅫睕あ䝁䅅䅤穂䙁䄸杤硁䍁䅁䅋穁䍁䅫杌㑂䝁䅷督瑂䙁䄰睓求䡁䅫睘呂䡁䅑兙あ䡁䅍睊桁䍁䅑杓歁䑁䅉杍㙁䍁䅑睔歁䑁䅉杍䅁䑁䕧䅁敂䅁䅁睊扂䕁䄰兓時䕁䅍睢瑂䡁䅁兙畂䡁䅫睘䱂䝁䅕入呂䡁䅑兙あ䡁䅍睘㉂䑁䅅䅉潁䑁䅍克畁䡁䅧䅢穂䝁䄰兘卂䝁䅅䅤灂䝁䄸督湁䍁䅅䅊䑂䍁䅑䅎䅁䝁䕯䅁楂䅁䅁睗䱂䝁䅕入呂䡁䅑兙あ䡁䅍睘あ䝁䅕督あ䝁䅙兡獂䝁䅕杌㑂䝁䅷督瑂䙁䄰睑桂䡁䅁兡あ䝁䅅䅢灂䡁䅯兙あ䝁䅫睢畂䍁䅅䅊䝂䍁䅑䅎㙁䍁䅑睓歁䑁䅑䅁偄䅁䅁䅐䅁䕁䅍睢瑂䝁䄰睢畂䍁䅁兒硂䡁䅕兡あ䡁䅫䅌杁䑁䅍䅉婂䡁䅉杌杁䕁䅍兑䡂䙁䅉䅉潁䍁䅕克䅁䡁䌴䅁㑂䅁䅁睊扂䕁䄰兓時䕁䅍睢瑂䡁䅁兙畂䡁䅫睘䱂䝁䅕入呂䡁䅑兙あ䡁䅍睘㉂䑁䅅兌䑂䝁䄸䅣㕂䍁䄴䅥獂䡁䅍兢摂䕁䅳党㕂䙁䄸睕あ䝁䅅䅤穂䍁䅣光歁䕁䅍䅊硁䑁䅅䅍㙁䍁䅑睑歁䑁䅅免ぁ䅁䅁杊䅕䥁䅁䅁湁䙁䅳睑療䡁䅁入杁䝁䄸杚杁䙁䅍䅕䡂䙁䄸睑療䝁䄰䅣桂䝁䄴入時䕁䅳党㕂䙁䅍䅤桂䡁䅑督時䡁䅙免時䕁䅙兡畂䝁䅅䅢畁䡁䅧䅢穂䝁䄰兘兂䝁䅕杢穂䝁䅫睢畂䍁䄰睔兂䕁䅕村湁䍁䅅䅊䑂䍁䅑李䅁䩁䥣䅁獁䅁䅁兓剂䙁䄸䅖䉂䙁䅧睘䍂䕁䅕杔䙂䕁䅙兓啂䙁䄸睑䝂䙁䄸兎婂䙁䅉䅁㡄杁䅁杓䅁䙁䅳兔䩂䙁䄸睓求䡁䅫睕あ䝁䅅䅤穂䙁䄸杤硁䍁䄴䅥獂䡁䅍兢摂䕁䅳党㕂䙁䄸睕あ䝁䅅䅤穂䍁䅅䅊䍂䍁䅑兎㕁䅁䅁兣䅍䡁䅉䅁湁䙁䅳兔䩂䙁䄸睑療䝁䄰䅣桂䝁䄴入時䕁䅳党㕂䙁䅍䅤桂䡁䅑督時䡁䅙免杁䍁䅧睍灁䍁䄴䅥獂䡁䅍兢摂䕁䅳党㕂䙁䄸睕あ䝁䅅䅤穂䍁䅣光歁䕁䅯䅊祁䑁䅍杏歁䕁䅷䅊祁䑁䅍䅁㍁䅂䅁䅙䅁䍁䅣睗呂䙁䅁睒時䕁䅍睢瑂䡁䅁兙畂䡁䅫睘䱂䝁䅕入呂䡁䅑兙あ䡁䅍睘㉂䑁䅅䅉潁䑁䅉克畁䡁䅧䅢穂䝁䄰兘卂䝁䅅䅤灂䝁䄸督湁䍁䅅䅊䑂䍁䅑李䅁䕁䝑䅁祂䅁䅁睊扂䕁䄰兓時䕁䅍睢瑂䡁䅁兙畂䡁䅫睘䱂䝁䅕入呂䡁䅑兙あ䡁䅍睘㉂䑁䅅䅉潁䑁䅍克畁䡁䅧䅢穂䝁䄰兘䱂䝁䅕入時䙁䅍䅤桂䡁䅑督湁䍁䅅䅊䭂䍁䅑杍穁䑁䅯䅊偂䍁䅑杍穁䅁䅁兏䅑䡁䅉䅁湁䙁䅳兔䩂䙁䄸睑療䝁䄰䅣桂䝁䄴入時䕁䅳党㕂䙁䅍䅤桂䡁䅑督時䡁䅙免杁䍁䅧睍灁䍁䄴䅥獂䡁䅍兢摂䕁䅳党㕂䙁䄸睕あ䝁䅅䅤穂䍁䅣光歁䕁䄰䅊祁䑁䅉杏歁䕁䄸䅊祁䑁䅉䅁㡁䅂䅁杄䅁䕁䅫村乂䍁䄰兖呂䅁䅁䅭䅕䕁䅙䅁坂䝁䅅杣灂䝁䅅杙獂䝁䅕䅉卂䝁䅅䅤求䍁䅁䅒求䝁䅉䅤癁䍁䅁䅖療䡁䅑兙獂䍁䅁䅒求䝁䅉䅤杁䍁䅧兊灁䅁䅁睡䅅䡁䅉䅁湁䙁䅳兔䩂䙁䄸睑療䝁䄰䅣桂䝁䄴入時䕁䅳党㕂䙁䅍䅤桂䡁䅑督時䡁䅙免杁䍁䅧睍灁䍁䄴䅥獂䡁䅍兢摂䕁䅳党㕂䙁䄸睕あ䝁䅅䅤穂䍁䅣光歁䕁䄰䅊祁䑁䅍杏歁䕁䄸䅊祁䑁䅍䅁㥁䅂䅁杍䅁䕁䅫兕時䙁䅑睔啂䕁䅅䅔時䙁䅍兖䍂䙁䄸䅒䙂䕁䅉䅖時䕁䅕村䩂䙁䅑䅒䉂䅁䅁兪䅅䙁䄴䅁扂䕁䄰兓時䕁䅳党㕂䙁䅍䅤桂䡁䅑督時䡁䅙免畁䡁䅧䅢穂䝁䄰兘䑂䝁䅅䅣灂䡁䅑兙獂䝁䅫来桂䡁䅑兡療䝁䄴光歁䕁䅍䅊㕁䑁䅯䅊䑂䍁䅑杍ㅁ䅁䅁睮䅍䅁䄴䅁祁䑁䅣免ぁ䑁䅙䅏䅁䉁䄴䅁慂䅁䅁睗乂䕁䅫睘䑂䝁䄸兢睂䝁䅅杢㕂䙁䄸睓求䡁䅫睕あ䝁䅅䅤穂䙁䄸杤硁䍁䄴䅥獂䡁䅍兢摂䕁䅳党㕂䙁䄸睕あ䝁䅅䅤穂䍁䅅䅊䙂䍁䅑兎㕁䅁䅁允䅑䑁䅯䅁偂䡁䅁䅤灂䝁䄸杢穂䑁䅯睕あ䝁䅅䅤灂䡁䅍䅤灂䝁䅍児䥂䕁䅫睒䥂䍁䅷杔䉂䑁䄰杔䉂䅁䅁朰䅣䑁䅉䅁䩂䙁䅅睘䥂䕁䅕䅒䡂䕁䅫杔䡂䙁䄸兑佂䕁䅑睘䕂䕁䅕杕䩂䙁䅙睘䉂䕁䅑杓䅁䕁䈴䅁煂䅁䅁睊扂䕁䄰兓時䕁䅍睢瑂䡁䅁兙畂䡁䅫睘䱂䝁䅕入呂䡁䅑兙あ䡁䅍睘㉂䑁䅅䅉潁䑁䅍克畁䡁䅧䅢穂䝁䄰兘兂䝁䅕杢穂䝁䅫睢畂䍁䄰睔兂䕁䅕村湁䍁䅅䅊䑂䍁䅑䅎䅁䡁䕉䅁㑂䅁䅁睊扂䕁䄰兓時䕁䅍睢瑂䡁䅁兙畂䡁䅫睘䱂䝁䅕入呂䡁䅑兙あ䡁䅍睘㉂䑁䅅䅉潁䑁䅍克畁䡁䅧䅢穂䝁䄰兘兂䝁䅕杢穂䝁䅫睢畂䍁䄰睔兂䕁䅕村湁䍁䅅䅊䑂䍁䅑兏㙁䍁䅑睑歁䑁䅕李㑁䅁䅁䅤䅑䡁䄴䅁湁䙁䅳兔䩂䙁䄸睑療䝁䄰䅣桂䝁䄴入時䕁䅳党㕂䙁䅍䅤桂䡁䅑督時䡁䅙免杁䍁䄰䅢桂䡁䅑党穂䡁䅑杌㑂䝁䅷督瑂䙁䄰睓求䡁䅫睘呂䡁䅑兙あ䡁䅍睊桁䍁䅑兒歁䑁䅅䅍ㅁ䑁䅯䅊䡂䍁䅑免睁䑁䅕䅁晁兂䅁条䅁䙁䅳兔䩂䙁䄸睑療䝁䄰䅣桂䝁䄴入時䕁䅳党㕂䙁䅍䅤桂䡁䅑督時䡁䅙免畁䡁䅧䅢穂䝁䄰兘䱂䝁䅕入時䙁䅍䅤桂䡁䅑督桁䍁䅑睑歁䑁䅅䅍㕁䑁䅯䅊䑂䍁䅑免硁䑁䅑䅁㍂兂䅁䅅䅁䕁䅙兕ぁ䑁䅉䅍祁䑁䅕䅁瑃䅃䅁杉䅁䕁䅫兕時䕁䅕䅗兂䕁䅷睔卂䕁䅕睘䕂䙁䅉兓䵂䕁䅷䅁潃䅁䅁杦䅁䍁䅣睗乂䕁䅫睘䑂䝁䄸兢睂䝁䅅杢㕂䙁䄸睓求䡁䅫睕あ䝁䅅䅤穂䙁䄸杤硁䍁䄰䅉偂䡁䅉兡湂䝁䅫杢桂䝁䅷杌㑂䝁䅷督瑂䙁䄰睓求䡁䅫睘呂䡁䅑兙あ䡁䅍睊桁䍁䅑兒歁䑁䅉杍㙁䍁䅑杓歁䑁䅉杍䅁䝁䙅䅁あ䅁䅁睊扂䕁䄰兓時䕁䅍睢瑂䡁䅁兙畂䡁䅫睘䱂䝁䅕入呂䡁䅑兙あ䡁䅍睘㉂䑁䅅䅉潁䑁䅍克畁䡁䅧䅢穂䝁䄰兘兂䝁䅕杢穂䝁䅫睢畂䍁䄰睔兂䕁䅕村湁䍁䅅䅊䕂䍁䅑䅎㙁䍁䅑兓歁䑁䅑䅁穂䅂䅁䅌䅁䕁䄴党あ䍁䅁兓畂䝁䅍睢瑂䝁䅕䅉乂䝁䅅杣湂䝁䅫杢杁䍁䅧兊灁䅁䅁䅄䅉䝁䅑䅁扂䙁䅍䅕䡂䙁䄸睑療䝁䄰䅣桂䝁䄴入時䕁䅳党㕂䙁䅍䅤桂䡁䅑督時䡁䅙杍畁䡁䅧䅢穂䝁䄰兘卂䝁䅅䅤灂䝁䄸督桁䍁䅑睑歁䑁䅅免㙁䍁䅑睑歁䑁䅅兎㍁䅁䅁䅄䅧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䅧䅊㍁䑁䅙䅁䭃睂䅁䅤䅁䍁䅣睗乂䕁䅫睘䑂䝁䄸兢睂䝁䅅杢㕂䙁䄸睓求䡁䅫睕あ䝁䅅䅤穂䙁䄸杤硁䍁䅁䅋穁䍁䅫杌㑂䝁䅷督瑂䙁䄰䅕求䝁䄴督灂䝁䄸杢瑁䕁䄸䅕䙂䕁䅉睊桁䍁䅑䅒歁䑁䅕杏歁䕁䅫䅊ㅁ䅁䅁兤䅑䡁䅧䅁湁䙁䅳兔䩂䙁䄸睑療䝁䄰䅣桂䝁䄴入時䕁䅳党㕂䙁䅍䅤桂䡁䅑督時䡁䅙免瑁䕁䅍睢睂䡁䅫杌㑂䝁䅷督瑂䙁䄰睓求䡁䅫睘呂䡁䅑兙あ䡁䅍睊桁䍁䅑睑歁䑁䅅䅍㕁䑁䅯䅊䑂䍁䅑免硁䑁䅑䅁乂兂䅁䅈䅁䙁䅍䅕瑁䙁䅍䅓䉂䙁䅉兒呂䙁䄸睔噂䙁䅑䅁㍃睂䅁杈䅁䕁䅫兕時䕁䄸䅔時䕁䅍睔乂䕁䄰睘䑂䙁䅫睍䅁䱁䈰䅁㡁䅁䅁兑㉂䝁䅕杣桂䝁䅣党杁䕁䅫杢あ䝁䅕杣求䡁䅍䅤杁䙁䅉兙あ䝁䅕䅉牁䍁䅁免杁䍁䅧兊灁䅁䅁朶䅅䡁䅉䅁扂䕁䄰兓時䕁䅳党㕂䙁䅍䅤桂䡁䅑督時䡁䅙免畁䡁䅧䅢穂䝁䄰兘䑂䝁䅅䅣灂䡁䅑兙獂䙁䄸睕あ䡁䅉兤橂䡁䅑兤祂䝁䅕睘呂䡁䅕兢瑂䝁䅅杣㕂䍁䅅䅊䝂䍁䅑兏㙁䍁䅑䅕歁䑁䅫䅁癄睁䅁䅢䅁䍁䅣睗乂䕁䅫睘䑂䝁䄸兢睂䝁䅅杢㕂䙁䄸睓求䡁䅫睕あ䝁䅅䅤穂䙁䄸杤硁䍁䅁䅋穁䍁䅫杌㑂䝁䅷督瑂䙁䄰杕桂䡁䅑兡療䡁䅍睊桁䍁䅑睑歁䑁䅫杏歁䕁䅍䅊硁䑁䅕䅍䅁䝁䕷䅁潂䅁䅁睊扂䕁䄰兓時䕁䅍睢瑂䡁䅁兙畂䡁䅫睘䱂䝁䅕入呂䡁䅑兙あ䡁䅍睘㉂䑁䅅䅉潁䑁䅍克畁䡁䅧䅢穂䝁䄰兘卂䝁䅅䅤灂䝁䄸督湁䍁䅅䅊䕂䍁䅑䅎㙁䍁䅑兓歁䑁䅑䅁牂䅂䅁䅑䅁䕁䅫兕時䕁䄰兑奂䙁䄸兗卂䙁䄸杒偂䙁䅉睘佂䕁䄸䅔時䕁䅍兑卂䙁䅉兗時䕁䅙睔卂䙁䅣兑卂䕁䅑䅁潄杁䅁䅩䅁䙁䅳睕兂䕁䅣睘䑂䝁䄸兢睂䝁䅅杢㕂䙁䄸睓求䡁䅫睕あ䝁䅅䅤穂䙁䄸杤硁䍁䄴䅥獂䡁䅍兢摂䕁䅍兙睂䝁䅫䅤桂䝁䅷睘呂䡁䅑杣ㅂ䝁䅍䅤ㅂ䡁䅉党時䙁䅍兤瑂䝁䄰兙祂䡁䅫光歁䕁䅙䅊硁䑁䅅杏歁䙁䅁䅊硁䑁䅅䅁䑁杂䅁䅦䅁䍁䅣睗乂䕁䅫睘䑂䝁䄸兢睂䝁䅅杢㕂䙁䄸睓求䡁䅫睕あ䝁䅅䅤穂䙁䄸杤硁䍁䄰䅉偂䡁䅉兡湂䝁䅫杢桂䝁䅷杌㑂䝁䅷督瑂䙁䄰睑桂䡁䅁兡あ䝁䅅䅢灂䡁䅯兙あ䝁䅫睢畂䍁䅣光歁䕁䅍䅊ぁ䑁䅧䅁㡁兂䅁杂䅁䑁䅅䅍䅁䱁䜴䅁睁䅁䅁兓剂䙁䄸䅖偂䙁䅑兑䵂䙁䄸睔兂䙁䅑兓偂䕁䄴睕時䕁䅕杔䕂䙁䄸睔呂䅁䅁䅓䅍䩁䅁䅁湁䙁䅳睑療䡁䅁入杁䝁䄸杚杁䙁䅍䅕䡂䙁䄸睑療䝁䄰䅣桂䝁䄴入時䕁䅳党㕂䙁䅍䅤桂䡁䅑督時䡁䅙免時䕁䅙兡畂䝁䅅䅢畁䡁䅧䅢穂䝁䄰兘兂䝁䅕杢穂䝁䅫睢畂䍁䄰睔兂䕁䅕村湁䍁䅅䅊䑂䍁䅑免祁䑁䅯䅊䑂䍁䅑兎㍁䑁䅙䅁灃䅃䅁䅡䅁䍁䅣睗乂䕁䅫睘䑂䝁䄸兢睂䝁䅅杢㕂䙁䄸睓求䡁䅫睕あ䝁䅅䅤穂䙁䄸杤硁䍁䅁䅋穁䍁䅫杌㑂䝁䅷督瑂䙁䄰杕桂䡁䅑兡療䡁䅍睊桁䍁䅑䅒歁䑁䅕杏歁䕁䅫䅊ㅁ䅁䅁兢䅑䑁䅁䅁䩂䙁䅅睘䕂䕁䅍睕時䕁䅉睔佂䕁䅑睘䑂䕁䄸兖兂䕁䄸杔時䙁䅑兗兂䕁䅕䅁啃杂䅁䅩䅁䍁䅣睗乂䕁䅫睘䑂䝁䄸兢睂䝁䅅杢㕂䙁䄸睓求䡁䅫睕あ䝁䅅䅤穂䙁䄸杤硁䍁䄰䅉偂䡁䅉兡湂䝁䅫杢桂䝁䅷杌㑂䝁䅷督瑂䙁䄰睑桂䡁䅁兡あ䝁䅅䅢灂䡁䅯兙あ䝁䅫睢畂䍁䅣光歁䕁䅕䅊ㅁ䑁䅉杏歁䕁䅯䅊ㅁ䑁䅉䅁䑂兂䅁条䅁䍁䅣睗乂䕁䅫睘䑂䝁䄸兢睂䝁䅅杢㕂䙁䄸睓求䡁䅫睕あ䝁䅅䅤穂䙁䄸杤硁䍁䅁䅋穁䍁䅫杌㑂䝁䅷督瑂䙁䄰睕ㅂ䡁䅁䅣獂䝁䅕兢求䝁䄴䅤桂䝁䅷睊桁䍁䅑睑歁䑁䅑䅁畂䅂䅁䅥䅁䍁䅣睗乂䕁䅫睘䑂䝁䄸兢睂䝁䅅杢㕂䙁䄸睓求䡁䅫睕あ䝁䅅䅤穂䙁䄸杤硁䍁䅁䅋穁䍁䅫杌㑂䝁䅷督瑂䙁䄰睕ㅂ䡁䅁䅣獂䝁䅕兢求䝁䄴䅤桂䝁䅷睊桁䍁䅑睑歁䑁䅫杏歁䕁䅍䅊硁䑁䅙䅎䅁䡁䕁䅁獁䅁䅁兓剂䙁䄸睖䉂䙁䅉杕䉂䕁䄴䅖呂䙁䄸兒奂䕁䅕杕䑂䕁䅫睕䙂䕁䅑䅁佂睁䅁䅈䅁䕁䅫兕時䕁䄸䅖䥂䕁䅕杕時䕁䄸䅕䙂䙁䅉䅁㉃䅁䅁杋䅁䕁䅫兕時䕁䅷䅖䕂䙁䄸䅒噂䕁䅕睘佂䕁䅕䅗啂䙁䄸杒䩂䙁䅙兒䅁䭁䉣䅁あ䅁䅁睊扂䕁䄰兓時䕁䅍睢瑂䡁䅁兙畂䡁䅫睘䱂䝁䅕入呂䡁䅑兙あ䡁䅍睘㉂䑁䅅䅉潁䑁䅍克畁䡁䅧䅢穂䝁䄰兘呂䡁䅕䅣睂䝁䅷党瑂䝁䅕杢あ䝁䅅䅢湁䍁䅅䅊䕂䍁䅑䅎㙁䍁䅑兓歁䑁䅑䅁療䅂䅁䅡䅁䙁䅉党歂䡁䅕睙あ䝁䅫睢畂䡁䅍䅉浂䝁䄸杣杁䙁䅑兙㑂䍁䅁䅕療䡁䅍兡あ䝁䅫睢畂䡁䅍䅉瑁䍁䅁䅕祂䝁䅫睢祂䍁䅁兗祂䡁䅍䅉潁䙁䅉党睂䝁䄸杣あ䝁䅕䅚灁䅁䅁眱䅉䕁䅯䅁扂䕁䅳党㕂䙁䅍䅤桂䡁䅑督時䡁䅑党穂䡁䅑杚灂䝁䅷党畁䡁䅧䅢穂䡁䅧兘呂䝁䅧党求䡁䅑免桁䍁䅑村歁䑁䅉杍䅁䕁䄰䅁⭂䅁䅁睊扂䕁䄰兓時䕁䅍睢瑂䡁䅁兙畂䡁䅫睘䱂䝁䅕入呂䡁䅑兙あ䡁䅍睘㉂䑁䅅兌杁䕁䄸杣灂䝁䅣兡畂䝁䅅䅢畁䡁䅧䅢穂䝁䄰兘䱂䝁䅕入時䙁䅍䅤桂䡁䅑督湁䍁䅅䅊乂䍁䅑杍穁䑁䅯䅊偂䍁䅑杍穁䅁䅁睘䅕䡁䅑䅁湁䙁䅳兔䩂䙁䄸睑療䝁䄰䅣桂䝁䄴入時䕁䅳党㕂䙁䅍䅤桂䡁䅑督時䡁䅙免杁䍁䅧睍灁䍁䄴䅥獂䡁䅍兢摂䙁䅍兤睂䡁䅁䅢求䝁䄰党畂䡁䅑兙獂䍁䅣光歁䕁䅑䅊ㅁ䑁䅯䅊䩂䍁䅑兎䅁䡁䕅䅁あ䅁䅁睊扂䙁䅍䅕䡂䙁䄸睑療䝁䄰䅣桂䝁䄴入時䕁䅳党㕂䙁䅍䅤桂䡁䅑督時䡁䅙杍杁䑁䅅杌㑂䝁䅷督瑂䙁䄰睓求䡁䅫睘呂䡁䅑兙あ䡁䅍睊桁䍁䅑䅒歁䑁䅅䅍㕁䑁䅯䅊䕂䍁䅑免硁䑁䅙䅁䉄杂䅁䅣䅁䍁䅣睗乂䕁䅫睘䑂䝁䄸兢睂䝁䅅杢㕂䙁䄸睓求䡁䅫睕あ䝁䅅䅤穂䙁䄸杤硁䍁䅁兌獂䝁䅅䅤求䡁䅍䅤畁䡁䅧䅢穂䝁䄰兘䱂䝁䅕入時䙁䅍䅤桂䡁䅑督湁䍁䅅䅊䍂䍁䅑免睁䑁䅍䅁捁兂䅁杙䅁䕁䄴党あ䍁䅁䅕祂䝁䄸䅣求䡁䅉䅤㕂䍁䅷䅉兂䝁䅷兙畂䡁䅑䅉桂䝁䄴䅚杁䕁䅕兣ㅂ䝁䅫䅣畁䍁䅷䅉硁䍁䅁兗祂䍁䄴䅉䡂䡁䅉睢㍂䡁䅑䅡杁䍁䅧兊灁䅁䅁杇䅉䙁䅙䅁扂䕁䄰兓時䕁䅳党㕂䙁䅍䅤桂䡁䅑督時䡁䅙免畁䡁䅧䅢穂䝁䄰兘䱂䝁䅕入時䙁䅍䅤桂䡁䅑督桁䍁䅑杓歁䑁䅉杍㙁䍁䅑䅔歁䑁䅉杍䅁䝁䐴䅁畂䅁䅁睊扂䕁䄰兓時䕁䅍睢瑂䡁䅁兙畂䡁䅫睘䱂䝁䅕入呂䡁䅑兙あ䡁䅍睘㉂䑁䅅䅉瑁䝁䅷兙あ䝁䅕督あ䍁䄴䅥獂䡁䅍兢摂䕁䅳党㕂䙁䄸睕あ䝁䅅䅤穂䍁䅣光歁䕁䅉䅊祁䑁䅉䅁䥁兂䅁杗䅁䕁䄸䅣求䡁䅉兙あ䝁䅫杢湂䍁䅁䅔求䝁䅅督求䍁䅁睑療䝁䄰兢灂䡁䅑兢求䝁䄴䅤杁䕁䅑兤求䍁䅁睋穁䍁䅁䅋卂䝁䅕䅣療䡁䅉䅤求䝁䅑克䅁䱁䉷䅁慂䅁䅁睗乂䕁䅫睘䑂䝁䄸兢睂䝁䅅杢㕂䙁䄸睓求䡁䅫睕あ䝁䅅䅤穂䙁䄸杤硁䍁䄴䅥獂䡁䅍兢摂䕁䅳党㕂䙁䄸睕あ䝁䅅䅤穂䍁䅅䅊䍂䍁䅑李硁䅁䅁䅫䅑䡁䅷䅁湁䙁䅳睑療䡁䅁入杁䝁䄸杚杁䙁䅍䅕䡂䙁䄸睑療䝁䄰䅣桂䝁䄴入時䕁䅳党㕂䙁䅍䅤桂䡁䅑督時䡁䅙杍時䝁䄴党㍂䍁䄴䅥獂䡁䅍兢摂䙁䅁党畂䡁䅍兡療䝁䄴兌偂䙁䅁兒䍂䍁䅣光歁䕁䅍䅊㉁䅁䅁杚䅣䥁䅧䅁湁䙁䅳睕兂䕁䅣睘䑂䝁䄸兢睂䝁䅅杢㕂䙁䄸睓求䡁䅫睕あ䝁䅅䅤穂䙁䄸杤祁䍁䅁免畁䡁䅧䅢穂䝁䄰兘䑂䝁䅅䅣灂䡁䅑兙獂䙁䄸睕あ䡁䅉兤橂䡁䅑兤祂䝁䅕睘杁䕁䅑党あ䝁䅅兡獂䡁䅍䅉湁䍁䅅䅊䭂䍁䅑睎㉁䅁䅁䅊䅣䝁䄴䅁湁䙁䅳兔䩂䙁䄸睑療䝁䄰䅣桂䝁䄴入時䕁䅳党㕂䙁䅍䅤桂䡁䅑督時䡁䅙免杁䍁䄰䅢桂䡁䅑党穂䡁䅑杌㑂䝁䅷督瑂䙁䄰睓求䡁䅫睘呂䡁䅑兙あ䡁䅍睊桁䍁䅑村歁䑁䅉睍䅁䉁䙑䅁䥁䅁䅁杔啂䕁䄰䅁剂杂䅁杖䅁䙁䅳兔䩂䙁䄸睓求䡁䅫睕あ䝁䅅䅤穂䙁䄸杤硁䍁䄴䅥獂䡁䅍兢摂䕁䅳党㕂䙁䄸睕あ䝁䅅䅤穂䍁䅅䅊䙂䍁䅑兏㕁䑁䅯䅊䡂䍁䅑兏㕁䅁䅁来䅍䥁䅧䅁湁䙁䅳睑療䡁䅁入杁䝁䄸杚杁䙁䅍䅕䡂䙁䄸睑療䝁䄰䅣桂䝁䄴入時䕁䅳党㕂䙁䅍䅤桂䡁䅑督時䡁䅙杍時䝁䄴党㍂䍁䄴䅥獂䡁䅍兢摂䕁䅳党㕂䙁䄸睕あ䝁䅅䅤穂䍁䅣光歁䕁䅑䅊硁䑁䅁兏㙁䍁䅑䅒歁䑁䅅免㉁䅁䅁䅐䅣䝁䄴䅁湁䙁䅳兔䩂䙁䄸睑療䝁䄰䅣桂䝁䄴入時䕁䅳党㕂䙁䅍䅤桂䡁䅑督時䡁䅙免杁䍁䄰䅢桂䡁䅑党穂䡁䅑杌㑂䝁䅷督瑂䙁䄰睓求䡁䅫睘呂䡁䅑兙あ䡁䅍睊桁䍁䅑村歁䑁䅕兏䅁䅁䙷䅁⭂䅁䅁睊扂䕁䄰兓時䕁䅍睢瑂䡁䅁兙畂䡁䅫睘䱂䝁䅕入呂䡁䅑兙あ䡁䅍睘㉂䑁䅅䅉瑁䝁䅷兙あ䝁䅕督あ䍁䄴䅥獂䡁䅍兢摂䕁䅳党㕂䙁䄸睕あ䝁䅅䅤穂䍁䅣光歁䕁䅍䅊硁䑁䅁睎㙁䍁䅑睑歁䑁䅅免硁䅁䅁杈䅕䡁䅯䅁湁䙁䅳兔䩂䙁䄸睑療䝁䄰䅣桂䝁䄴入時䕁䅳党㕂䙁䅍䅤桂䡁䅑督時䡁䅙免杁䍁䄰䅢桂䡁䅑党穂䡁䅑杌㑂䝁䅷督瑂䙁䄰睓求䡁䅫睘呂䡁䅑兙あ䡁䅍睊桁䍁䅑睑歁䑁䅉兎㙁䍁䅑睑歁䑁䅑兏䅁䅁䙯䅁捂䅁䅁睗乂䕁䅫睘䑂䝁䄸兢睂䝁䅅杢㕂䙁䄸睓求䡁䅫睕あ䝁䅅䅤穂䙁䄸杤硁䍁䄴䅥獂䡁䅍兢摂䕁䅳党㕂䙁䄸睕あ䝁䅅䅤穂䍁䅅䅊䍂䍁䅑免睁䑁䅕䅁奃䅂䅁䅢䅁䍁䅣睗乂䕁䅫睘䑂䝁䄸兢睂䝁䅅杢㕂䙁䄸睓求䡁䅫睕あ䝁䅅䅤穂䙁䄸杤硁䍁䄰睑療䡁䅁入畁䡁䅧䅢穂䝁䄰兘呂䡁䅕䅣睂䝁䅷党瑂䝁䅕杢あ䝁䅅䅢湁䍁䅅䅊䑂䍁䅑䅎䅁䥁䙷䅁㙂䅁䅁睊扂䕁䄰兓時䕁䅍睢瑂䡁䅁兙畂䡁䅫睘䱂䝁䅕入呂䡁䅑兙あ䡁䅍睘㉂䑁䅅䅉瑁䝁䅷兙あ䝁䅕督あ䍁䄴䅥獂䡁䅍兢摂䕁䅳党㕂䙁䄸睕あ䝁䅅䅤穂䍁䅣光歁䕁䅍䅊ㅁ䑁䅑杏歁䕁䅍䅊ㅁ䑁䅕䅁慁兂䅁来䅁䍁䅣睗乂䕁䅫睘䑂䝁䄸兢睂䝁䅅杢㕂䙁䄸睓求䡁䅫睕あ䝁䅅䅤穂䙁䄸杤硁䍁䅁兌獂䝁䅅䅤求䡁䅍䅤畁䡁䅧䅢穂䝁䄰兘䱂䝁䅕入時䙁䅍䅤桂䡁䅑督湁䍁䅅䅊䑂䍁䅑李祁䑁䅯䅊䑂䍁䅑李㑁䅁䅁杄䅕䕁䅧䅁䉂䝁䅍睙療䡁䅕杢あ䡁䅍䅉卂䝁䅕睙求䝁䅫杤桂䝁䅉䅢求䍁䅷䅉ㅁ䍁䅁兗祂䍁䄴䅉䑂䕁䅅睒卂䍁䅁䅋汁䍁䅫䅁䵃杁䅁来䅁䍁䅣睗乂䕁䅫睘䑂䝁䄸兢睂䝁䅅杢㕂䙁䄸睓求䡁䅫睕あ䝁䅅䅤穂䙁䄸杤硁䍁䅁兌獂䝁䅅䅤求䡁䅍䅤畁䡁䅧䅢穂䝁䄰兘䱂䝁䅕入時䙁䅍䅤桂䡁䅑督湁䍁䅅䅊䕂䍁䅑杍ㅁ䑁䅯䅊䕂䍁䅑䅎㕁䅁䅁杆䅕䡁䄴䅁湁䙁䅳兔䩂䙁䄸睑療䝁䄰䅣桂䝁䄴入時䕁䅳党㕂䙁䅍䅤桂䡁䅑督時䡁䅙免杁䍁䄰䅢桂䡁䅑党穂䡁䅑杌㑂䝁䅷督瑂䙁䄰睓求䡁䅫睘呂䡁䅑兙あ䡁䅍睊桁䍁䅑兒歁䑁䅅䅍ぁ䑁䅯䅊䡂䍁䅑免睁䑁䅑䅁摁兂䅁䅊䅁䕁䅫兕時䕁䅑兒䍂䙁䅑睘啂䕁䄸睘䙂䕁䅉兓啂䕁䅑兑䅁䡁䉳䅁㙁䅁䅁睔睂䡁䅑兡療䝁䄴督㙁䍁䅁睕あ䝁䅅䅤灂䡁䅍䅤灂䝁䅍児䵂䕁䄸睖獁䕁䄴兑㥁䕁䄴兑䅁䝁䜰䅁慁䅁䅁兒畂䡁䅑兡あ䡁䅫䅉佂䝁䅅兢求䍁䅁䅁歁䅁䅁来䅁䍁䅣睗乂䕁䅫睘䑂䝁䄸兢睂䝁䅅杢㕂䙁䄸睓求䡁䅫睕あ䝁䅅䅤穂䙁䄸杤硁䍁䅁兌獂䝁䅅䅤求䡁䅍䅤畁䡁䅧䅢穂䝁䄰兘䱂䝁䅕入時䙁䅍䅤桂䡁䅑督湁䍁䅅䅊䙂䍁䅑杍祁䑁䅯䅊䭂䍁䅑杍祁䅁䅁元䅕䝁䅙䅁扂䕁䄰兓時䙁䅉兒䩂䙁䅑睘呂䝁䅅兢求䙁䅍䅤療䡁䅉党啂䝁䅕兢睂䝁䅷兙あ䝁䅕睘㉂䑁䅅杌㑂䝁䅷督摂䕁䅑兙あ䝁䅅光歁䕁䅑䅊硁䑁䅍杏歁䕁䅑䅊祁䑁䅍䅁晄睁䅁来䅁䍁䅣睗乂䕁䅫睘䑂䝁䄸兢睂䝁䅅杢㕂䙁䄸睓求䡁䅫睕あ䝁䅅䅤穂䙁䄸杤硁䍁䅁兌獂䝁䅅䅤求䡁䅍䅤畁䡁䅧䅢穂䝁䄰兘䱂䝁䅕入時䙁䅍䅤桂䡁䅑督湁䍁䅅䅊䙂䍁䅑杍穁䑁䅯䅊䭂䍁䅑杍穁䅁䅁睃䅕䥁䅧䅁湁䙁䅳兔䩂䙁䄸睑療䝁䄰䅣桂䝁䄴入時䕁䅳党㕂䙁䅍䅤桂䡁䅑督時䡁䅙免瑁䍁䅁睔祂䝁䅫睚灂䝁䄴兙獂䍁䄴䅥獂䡁䅍兢摂䕁䅫杢橂䝁䄸兢求䙁䄸睕あ䝁䅅䅤求䝁䄰党畂䡁䅑睊桁䍁䅑兒歁䑁䅕杏歁䙁䅁䅊ㅁ䅁䅁兤䅕䝁䄴䅁湁䙁䅳兔䩂䙁䄸睑療䝁䄰䅣桂䝁䄴入時䕁䅳党㕂䙁䅍䅤桂䡁䅑督時䡁䅙免杁䍁䄰䅢桂䡁䅑党穂䡁䅑杌㑂䝁䅷督瑂䙁䄰睓求䡁䅫睘呂䡁䅑兙あ䡁䅍睊桁䍁䅑兒歁䑁䅕免䅁䉁䙫䅁畂䅁䅁睊扂䕁䄰兓時䕁䅍睢瑂䡁䅁兙畂䡁䅫睘䱂䝁䅕入呂䡁䅑兙あ䡁䅍睘㉂䑁䅅䅉瑁䝁䅷兙あ䝁䅕督あ䍁䄴䅥獂䡁䅍兢摂䕁䅳党㕂䙁䄸睕あ䝁䅅䅤穂䍁䅣光歁䕁䅕䅊ㅁ䑁䅫䅁乁兂䅁䅌䅁䕁䅫兕時䕁䅫杔坂䙁䄸杍婂䙁䅉睘䉂䕁䄴杔時䕁䅣杕偂䙁䅣䅖䥂䅁䅁兕䅉䝁䄴䅁湁䙁䅳兔䩂䙁䄸睑療䝁䄰䅣桂䝁䄴入時䕁䅳党㕂䙁䅍䅤桂䡁䅑督時䡁䅙免杁䍁䄰䅢桂䡁䅑党穂䡁䅑杌㑂䝁䅷督瑂䙁䄰睓求䡁䅫睘呂䡁䅑兙あ䡁䅍睊桁䍁䅑兒歁䑁䅙䅍䅁䅁䘸䅁㑁䅁䅁兓剂䙁䄸睑䉂䙁䅁兓啂䕁䅅䅔時䕁䅷兒䉂䙁䅍兒呂䙁䄸䅖偂䙁䅑兑䵂䙁䄸䅕䑂䙁䅑䅁㙄䅁䅁䅈䅁䙁䅍兤楂䍁䄴䅉䕂䝁䅕杙あ䍁䅁䅋汁䍁䅫䅁灁允䅁材䅁䕁䅣杣療䡁䅍督杁䙁䅁杣療䝁䅙兡あ䍁䅷䅉硁䍁䅁兗祂䍁䄴䅉䡂䡁䅉睢㍂䡁䅑䅡杁䍁䅧兊灁䅁䅁䅈䅉䡁䅯䅁湁䙁䅳兔䩂䙁䄸睑療䝁䄰䅣桂䝁䄴入時䕁䅳党㕂䙁䅍䅤桂䡁䅑督時䡁䅙免杁䍁䄰䅢桂䡁䅑党穂䡁䅑杌㑂䝁䅷督瑂䙁䄰睓求䡁䅫睘呂䡁䅑兙あ䡁䅍睊桁䍁䅑兔歁䑁䅉杍㙁䍁䅑睔歁䑁䅉杍䅁䉁䙕䅁楁䅁䅁兓剂䙁䄸兒䍂䕁䅫䅖䕂䕁䅅睘乂䕁䅅杕䡂䕁䅫杔䅁䅁䍅䅁祁䅁䅁兓剂䙁䄸兒䍂䕁䅫䅖䕂䕁䅅睘ㅁ䙁䅫杕時䕁䅅杔佂䙁䄸睒卂䕁䄸睖啂䕁䅧䅁偃杁䅁杔䅁䙁䅳睓求䡁䅫睕あ䝁䅅䅤穂䙁䄸䅤求䡁䅍䅤浂䝁䅫䅢求䍁䄴䅥獂䡁䅍兢摂䕁䅍兙穂䝁䅧睘䝂䝁䅷睢㍂䍁䅅䅊䑂䍁䅑䅎䅁䱁䄰䅁捂䅁䅁杔偂䕁䅷䅉䑂䝁䅅杣祂䡁䅫杚療䡁䅉睤桂䡁䅉䅚獁䍁䅁睑ㅂ䡁䅉杣求䝁䄴䅤杁䙁䅫党桂䡁䅉䅉牁䍁䅁睍杁䍁䅧杕求䡁䅁睢祂䡁䅑党歂䍁䅫䅁噄杁䅁来䅁䍁䅣睗乂䕁䅫睘䑂䝁䄸兢睂䝁䅅杢㕂䙁䄸睓求䡁䅫睕あ䝁䅅䅤穂䙁䄸杤硁䍁䅁兌獂䝁䅅䅤求䡁䅍䅤畁䡁䅧䅢穂䝁䄰兘䱂䝁䅕入時䙁䅍䅤桂䡁䅑督湁䍁䅅䅊乂䍁䅑杍穁䑁䅯䅊偂䍁䅑杍穁䅁䅁睆䅕䑁䅁䅁䑂䝁䄸兢睂䝁䄸杢求䝁䄴䅤杁䙁䅍党橂䡁䅕杣灂䡁䅑入杁䙁䅑入睂䝁䅕䅁䱃杂䅁䅍䅁䕁䅫兕時䕁䅍兑兂䕁䅕䅗時䑁䅕兗卂䙁䄸兑佂䕁䄴睘䡂䙁䅉睔塂䙁䅑䅓䅁䭁䍣䅁䥂䅁䅁兒桂䡁䅉杢灂䝁䄴睚穂䍁䅁杚祂䝁䄸兢杁䕁䅍睢畂䡁䅑杌杁䕁䄸䅣穂䍁䄴䅉潁䙁䅉党睂䝁䄸杣あ䝁䅕䅚灁䅁䅁兄䅁䝁䅧䅁湁䙁䅳兔䩂䙁䄸睑療䝁䄰䅣桂䝁䄴入時䕁䅳党㕂䙁䅍䅤桂䡁䅑督時䡁䅙免瑁䕁䅍睢睂䡁䅫杌㑂䝁䅷督瑂䙁䄰睓求䡁䅫睘呂䡁䅑兙あ䡁䅍睊桁䍁䅑村歁䑁䅉李䅁䍁䙁䅁䵂䅁䅁杔求䡁䅑䅉䩂䝁䄴睙畁䍁䅁兑㉂䝁䅅兡獂䍁䄴䅉浂䝁䄸杣杁䕁䅍睢瑂䝁䄰睢畂䍁䅁兔桂䡁䅉睚灂䝁䄴䅉潁䍁䅕克䅁䅁䌴䅁浂䅁䅁睗乂䕁䅫睘䑂䝁䄸兢睂䝁䅅杢㕂䙁䄸睓求䡁䅫睕あ䝁䅅䅤穂䙁䄸杤硁䍁䄴䅥獂䡁䅍兢摂䕁䅳党㕂䙁䄸睕あ䝁䅅䅤穂䍁䅅䅊啂䍁䅑兎㑁䑁䅯䅊啂䍁䅑李祁䅁䅁睮䅕䝁䄴䅁湁䙁䅳兔䩂䙁䄸睑療䝁䄰䅣桂䝁䄴入時䕁䅳党㕂䙁䅍䅤桂䡁䅑督時䡁䅙免杁䍁䄰䅢桂䡁䅑党穂䡁䅑杌㑂䝁䅷督瑂䙁䄰睓求䡁䅫睘呂䡁䅑兙あ䡁䅍睊桁䍁䅑兖歁䑁䅉杍䅁䉁䙁䅁㉁䅁䅁兓剂䙁䄸睔兂䙁䅑兓偂䕁䄴睕時䙁䅍䅖卂䕁䅫睓䙂䙁䄸䅕卂䕁䅫睑䙂䙁䄸睔呂䅁䅁䅐䅍䝁䄴䅁湁䙁䅳兔䩂䙁䄸睑療䝁䄰䅣桂䝁䄴入時䕁䅳党㕂䙁䅍䅤桂䡁䅑督時䡁䅙免杁䍁䄰䅢桂䡁䅑党穂䡁䅑杌㑂䝁䅷督瑂䙁䄰睓求䡁䅫睘呂䡁䅑兙あ䡁䅍睊桁䍁䅑兖歁䑁䅉兎䅁䉁䙉䅁卂䅁䅁睑桂䡁䅍䅡杁䍁䅙䅉呂䝁䅧睢祂䡁䅑䅉啂䝁䅕杣瑂䍁䅁兓畂䡁䅙党穂䡁䅑兢求䝁䄴䅤穂䍁䅁䅋卂䝁䅕䅣療䡁䅉䅤求䝁䅑克䅁䉁䅕䅁獂䅁䅁睊扂䙁䅍䅕䡂䙁䄸睑療䝁䄰䅣桂䝁䄴入時䕁䅳党㕂䙁䅍䅤桂䡁䅑督時䡁䅙杍杁䑁䅅杌㑂䝁䅷督瑂䙁䄰睑桂䡁䅍䅡時䕁䅙䅢療䡁䅣睊桁䍁䅑兒歁䑁䅣杏歁䙁䅁䅊㍁䅁䅁朴䅙䝁䄴䅁湁䙁䅳兔䩂䙁䄸睑療䝁䄰䅣桂䝁䄴入時䕁䅳党㕂䙁䅍䅤桂䡁䅑督時䡁䅙免杁䍁䄰䅢桂䡁䅑党穂䡁䅑杌㑂䝁䅷督瑂䙁䄰睓求䡁䅫睘呂䡁䅑兙あ䡁䅍睊桁䍁䅑杖歁䑁䅉杍䅁䉁䙅䅁杂䅁䅁睗乂䕁䅫睘䱂䝁䅕入呂䡁䅑兙あ䡁䅍睘㉂䑁䅅杌㑂䝁䅷督瑂䙁䄰睑桂䡁䅁兡あ䝁䅅䅢灂䡁䅯兙あ䝁䅫睢畂䍁䅅䅊䙂䍁䅑兎祁䑁䅯䅊䭂䍁䅑兎祁䅁䅁䅱䅍䡁䅉䅁扂䙁䅍䅕䡂䙁䄸睑療䝁䄰䅣桂䝁䄴入時䕁䅳党㕂䙁䅍䅤桂䡁䅑督時䡁䅙免畁䡁䅧䅢穂䝁䄰兘䑂䝁䅅䅣灂䡁䅑兙獂䝁䅫来桂䡁䅑兡療䝁䄴光歁䕁䅕䅊ぁ䑁䅣杏歁䕁䅯䅊ぁ䑁䅣䅁㕄兂䅁䅍䅁䕁䅫兕時䙁䅑睔啂䕁䅅䅔時䕁䄸䅕啂䕁䅫睔佂䙁䅍睘䍂䕁䅕睒時䕁䄸睕䅁䑁䐴䅁畂䅁䅁睊扂䕁䄰兓時䕁䅍睢瑂䡁䅁兙畂䡁䅫睘䱂䝁䅕入呂䡁䅑兙あ䡁䅍睘㉂䑁䅅䅉瑁䝁䅷兙あ䝁䅕督あ䍁䄴䅥獂䡁䅍兢摂䕁䅳党㕂䙁䄸睕あ䝁䅅䅤穂䍁䅣光歁䙁䅙䅊祁䑁䅍䅁呁兂䅁䅕䅁䙁䅳睓求䡁䅫睕あ䝁䅅䅤穂䙁䄸䅤求䡁䅍䅤浂䝁䅫䅢求䍁䄴䅥獂䡁䅍兢摂䕁䅳党㕂䙁䄸睕あ䝁䅅䅤穂䍁䅅䅊䍂䍁䅑兎祁䅁䅁兮䅁䑁䅑䅁䩂䙁䅅睘佂䕁䅫睘佂䕁䄸杕乂䙁䄸睍婂䙁䅉睘䉂䕁䄴杔時䕁䅣杕偂䙁䅣䅖䥂䅁䅁睙䅉䑁䅯䅁佂䝁䅕䅤杁䕁䅫杢橂䝁䄸兢求䍁䅷䅉硁䍁䅁兗祂䍁䄴䅉䡂䡁䅉睢㍂䡁䅑䅡杁䍁䅧兊灁䅁䅁杈䅉䡁䅑䅁湁䙁䅳睕兂䕁䅣睘䑂䝁䄸兢睂䝁䅅杢㕂䙁䄸睓求䡁䅫睕あ䝁䅅䅤穂䙁䄸杤祁䍁䅁免畁䡁䅧䅢穂䝁䄰兘䱂䝁䅕入時䙁䅍䅤桂䡁䅑督湁䍁䅅䅊䝂䍁䅑免睁䑁䅣杏歁䕁䅧䅊硁䑁䅁睎䅁乁䝙䅁㙂䅁䅁睊扂䕁䄰兓時䕁䅍睢瑂䡁䅁兙畂䡁䅫睘䱂䝁䅕入呂䡁䅑兙あ䡁䅍睘㉂䑁䅅兌杁䕁䄸杣灂䝁䅣兡畂䝁䅅䅢畁䡁䅧䅢穂䝁䄰兘䑂䝁䅅䅣灂䡁䅑兙獂䝁䅫来桂䡁䅑兡療䝁䄴睊桁䍁䅑睑歁䑁䅑䅁㑁兂䅁杏䅁䕁䅫兕時䕁䅕兑卂䕁䄴兓佂䕁䅣睘䑂䕁䄸睘硁䙁䅫杕時䕁䅅杔佂䙁䄸睒卂䕁䄸睖啂䕁䅧䅁桁杁䅁杚䅁䕁䅅䅚歂䝁䅫䅤灂䝁䄸杢穂䍁䅁杚療䡁䅉䅉啂䝁䅅䅥杁䙁䅁睢穂䝁䅫䅤灂䝁䄸杢穂䍁䅁兌杁䙁䅁杣灂䝁䄸杣杁䙁䅫杣穂䍁䅁䅋卂䝁䅕䅣療䡁䅉䅤求䝁䅑克䅁䅁䑳䅁元䅁䅁睊扂䙁䅍䅕䡂䙁䄸睑療䝁䄰䅣桂䝁䄴入時䕁䅳党㕂䙁䅍䅤桂䡁䅑督時䡁䅙免杁䍁䅧杍灁䍁䄴䅥獂䡁䅍兢摂䕁䅍兙睂䝁䅫䅤桂䝁䅷睘呂䡁䅑杣ㅂ䝁䅍䅤ㅂ䡁䅉党時䙁䅍兤瑂䝁䄰兙祂䡁䅫睊桁䍁䅑兒歁䑁䅣杏歁䕁䄸䅊㍁䅁䅁睐䅙䡁䅷䅁湁䙁䅳兔䩂䙁䄸睑療䝁䄰䅣桂䝁䄴入時䕁䅳党㕂䙁䅍䅤桂䡁䅑督時䡁䅙免瑁䍁䅁睔祂䝁䅫睚灂䝁䄴兙獂䍁䄴䅥獂䡁䅍兢摂䕁䅍兙睂䝁䅫䅤桂䝁䅷兡㙂䝁䅅䅤灂䝁䄸杢湁䍁䅅䅊䑂䍁䅑䅎㍁䅁䅁䅑䅕䡁䅉䅁湁䙁䅳兔䩂䙁䄸睑療䝁䄰䅣桂䝁䄴入時䕁䅳党㕂䙁䅍䅤桂䡁䅑督時䡁䅙免瑁䍁䅁睔祂䝁䅫睚灂䝁䄴兙獂䍁䄴䅥獂䡁䅍兢摂䕁䅳党㕂䙁䄸睕あ䝁䅅䅤穂䍁䅣光歁䕁䅉䅊ㅁ䑁䅉䅁煂兂䅁䅌䅁䕁䅫兕時䕁䅍杒偂䙁䄸免婂䙁䅉睘䉂䕁䄴杔時䕁䅣杕偂䙁䅣䅖䥂䅁䅁免䅉䡁䅷䅁湁䙁䅳兔䩂䙁䄸睑療䝁䄰䅣桂䝁䄴入時䕁䅳党㕂䙁䅍䅤桂䡁䅑督時䡁䅙免瑁䍁䅁睔祂䝁䅫睚灂䝁䄴兙獂䍁䄴䅥獂䡁䅍兢摂䕁䅍兙睂䝁䅫䅤桂䝁䅷兡㙂䝁䅅䅤灂䝁䄸杢湁䍁䅅䅊䑂䍁䅑兎睁䅁䅁材䅕䝁䅑䅁䝂䝁䅅兡祂䍁䅁杖桂䝁䅷兤求䍁䅁睑潂䝁䅅杢湂䝁䅕䅉䩂䝁䄴睙獂䡁䅕䅚求䝁䅑䅉灂䝁䄴䅉䙂䝁䅅杣畂䝁䅫杢湂䡁䅍䅉潁䙁䅉党睂䝁䄸杣あ䝁䅕䅚灁䅁䅁克䅍䥁䅙䅁湁䙁䅳兔䩂䙁䄸睑療䝁䄰䅣桂䝁䄴入時䕁䅳党㕂䙁䅍䅤桂䡁䅑督時䡁䅙免瑁䕁䅍睢睂䡁䅫杌㑂䝁䅷督瑂䙁䄰睑桂䡁䅁兡あ䝁䅅䅢時䙁䅍䅤祂䡁䅕睙あ䡁䅕杣求䙁䄸睕ㅂ䝁䄰兢桂䡁䅉入湁䍁䅅䅊䑂䍁䅑兎䅁䥁䙑䅁浂䅁䅁睗乂䕁䅫睘䑂䝁䄸兢睂䝁䅅杢㕂䙁䄸睓求䡁䅫睕あ䝁䅅䅤穂䙁䄸杤硁䍁䄴䅥獂䡁䅍兢摂䕁䅳党㕂䙁䄸睕あ䝁䅅䅤穂䍁䅅䅊䑂䍁䅑李硁䑁䅯䅊䑂䍁䅑李㍁䅁䅁杁䅑䍁䄴䅁䩂䙁䅅睘佂䙁䅁䅕䙂䙁䄸睍婂䙁䅉睘䉂䕁䄴杔時䕁䅣杕偂䙁䅣䅖䥂䅁䅁党䅉䥁䅧䅁湁䙁䅳兔䩂䙁䄸睑療䝁䄰䅣桂䝁䄴入時䕁䅳党㕂䙁䅍䅤桂䡁䅑督時䡁䅙免瑁䍁䅁睔祂䝁䅫睚灂䝁䄴兙獂䍁䄴䅥獂䡁䅍兢摂䕁䅍兙睂䝁䅫䅤桂䝁䅷兡㙂䝁䅅䅤灂䝁䄸杢湁䍁䅅䅊䑂䍁䅑兎穁䑁䅯䅊䑂䍁䅑兎ぁ䅁䅁村䅕䥁䅙䅁湁䙁䅳兔䩂䙁䄸睑療䝁䄰䅣桂䝁䄴入時䕁䅳党㕂䙁䅍䅤桂䡁䅑督時䡁䅙免瑁䍁䅁睔祂䝁䅫睚灂䝁䄴兙獂䍁䄴䅥獂䡁䅍兢摂䕁䅍兙睂䝁䅫䅤桂䝁䅷兡㙂䝁䅅䅤灂䝁䄸杢湁䍁䅅䅊䑂䍁䅑兏㙁䍁䅑睑歁䑁䅉兎䅁䑁䙯䅁楁䅁䅁睑ㅂ䡁䅉杣求䝁䄴䅤癁䙁䅉党穂䡁䅑兙あ䝁䅕䅚䅁䅁䅉䅁䥃䅁䅁睊扂䕁䄰兓時䕁䅍睢瑂䡁䅁兙畂䡁䅫睘䱂䝁䅕入呂䡁䅑兙あ䡁䅍睘㉂䑁䅅兌杁䕁䄸杣灂䝁䅣兡畂䝁䅅䅢畁䡁䅧䅢穂䝁䄰兘䑂䝁䅅䅣灂䡁䅑兙獂䝁䅫来桂䡁䅑兡療䝁䄴睊桁䍁䅑兒歁䑁䅑睎㙁䍁䅑䅕歁䑁䅑睎䅁䑁䘰䅁䥃䅁䅁睊扂䕁䄰兓時䕁䅍睢瑂䡁䅁兙畂䡁䅫睘䱂䝁䅕入呂䡁䅑兙あ䡁䅍睘㉂䑁䅅兌杁䕁䄸杣灂䝁䅣兡畂䝁䅅䅢畁䡁䅧䅢穂䝁䄰兘䑂䝁䅅䅣灂䡁䅑兙獂䝁䅫来桂䡁䅑兡療䝁䄴睊桁䍁䅑兒歁䑁䅑䅏㙁䍁䅑䅕歁䑁䅑䅏䅁䑁䘸䅁㉁䅁䅁䅒桂䡁䅫䅉䑂䝁䅷睢穂䝁䅕䅉兂䡁䅉兡橂䝁䅕䅉潁䙁䅉党睂䝁䄸杣あ䝁䅕䅚灁䅁䅁睅䅁䙁䅙䅁䑂䝁䄸杢あ䡁䅉兙橂䡁䅑兤桂䝁䅷䅉偂䝁䅉䅢灂䝁䅣兙あ䝁䅫睢畂䡁䅍䅉䕂䡁䅕党杁䍁䅳䅉穁䍁䅁䅋卂䝁䅕䅣療䡁䅉䅤求䝁䅑克䅁乁䉧䅁䕃䅁䅁睊扂䕁䄰兓時䕁䅍睢瑂䡁䅁兙畂䡁䅫睘䱂䝁䅕入呂䡁䅑兙あ䡁䅍睘㉂䑁䅅兌杁䕁䄸杣灂䝁䅣兡畂䝁䅅䅢畁䡁䅧䅢穂䝁䄰兘䑂䝁䅅䅣灂䡁䅑兙獂䝁䅫来桂䡁䅑兡療䝁䄴睊桁䍁䅑兒歁䑁䅑杏歁䕁䅯䅊ぁ䅁䅁兏䅕䡁䄴䅁湁䙁䅳睕兂䕁䅣睘䑂䝁䄸兢睂䝁䅅杢㕂䙁䄸睓求䡁䅫睕あ䝁䅅䅤穂䙁䄸杤硁䍁䅁䅋祁䍁䅫杌㑂䝁䅷督瑂䙁䄰兓畂䝁䅍睢瑂䝁䅕睘呂䡁䅑兙あ䝁䅕兢求䝁䄴䅤湁䍁䅅䅊䙂䍁䅑睎㙁䍁䅑䅕歁䑁䅣䅁湁杂䅁杩䅁䍁䅣睗䑂䝁䄸䅣㕂䍁䅁睢浂䍁䅁睕兂䕁䅣睘䑂䝁䄸兢睂䝁䅅杢㕂䙁䄸睓求䡁䅫睕あ䝁䅅䅤穂䙁䄸杤祁䙁䄸杢求䡁䅣杌㑂䝁䅷督瑂䙁䄰睑桂䡁䅁兡あ䝁䅅䅢灂䡁䅯兙あ䝁䅫睢畂䍁䅣光歁䕁䅕䅊ㅁ䑁䅯䅊䭂䍁䅑兎䅁䕁䠰䅁楂䅁䅁睗䱂䝁䅕入呂䡁䅑兙あ䡁䅍睘あ䝁䅕督あ䝁䅙兡獂䝁䅕杌㑂䝁䅷督瑂䙁䄰睑桂䡁䅁兡あ䝁䅅䅢灂䡁䅯兙あ䝁䅫睢畂䍁䅅䅊䝂䍁䅑兎㙁䍁䅑兕歁䑁䅕䅁䥄䅁䅁䅐䅁䕁䅅杤求䡁䅉兙湂䝁䅕䅉䩂䝁䄴䅤求䡁䅉党穂䡁䅑䅉卂䝁䅅䅤求䍁䅁睋杁䑁䅍䅉潁䍁䅕克䅁佁䉷䅁啂䅁䅁睑療䝁䄴䅤祂䝁䅅睙あ䡁䅕兙獂䍁䅁睔楂䝁䅷兡湂䝁䅅䅤灂䝁䄸杢穂䍁䅁䅒ㅂ䝁䅕䅉牁䑁䅅䅉潁䙁䅉党睂䝁䄸杣あ䝁䅕䅚灁䅁䅁䄱䅅䥁䅧䅁湁䙁䅳睕兂䕁䅣睘䑂䝁䄸兢睂䝁䅅杢㕂䙁䄸睓求䡁䅫睕あ䝁䅅䅤穂䙁䄸杤祁䍁䅁免畁䡁䅧䅢穂䝁䄰兘䑂䝁䅅䅣灂䡁䅑兙獂䙁䄸睕あ䡁䅉兤橂䡁䅑兤祂䝁䅕睘杁䕁䅑党あ䝁䅅兡獂䡁䅍䅉湁䍁䅅䅊䭂䍁䅑䅎ぁ䅁䅁䅈䅣䥁䅧䅁湁䙁䅳兔䩂䙁䄸睑療䝁䄰䅣桂䝁䄴入時䕁䅳党㕂䙁䅍䅤桂䡁䅑督時䡁䅙免瑁䍁䅁睔祂䝁䅫睚灂䝁䄴兙獂䍁䄴䅥獂䡁䅍兢摂䕁䅍兙睂䝁䅫䅤桂䝁䅷兡㙂䝁䅅䅤灂䝁䄸杢湁䍁䅅䅊䙂䍁䅑兎硁䑁䅯䅊䭂䍁䅑兎硁䅁䅁兑䅕䝁䅯䅁湁䙁䅳兔䩂䙁䄸睑療䝁䄰䅣桂䝁䄴入時䕁䅳党㕂䙁䅍䅤桂䡁䅑督時䡁䅙免瑁䕁䅍睢睂䡁䅫杌㑂䝁䅷督瑂䙁䄰杕桂䡁䅑兡療䡁䅍睊桁䍁䅑䅒歁䑁䅑杏歁䕁䅫䅊ぁ䅁䅁兩䅕䥁䅑䅁湁䙁䅳睑療䡁䅁入杁䝁䄸杚杁䙁䅍䅕䡂䙁䄸睑療䝁䄰䅣桂䝁䄴入時䕁䅳党㕂䙁䅍䅤桂䡁䅑督時䡁䅙杍時䝁䄴党㍂䍁䄴䅥獂䡁䅍兢摂䕁䅳党㕂䙁䄸睕あ䝁䅅䅤穂䍁䅣光歁䙁䅕䅊ㅁ䑁䅧杏歁䙁䅕䅊㉁䑁䅅䅁呃睂䅁䅩䅁䍁䅣睗呂䙁䅁睒時䕁䅍睢瑂䡁䅁兙畂䡁䅫睘䱂䝁䅕入呂䡁䅑兙あ䡁䅍睘㉂䑁䅉䅉硁䍁䄴䅥獂䡁䅍兢摂䕁䅍兙睂䝁䅫䅤桂䝁䅷睘呂䡁䅑杣ㅂ䝁䅍䅤ㅂ䡁䅉党時䍁䅁䅒求䡁䅑兙灂䝁䅷督杁䍁䅣光歁䕁䅉䅊ぁ䑁䅑䅁十睂䅁䅨䅁䍁䅣睗乂䕁䅫睘䑂䝁䄸兢睂䝁䅅杢㕂䙁䄸睓求䡁䅫睕あ䝁䅅䅤穂䙁䄸杤硁䍁䄰䅉偂䡁䅉兡湂䝁䅫杢桂䝁䅷杌㑂䝁䅷督瑂䙁䄰睑桂䡁䅁兡あ䝁䅅䅢灂䡁䅯兙あ䝁䅫睢畂䍁䅣光歁䕁䅕䅊ㅁ䑁䅯䅊䭂䍁䅑兎䅁䑁䙳䅁捂䅁䅁睗䱂䝁䅕入呂䡁䅑兙あ䡁䅍睘あ䝁䅕督あ䝁䅙兡獂䝁䅕杌㑂䝁䅷督瑂䙁䄰睓求䡁䅫睘呂䡁䅑兙あ䡁䅍光歁䕁䅕䅊㕁䑁䅧杏歁䕁䅣䅊㕁䑁䅧䅁呃䅁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兒歁䑁䅣李䅁䥁䡣䅁䍃䅁䅁睊扂䕁䄰兓時䕁䅍睢瑂䡁䅁兙畂䡁䅫睘䱂䝁䅕入呂䡁䅑兙あ䡁䅍睘㉂䑁䅅兌杁䕁䄸杣灂䝁䅣兡畂䝁䅅䅢畁䡁䅧䅢穂䝁䄰兘䱂䝁䅕入時䙁䅍䅤桂䡁䅑督湁䍁䅅䅊䙂䍁䅑免睁䑁䅕杏歁䕁䅣䅊硁䑁䅁兎䅁䝁䙣䅁⭂䅁䅁睊扂䕁䄰兓時䕁䅍睢瑂䡁䅁兙畂䡁䅫睘䱂䝁䅕入呂䡁䅑兙あ䡁䅍睘㉂䑁䅅兌杁䕁䄸杣灂䝁䅣兡畂䝁䅅䅢畁䡁䅧䅢穂䝁䄰兘䩂䝁䄴睙療䝁䄰党時䙁䅍䅤桂䡁䅑党瑂䝁䅕杢あ䍁䅣光歁䕁䅍䅊ぁ䅁䅁杣䅕䡁䅧䅁湁䙁䅳睕兂䕁䅣睘䑂䝁䄸兢睂䝁䅅杢㕂䙁䄸睓求䡁䅫睕あ䝁䅅䅤穂䙁䄸杤硁䍁䅁䅋祁䍁䅫杌㑂䝁䅷督瑂䙁䄰睓求䡁䅫睘呂䡁䅑兙あ䡁䅍睊桁䍁䅑兒歁䑁䅅䅍㉁䑁䅯䅊䡂䍁䅑免睁䑁䅙䅁婁杂䅁材䅁䙁䅍兤楂䍁䄰䅔求䝁䅅督求䍁䅁兓畂䝁䅍睢瑂䝁䅕䅉牁䑁䅕䅉潁䙁䅉党睂䝁䄸杣あ䝁䅕䅚灁䅁䅁杺䅅䑁䅑䅁䩂䙁䅅睘坂䕁䅅杕䩂䕁䅅村䵂䕁䅕睘卂䕁䅅䅖䙂䙁䄸䅒䙂䕁䅉䅖時䙁䅁睑啂䅁䅁条䅅䡁䅑䅁湁䙁䅳兔䩂䙁䄸睑療䝁䄰䅣桂䝁䄴入時䕁䅳党㕂䙁䅍䅤桂䡁䅑督時䡁䅙免瑁䕁䅍睢睂䡁䅫杌㑂䝁䅷督瑂䙁䄰睓求䡁䅫睘呂䡁䅑兙あ䡁䅍睊桁䍁䅑兒歁䑁䅉兎㙁䍁䅑䅔歁䑁䅉兎䅁䙁䙉䅁祂䅁䅁睊扂䕁䄰兓時䕁䅍睢瑂䡁䅁兙畂䡁䅫睘䱂䝁䅕入呂䡁䅑兙あ䡁䅍睘㉂䑁䅅兌䑂䝁䄸䅣㕂䍁䄴䅥獂䡁䅍兢摂䕁䅍兙睂䝁䅫䅤桂䝁䅷兡㙂䝁䅅䅤灂䝁䄸杢湁䍁䅅䅊䑂䍁䅑兎㑁䅁䅁䅒䅕䍁䅁䅁䩂䙁䅅睘呂䕁䅕睑噂䙁䅉兒䕂䙁䄸䅒䙂䕁䅉䅖䅁䑁䉧䅁䵃䅁䅁睊扂䕁䄰兓時䕁䅍睢瑂䡁䅁兙畂䡁䅫睘䱂䝁䅕入呂䡁䅑兙あ䡁䅍睘㉂䑁䅅兌杁䕁䄸杣灂䝁䅣兡畂䝁䅅䅢畁䡁䅧䅢穂䝁䄰兘䩂䝁䄴睙療䝁䄰党時䙁䅍䅤桂䡁䅑党瑂䝁䅕杢あ䍁䅣光歁䕁䅍䅊㕁䑁䅯䅊䑂䍁䅑免㍁䑁䅍䅁あ兂䅁䅓䅁䙁䅑兙畂䝁䅣兡楂䝁䅷党杁䕁䅉睢療䝁䅳䅉坂䝁䅅䅢ㅂ䝁䅕䅌杁䑁䅍䅉婂䡁䅉杌杁䕁䅍兑䡂䙁䅉䅉潁䍁䅕克䅁䡁䍷䅁坂䅁䅁睗䱂䝁䅕入呂䡁䅑兙あ䡁䅍睘あ䝁䅕督あ䝁䅙兡獂䝁䅕杌㑂䝁䅷督㑂䙁䄰睕潂䝁䅕党あ䑁䅅光歁䕁䅍䅊祁䑁䅕杏歁䕁䅍䅊ぁ䑁䅕䅁偂䅁䅁䅩䅁䍁䅣睗乂䕁䅫睘䑂䝁䄸兢睂䝁䅅杢㕂䙁䄸睓求䡁䅫睕あ䝁䅅䅤穂䙁䄸杤硁䍁䄰䅉偂䡁䅉兡湂䝁䅫杢桂䝁䅷杌㑂䝁䅷督瑂䙁䄰兓畂䝁䅍睢瑂䝁䅕睘呂䡁䅑兙あ䝁䅕兢求䝁䄴䅤湁䍁䅅䅊䙂䍁䅑䅎㙁䍁䅑䅕歁䑁䅑䅁穂兂䅁条䅁䙁䅳睓求䡁䅫睕あ䝁䅅䅤穂䙁䄸䅤求䡁䅍䅤浂䝁䅫䅢求䍁䄴䅥獂䡁䅍兢摂䕁䅫杢橂䝁䄸兢求䙁䄸睕あ䝁䅅䅤求䝁䄰党畂䡁䅑光歁䕁䅑䅊㕁䑁䅯䅊䕂䍁䅑免ㅁ䑁䅣䅁㡃䅁䅁䅕䅁䙁䅳兔䩂䙁䄸睓求䡁䅫睕あ䝁䅅䅤穂䙁䄸杤硁䍁䄴䅥獂䡁䅍兢摂䙁䅉兙あ䝁䅫睢穂䍁䅅䅊䑂䍁䅑兏㙁䍁䅑睑歁䑁䅅兎睁䅁䅁典䅍䍁䅙䅁橁䕁䄴睔杁䕁䅑兑啂䕁䅅䅉䉂䙁䅙兑䩂䕁䅷兑䍂䕁䅷兒䅁䵁䡷䅁䭃䅁䅁睊扂䕁䅍睢睂䡁䅫䅉療䝁䅙䅉呂䙁䅁睒時䕁䅍睢瑂䡁䅁兙畂䡁䅫睘䱂䝁䅕入呂䡁䅑兙あ䡁䅍睘㉂䑁䅅睘䝂䝁䅫杢桂䝁䅷杌㑂䝁䅷督瑂䙁䄰䅕求䝁䄴督灂䝁䄸杢瑁䕁䄸䅕䙂䕁䅉睊桁䍁䅑䅒歁䑁䅧杏歁䕁䅫䅊㑁䅁䅁東䅧䡁䄴䅁湁䙁䅳兔䩂䙁䄸睑療䝁䄰䅣桂䝁䄴入時䕁䅳党㕂䙁䅍䅤桂䡁䅑督時䡁䅙免瑁䍁䅁睔祂䝁䅫睚灂䝁䄴兙獂䍁䄴䅥獂䡁䅍兢摂䕁䅳党㕂䙁䄸睕あ䝁䅅䅤穂䍁䅣光歁䕁䅑䅊祁䑁䅕杏歁䕁䅑䅊ぁ䑁䅫䅁敂兂䅁䅆䅁䙁䅍䅕時䙁䅁兒時䕁䅙睖䕂䅁䅁䅡䅙䡁䅑䅁湁䙁䅳兔䩂䙁䄸睑療䝁䄰䅣桂䝁䄴入時䕁䅳党㕂䙁䅍䅤桂䡁䅑督時䡁䅙免瑁䍁䅁睔祂䝁䅫睚灂䝁䄴兙獂䍁䄴䅥獂䡁䅍兢摂䕁䅳党㕂䙁䄸睕あ䝁䅅䅤穂䍁䅣光歁䕁䅉䅊硁䑁䅁睍䅁䝁䙑䅁䥁䅁䅁䅔啂䕁䄰䅁䉁䅁䅁䅊䅁䕁䅫兕時䙁䅣䅖䕂䙁䄸兑坂䕁䅣睘䩂䙁䅉睘䑂䙁䅫睍䅁佁䉕䅁祂䅁䅁睊扂䕁䄰兓時䕁䅍睢瑂䡁䅁兙畂䡁䅫睘䱂䝁䅕入呂䡁䅑兙あ䡁䅍睘㉂䑁䅅兌杁䕁䄸杣灂䝁䅣兡畂䝁䅅䅢畁䡁䅧䅢穂䝁䄰兘䱂䝁䅕入時䙁䅍䅤桂䡁䅑督湁䍁䅅䅊䍂䍁䅑兎㕁䅁䅁杢䅕䙁䅉䅁扂䕁䄰兓時䕁䅳党㕂䙁䅍䅤桂䡁䅑督時䡁䅙免畁䡁䅧䅢穂䝁䄰兘䑂䝁䅅䅣灂䡁䅑兙獂䝁䅫来桂䡁䅑兡療䝁䄴光歁䕁䅍䅊ぁ䅁䅁兮䅍䥁䅉䅁湁䙁䅳兔䩂䙁䄸睑療䝁䄰䅣桂䝁䄴入時䕁䅳党㕂䙁䅍䅤桂䡁䅑督時䡁䅙免瑁䍁䅁睔祂䝁䅫睚灂䝁䄴兙獂䍁䄴䅥獂䡁䅍兢摂䕁䅳党㕂䙁䄸睕あ䝁䅅䅤穂䍁䅣光歁䕁䅍䅊硁䑁䅁睎㙁䍁䅑睑歁䑁䅅免硁䅁䅁杚䅕䙁䅷䅁扂䕁䅳党㕂䙁䅍䅤桂䡁䅑督時䡁䅑党穂䡁䅑杚灂䝁䅷党畁䡁䅧䅢穂䝁䄰兘䱂䝁䅕入時䙁䅍䅤桂䡁䅑督桁䍁䅑兒歁䑁䅫兏㙁䍁䅑睒歁䑁䅫兏䅁䭁䅍䅁⭂䅁䅁睊扂䕁䄰兓時䕁䅍睢瑂䡁䅁兙畂䡁䅫睘䱂䝁䅕入呂䡁䅑兙あ䡁䅍睘㉂䑁䅅兌杁䕁䄸杣灂䝁䅣兡畂䝁䅅䅢畁䡁䅧䅢穂䝁䄰兘䱂䝁䅕入時䙁䅍䅤桂䡁䅑督湁䍁䅅䅊䑂䍁䅑杍ㅁ䑁䅯䅊䑂䍁䅑䅎㕁䅁䅁杙䅕䥁䅧䅁扂䙁䅍䅕䡂䙁䄸睑療䝁䄰䅣桂䝁䄴入時䕁䅳党㕂䙁䅍䅤桂䡁䅑督時䡁䅙杍畁䡁䅧䅢穂䝁䄰兘䑂䝁䅅䅣灂䡁䅑兙獂䙁䄸睕あ䡁䅉兤橂䡁䅑兤祂䝁䅕睘呂䡁䅕兢瑂䝁䅅杣㕂䍁䅅䅊䝂䍁䅑免硁䑁䅯䅊卂䍁䅑免硁䅁䅁元䅧䉁䄴䅁呂䙁䅁睘兂䙁䅉兓䑂䕁䅕睘䑂䕁䅷睔呂䕁䅕䅁十䅁䅁杨䅁䍁䅣睗䑂䝁䄸䅣㕂䍁䅁睢浂䍁䅁睕兂䕁䅣睘䑂䝁䄸兢睂䝁䅅杢㕂䙁䄸睓求䡁䅫睕あ䝁䅅䅤穂䙁䄸杤祁䙁䄸杢求䡁䅣杌㑂䝁䅷督瑂䙁䄰䅕求䝁䄴督灂䝁䄸杢瑁䕁䄸䅕䙂䕁䅉睊桁䍁䅑䅒歁䑁䅣杏歁䕁䅫䅊㍁䅁䅁兡䅣䑁䅉䅁䩂䙁䅅睘佂䕁䅕䅖時䕁䅑兒䍂䙁䅑睘䙂䕁䅉兓啂䕁䅑兑時䕁䅍兑兂䕁䅕䅗䅁䥁䉣䅁䍂䅁䅁兑瑂䝁䅅来療䝁䄴杌橂䝁䄸兢獁䍁䅁兓畂䝁䅍杌杁䍁䅧杔䉂䙁䅍䅒䉂䙁䅅睒呂䑁䅯兑乂䙁䅯杔灁䅁䅁儳䅣䍁䅁䅁䩂䙁䅅睘䕂䕁䅕村啂䙁䄸兑䕂䕁䅯睘兂䕁䅍䅖䅁䅁䉉䅁⭂䅁䅁睊扂䕁䄰兓時䕁䅍睢瑂䡁䅁兙畂䡁䅫睘䱂䝁䅕入呂䡁䅑兙あ䡁䅍睘㉂䑁䅅兌杁䕁䄸杣灂䝁䅣兡畂䝁䅅䅢畁䡁䅧䅢穂䝁䄰兘䱂䝁䅕入時䙁䅍䅤桂䡁䅑督湁䍁䅅䅊䑂䍁䅑兎ぁ䑁䅯䅊䑂䍁䅑兎ㅁ䅁䅁䅢䅕䡁䅑䅁湁䙁䅳兔䩂䙁䄸睑療䝁䄰䅣桂䝁䄴入時䕁䅳党㕂䙁䅍䅤桂䡁䅑督時䡁䅙免瑁䕁䅍睢睂䡁䅫杌㑂䝁䅷督瑂䙁䄰兓畂䝁䅍睢瑂䝁䅕睘呂䡁䅑兙あ䝁䅕兢求䝁䄴䅤湁䍁䅅䅊䑂䍁䅑䅎䅁䕁䘴䅁⭂䅁䅁睊扂䕁䄰兓時䕁䅍睢瑂䡁䅁兙畂䡁䅫睘䱂䝁䅕入呂䡁䅑兙あ䡁䅍睘㉂䑁䅅兌杁䕁䄸杣灂䝁䅣兡畂䝁䅅䅢畁䡁䅧䅢穂䝁䄰兘䱂䝁䅕入時䙁䅍䅤桂䡁䅑督湁䍁䅅䅊䑂䍁䅑李祁䑁䅯䅊䑂䍁䅑李㑁䅁䅁䅣䅕䡁䅧䅁扂䕁䅳党㕂䙁䅍䅤桂䡁䅑督時䡁䅑党穂䡁䅑杚灂䝁䅷党畁䡁䅧䅢穂䝁䄰兘䑂䝁䅅䅣灂䡁䅑兙獂䙁䄸睕あ䡁䅉兤橂䡁䅑兤祂䝁䅕睘呂䡁䅕兢瑂䝁䅅杣㕂䍁䅅䅊䡂䍁䅑䅏㙁䍁䅑睔歁䑁䅧䅁㍂允䅁杦䅁䍁䅣睗乂䕁䅫睘䑂䝁䄸兢睂䝁䅅杢㕂䙁䄸睓求䡁䅫睕あ䝁䅅䅤穂䙁䄸杤硁䍁䄰䅉偂䡁䅉兡湂䝁䅫杢桂䝁䅷杌㑂䝁䅷督瑂䙁䄰睓求䡁䅫睘呂䡁䅑兙あ䡁䅍睊桁䍁䅑䅒歁䑁䅕䅎㙁䍁䅑䅒歁䑁䅕兎䅁䝁䘰䅁㡂䅁䅁睊扂䙁䅍䅕䡂䙁䄸睑療䝁䄰䅣桂䝁䄴入時䕁䅳党㕂䙁䅍䅤桂䡁䅑督時䡁䅙免杁䍁䅧杍灁䍁䄴䅥獂䡁䅍兢摂䙁䅍兤睂䡁䅁䅢求䝁䄰党畂䡁䅑兙獂䍁䅣光歁䕁䅍䅊硁䑁䅅杏歁䕁䅍䅊硁䑁䅙䅏䅁䕁䝯䅁潂䅁䅁兖畂䡁䅉党橂䝁䄸睚畁䍁䅁䅖桂䡁䅧䅉䍂䝁䅕杢求䝁䅙兡あ䡁䅍䅌杁䕁䅕杢歂䍁䅁睢浂䍁䅁䅤潂䝁䅕䅉兂䝁䅕杣灂䝁䄸䅚杁䍁䅧杕求䡁䅁睢祂䡁䅑党歂䍁䅫䅁剁睁䅁杂䅁䕁䄴兔䅁䝁䝕䅁䍃䅁䅁睊扂䕁䄰兓時䕁䅍睢瑂䡁䅁兙畂䡁䅫睘䱂䝁䅕入呂䡁䅑兙あ䡁䅍睘㉂䑁䅅兌杁䕁䄸杣灂䝁䅣兡畂䝁䅅䅢畁䡁䅧䅢穂䝁䄰兘䱂䝁䅕入時䙁䅍䅤桂䡁䅑督湁䍁䅅䅊䙂䍁䅑免睁䑁䅑杏歁䕁䅣䅊硁䑁䅁䅎䅁䝁䙕䅁㙂䅁䅁睊扂䕁䅍睢睂䡁䅫䅉療䝁䅙䅉呂䙁䅁睒時䕁䅍睢瑂䡁䅁兙畂䡁䅫睘䱂䝁䅕入呂䡁䅑兙あ䡁䅍睘㉂䑁䅉睘畂䝁䅕睤畁䡁䅧䅢穂䝁䄰兘䱂䝁䅕入時䙁䅍䅤桂䡁䅑督湁䍁䅅䅊䝂䍁䅑免睁䑁䅣䅁楃睂䅁杋䅁䕁䅫兕時䙁䅍兖䍂䙁䄸䅔䙂䕁䅅睕䙂䙁䄸兓佂䕁䅍睘䑂䙁䅫杍䅁䵁䉫䅁坂䅁䅁睑療䝁䄴䅤祂䝁䅅睙あ䡁䅕兙獂䍁䅁睔楂䝁䅷兡湂䝁䅅䅤灂䝁䄸杢穂䍁䅁䅒ㅂ䝁䅕䅉牁䍁䅁䅎杁䍁䅧杕求䡁䅁睢祂䡁䅑党歂䍁䅫䅁慄允䅁杦䅁䍁䅣睗乂䕁䅫睘䑂䝁䄸兢睂䝁䅅杢㕂䙁䄸睓求䡁䅫睕あ䝁䅅䅤穂䙁䄸杤硁䍁䄰䅉偂䡁䅉兡湂䝁䅫杢桂䝁䅷杌㑂䝁䅷督瑂䙁䄰睓求䡁䅫睘呂䡁䅑兙あ䡁䅍睊桁䍁䅑兒歁䑁䅉睍㙁䍁䅑杓歁䑁䅉睍䅁䝁䙍䅁浂䅁䅁睊扂䙁䅍䅕䡂䙁䄸睑療䝁䄰䅣桂䝁䄴入時䕁䅳党㕂䙁䅍䅤桂䡁䅑督時䡁䅙杍杁䑁䅅杌㑂䝁䅷督瑂䙁䄰睓求䡁䅫睘呂䡁䅑兙あ䡁䅍睊桁䍁䅑村歁䑁䅅䅍㉁䅁䅁眰䅙䕁䅁䅁䩂䙁䅅睘偂䙁䅁䅖䩂䕁䄸杔呂䙁䄸睕啂䙁䅉兓䱂䕁䅕睘兂䙁䅉兓䑂䕁䅕睘䡂䙁䅉兑佂䙁䅑兒䕂䅁䅁杍䅍䝁䅑䅁扂䕁䄰兓時䕁䅍睢瑂䡁䅁兙畂䡁䅫睘䱂䝁䅕入呂䡁䅑兙あ䡁䅍睘㉂䑁䅅杌㑂䝁䅷督瑂䙁䄰睑桂䡁䅍䅡時䕁䅙䅢療䡁䅣光歁䕁䅍䅊㕁䑁䅯䅊䑂䍁䅑兏睁䅁䅁杄䅑䡁䄴䅁湁䙁䅳兔䩂䙁䄸睑療䝁䄰䅣桂䝁䄴入時䕁䅳党㕂䙁䅍䅤桂䡁䅑督時䡁䅙免瑁䍁䅁睔祂䝁䅫睚灂䝁䄴兙獂䍁䄴䅥獂䡁䅍兢摂䕁䅳党㕂䙁䄸睕あ䝁䅅䅤穂䍁䅣光歁䕁䅕䅊祁䑁䅍杏歁䕁䅷䅊祁䑁䅍䅁灂兂䅁杚䅁䍁䅣睗呂䙁䅁睒時䕁䅍睢瑂䡁䅁兙畂䡁䅫睘䱂䝁䅕入呂䡁䅑兙あ䡁䅍睘㉂䑁䅉䅉硁䍁䄴䅥獂䡁䅍兢摂䙁䅉兙あ䝁䅫睢穂䍁䅣光歁䕁䅑䅊㍁䑁䅯䅊䩂䍁䅑睎䅁偁䝯䅁獁䅁䅁睑療䝁䄰䅣療䝁䄴党畂䡁䅑䅉䕂䝁䅕督橂䡁䅉兡睂䡁䅑兡療䝁䄴䅁䝃杂䅁杓䅁䙁䅳睓求䡁䅫睕あ䝁䅅䅤穂䙁䄸䅤求䡁䅍䅤浂䝁䅫䅢求䍁䄴䅥獂䡁䅍䅥摂䙁䅍䅡求䝁䅕䅤硁䍁䅅䅊䍂䍁䅑杍睁䅁䅁兌䅁䡁䅉䅁湁䙁䅳兔䩂䙁䄸睑療䝁䄰䅣桂䝁䄴入時䕁䅳党㕂䙁䅍䅤桂䡁䅑督時䡁䅙免瑁䍁䅁睔祂䝁䅫睚灂䝁䄴兙獂䍁䄴䅥獂䡁䅍兢摂䕁䅳党㕂䙁䄸睕あ䝁䅅䅤穂䍁䅣光歁䕁䅕䅊ㅁ䑁䅉䅁牂兂䅁䅡䅁䍁䅣睗乂䕁䅫睘䑂䝁䄸兢睂䝁䅅杢㕂䙁䄸睓求䡁䅫睕あ䝁䅅䅤穂䙁䄸杤硁䍁䄰睑療䡁䅁入畁䡁䅧䅢穂䝁䄰兘䱂䝁䅕入時䙁䅍䅤桂䡁䅑督湁䍁䅅䅊䙂䍁䅑兎ㅁ䅁䅁兖䅕䡁䅯䅁湁䙁䅳睑療䡁䅁入杁䝁䄸杚杁䙁䅍䅕䡂䙁䄸睑療䝁䄰䅣桂䝁䄴入時䕁䅳党㕂䙁䅍䅤桂䡁䅑督時䡁䅙杍時䝁䄴党㍂䍁䄴䅥獂䡁䅍兢摂䕁䅳党㕂䙁䄸睕あ䝁䅅䅤穂䍁䅣光歁䕁䅙䅊硁䑁䅁李䅁䭁䡁䅁祂䅁䅁睊扂䕁䄰兓時䕁䅍睢瑂䡁䅁兙畂䡁䅫睘䱂䝁䅕入呂䡁䅑兙あ䡁䅍睘㉂䑁䅅兌杁䕁䄸杣灂䝁䅣兡畂䝁䅅䅢畁䡁䅧䅢穂䝁䄰兘䱂䝁䅕入時䙁䅍䅤桂䡁䅑督湁䍁䅅䅊䙂䍁䅑兎㕁䅁䅁睢䅕䥁䅧䅁湁䙁䅳睕兂䕁䅣睘䑂䝁䄸兢睂䝁䅅杢㕂䙁䄸睓求䡁䅫睕あ䝁䅅䅤穂䙁䄸杤祁䍁䅁免畁䡁䅧䅢穂䝁䄰兘䑂䝁䅅䅣灂䡁䅑兙獂䙁䄸睕あ䡁䅉兤橂䡁䅑兤祂䝁䅕睘杁䕁䅑党あ䝁䅅兡獂䡁䅍䅉湁䍁䅅䅊䑂䍁䅑䅎ぁ䅁䅁䅆䅣䡁䅉䅁湁䙁䅳兔䩂䙁䄸睑療䝁䄰䅣桂䝁䄴入時䕁䅳党㕂䙁䅍䅤桂䡁䅑督時䡁䅙免瑁䍁䅁睔祂䝁䅫睚灂䝁䄴兙獂䍁䄴䅥獂䡁䅍兢摂䕁䅳党㕂䙁䄸睕あ䝁䅅䅤穂䍁䅣光歁䕁䅕䅊㉁䑁䅁䅁硂兂䅁杦䅁䍁䅣睗乂䕁䅫睘䑂䝁䄸兢睂䝁䅅杢㕂䙁䄸睓求䡁䅫睕あ䝁䅅䅤穂䙁䄸杤硁䍁䄰䅉偂䡁䅉兡湂䝁䅫杢桂䝁䅷杌㑂䝁䅷督瑂䙁䄰睓求䡁䅫睘呂䡁䅑兙あ䡁䅍睊桁䍁䅑兔歁䑁䅉杍㙁䍁䅑睔歁䑁䅉杍䅁䙁䘰䅁畂䅁䅁睊扂䕁䄰兓時䕁䅍睢瑂䡁䅁兙畂䡁䅫睘䱂䝁䅕入呂䡁䅑兙あ䡁䅍睘㉂䑁䅅兌䑂䝁䄸䅣㕂䍁䄴䅥獂䡁䅍兢摂䕁䅉兙獂䝁䅅杢橂䝁䅕睘呂䝁䅧党求䡁䅑睊桁䍁䅑睑歁䑁䅑䅁㑂兂䅁䅩䅁䍁䅣睗呂䙁䅁睒時䕁䅍睢瑂䡁䅁兙畂䡁䅫睘䱂䝁䅕入呂䡁䅑兙あ䡁䅍睘㉂䑁䅉䅉硁䍁䄴䅥獂䡁䅍兢摂䕁䅍兙睂䝁䅫䅤桂䝁䅷睘呂䡁䅑杣ㅂ䝁䅍䅤ㅂ䡁䅉党時䍁䅁䅒求䡁䅑兙灂䝁䅷督杁䍁䅣光歁䕁䅕䅊硁䑁䅉䅁䭁睂䅁䅊䅁䕁䅫兕時䙁䅕杔呂䕁䅕睑噂䙁䅉兒䕂䙁䄸䅒䙂䕁䅉䅖䅁䑁䉙䅁䅂䅁䅁兓剂䙁䄸睑偂䕁䄰兔偂䕁䄴睘䙂䙁䅅兖䩂䙁䅑兗時䑁䅍兗卂䙁䄸兑佂䕁䄴睘䡂䙁䅉睔塂䙁䅑䅓䅁䡁䌰䅁㑂䅁䅁睊扂䕁䄰兓時䕁䅍睢瑂䡁䅁兙畂䡁䅫睘䱂䝁䅕入呂䡁䅑兙あ䡁䅍睘㉂䑁䅅兌䑂䝁䄸䅣㕂䍁䄴䅥獂䡁䅍兢摂䕁䅉兙獂䝁䅅杢橂䝁䅕睘呂䝁䅧党求䡁䅑睊桁䍁䅑兒歁䑁䅑杏歁䙁䅁䅊ぁ䅁䅁入䅕䙁䅷䅁扂䕁䅳党㕂䙁䅍䅤桂䡁䅑督時䡁䅑党穂䡁䅑杚灂䝁䅷党畁䡁䅧䅢穂䝁䄰兘䱂䝁䅕入時䙁䅍䅤桂䡁䅑督桁䍁䅑睑歁䑁䅙䅍㙁䍁䅑睑歁䑁䅙李䅁䩁䄸䅁祂䅁䅁睗乂䕁䅫睘䑂䝁䄸兢睂䝁䅅杢㕂䙁䄸睓求䡁䅫睕あ䝁䅅䅤穂䙁䄸杤硁䙁䄸杌㑂䝁䅷督瑂䙁䄰兓畂䝁䅍睢瑂䝁䅕睘呂䡁䅑兙あ䝁䅕兢求䝁䄴䅤桁䍁䅑兒歁䑁䅕杏歁䙁䅁䅊ㅁ䅁䅁䄱䅑䡁䄴䅁湁䙁䅳兔䩂䙁䄸睑療䝁䄰䅣桂䝁䄴入時䕁䅳党㕂䙁䅍䅤桂䡁䅑督時䡁䅙免瑁䕁䅍睢睂䡁䅫杌㑂䝁䅷督瑂䙁䄰睑桂䡁䅁兡あ䝁䅅䅢灂䡁䅯兙あ䝁䅫睢畂䍁䅣光歁䕁䅍䅊ㅁ䑁䅍杏歁䕁䅍䅊ㅁ䑁䅑䅁畁兂䅁䅌䅁䕁䅫兕時䕁䄸䅔時䕁䅍睔乂䕁䄰睘䉂䕁䅙䅖䙂䙁䅉睘䝂䕁䅫杖䙂䅁䅁睷䅅䝁䅯䅁扂䕁䄰兓時䕁䅍睢瑂䡁䅁兙畂䡁䅫睘䱂䝁䅕入呂䡁䅑兙あ䡁䅍睘㉂䑁䅅杌㑂䝁䅷督瑂䙁䄰村桂䝁䅷兙畂䝁䅍党時䙁䅍䅡求䝁䅕䅤桁䍁䅑兒歁䑁䅣杏歁䙁䅁䅊㍁䅁䅁睴䅕䡁䅧䅁湁䙁䅳兔䩂䙁䄸睑療䝁䄰䅣桂䝁䄴入時䕁䅳党㕂䙁䅍䅤桂䡁䅑督時䡁䅙免瑁䕁䅍睢睂䡁䅫杌㑂䝁䅷督瑂䙁䄰村桂䝁䅷兙畂䝁䅍党時䙁䅍䅡求䝁䅕䅤湁䍁䅅䅊䙂䍁䅑兎㙁䍁䅑䅕歁䑁䅕䅁㝂兂䅁杚䅁䍁䅣睗呂䙁䅁睒時䕁䅍睢瑂䡁䅁兙畂䡁䅫睘䱂䝁䅕入呂䡁䅑兙あ䡁䅍睘㉂䑁䅉䅉硁䍁䄴䅥獂䡁䅍兢摂䕁䅳党㕂䙁䄸睕あ䝁䅅䅤穂䍁䅣光歁䕁䅕䅊硁䑁䅁李䅁䵁䝁䅁敁䅁䅁兓剂䙁䄸䅒䑂䙁䅍睘呂䕁䅕睑噂䙁䅉兒䕂䅁䅁杮䅙䩁䅙䅁湁䙁䅳兔䩂䙁䄸睑療䝁䄰䅣桂䝁䄴入時䕁䅳党㕂䙁䅍䅤桂䡁䅑督時䡁䅙免瑁䕁䅍睢睂䡁䅫杌㑂䝁䅷督瑂䙁䄰睑桂䡁䅁兡あ䝁䅅䅢時䙁䅍䅤祂䡁䅕睙あ䡁䅕杣求䙁䄸睕ㅂ䝁䄰兢桂䡁䅉入湁䍁䅅䅊䑂䍁䅑免穁䑁䅯䅊䑂䍁䅑免ㅁ䑁䅁䅁䍃兂䅁杈䅁䕁䅍兤祂䡁䅉党畂䡁䅑䅉䑂䝁䄸兤睂䝁䄸杢䅁䩁䝉䅁䭂䅁䅁睑桂䡁䅍䅡杁䕁䅙杣療䝁䄰䅉偂䡁䅁党祂䝁䅅䅤灂䝁䄸杢穂䍁䅷䅉祁䍁䅁兗祂䍁䄴䅉䑂䕁䅅睒卂䍁䅁䅋汁䍁䅫䅁捂杁䅁杨䅁䍁䅣睗乂䕁䅫睘䑂䝁䄸兢睂䝁䅅杢㕂䙁䄸睓求䡁䅫睕あ䝁䅅䅤穂䙁䄸杤硁䍁䄰睑療䡁䅁入畁䡁䅧䅢穂䝁䄰兘䑂䝁䅅䅣灂䡁䅑兙獂䙁䄸睕あ䡁䅉兤橂䡁䅑兤祂䝁䅕睘呂䡁䅕兢瑂䝁䅅杣㕂䍁䅣光歁䕁䅍䅊ぁ䅁䅁䅧䅕䝁䅑䅁扂䙁䅍䅕䡂䙁䄸睑療䝁䄰䅣桂䝁䄴入時䕁䅳党㕂䙁䅍䅤桂䡁䅑督時䡁䅙免畁䡁䅧䅢穂䝁䄰兘䑂䝁䅅督潂䙁䄸杒獂䝁䄸睤桁䍁䅑兒歁䑁䅙杏歁䙁䅁䅊㉁䅁䅁儷䅕䡁䅯䅁湁䙁䅳睕兂䕁䅣睘䑂䝁䄸兢睂䝁䅅杢㕂䙁䄸睓求䡁䅫睕あ䝁䅅䅤穂䙁䄸杤祁䍁䅁免畁䡁䅧䅢穂䝁䄰兘䑂䝁䅅䅣灂䡁䅑兙獂䝁䅫来桂䡁䅑兡療䝁䄴睊桁䍁䅑兒歁䑁䅑睎㙁䍁䅑杓歁䑁䅑睎䅁佁䜴䅁䕂䅁䅁兒桂䡁䅉杢灂䝁䄴睚穂䍁䅁杚祂䝁䄸兢杁䕁䅍睢畂䡁䅑䅉偂䡁䅁督杁䕁䄰兙祂䝁䅣兡畂䍁䅁䅋汁䍁䅫䅁䭁杁䅁杖䅁䙁䅑睢あ䝁䅅䅢杁䕁䅍兙睂䝁䅫䅤桂䝁䅷䅉䵂䝁䄸督穂䍁䅁睑桂䡁䅉杣㕂䝁䅙睢祂䡁䅣兙祂䝁䅑䅉潁䙁䅉党睂䝁䄸杣あ䝁䅕䅚灁䅁䅁眷䅉䩁䅑䅁湁䙁䅳兔䩂䙁䄸睑療䝁䄰䅣桂䝁䄴入時䕁䅳党㕂䙁䅍䅤桂䡁䅑督時䡁䅙免瑁䕁䅍睢睂䡁䅫杌㑂䝁䅷督瑂䙁䄰睑桂䡁䅁兡あ䝁䅅䅢時䙁䅍䅤祂䡁䅕睙あ䡁䅕杣求䙁䄸睕ㅂ䝁䄰兢桂䡁䅉入湁䍁䅅䅊䕂䍁䅑杍㍁䑁䅯䅊䕂䍁䅑睎㑁䅁䅁杨䅕䍁䅁䅁呂䙁䅁睘䝂䕁䅫睕䑂䕁䅅䅔時䙁䅅睘䙂䙁䅍䅖䅁䱁䥫䅁元䅁䅁睊扂䕁䄰兓時䕁䅍睢瑂䡁䅁兙畂䡁䅫睘䱂䝁䅕入呂䡁䅑兙あ䡁䅍睘㉂䑁䅅兌䑂䝁䄸䅣㕂䍁䄴䅥獂䡁䅍兢摂䕁䅍兙睂䝁䅫䅤桂䝁䅷睘呂䡁䅑杣ㅂ䝁䅍䅤ㅂ䡁䅉党時䙁䅍兤瑂䝁䄰兙祂䡁䅫睊桁䍁䅑兒歁䑁䅑杏歁䕁䄸䅊ぁ䅁䅁內䅕䉁䅯䅁㡁䑁䄴䅍㕁䍁䄸免㍁䍁䄸杍睁䑁䅉䅍䅁䭁䙙䅁元䅁䅁睊扂䕁䄰兓時䕁䅍睢瑂䡁䅁兙畂䡁䅫睘䱂䝁䅕入呂䡁䅑兙あ䡁䅍睘㉂䑁䅅兌䑂䝁䄸䅣㕂䍁䄴䅥獂䡁䅍兢摂䕁䅍兙睂䝁䅫䅤桂䝁䅷睘呂䡁䅑杣ㅂ䝁䅍䅤ㅂ䡁䅉党時䙁䅍兤瑂䝁䄰兙祂䡁䅫睊桁䍁䅑兒歁䑁䅕杏歁䕁䄸䅊ㅁ䅁䅁睧䅕䩁䅁䅁湁䙁䅳兔䩂䙁䄸睑療䝁䄰䅣桂䝁䄴入時䕁䅳党㕂䙁䅍䅤桂䡁䅑督時䡁䅙免瑁䕁䅍睢睂䡁䅫杌㑂䝁䅷督瑂䙁䄰睑桂䡁䅁兡あ䝁䅅䅢時䙁䅍䅤祂䡁䅕睙あ䡁䅕杣求䙁䄸睕ㅂ䝁䄰兢桂䡁䅉入湁䍁䅅䅊䝂䍁䅑䅏㙁䍁䅑䅕歁䑁䅧䅁䙃兂䅁䅫䅁䍁䅣睗乂䕁䅫睘䑂䝁䄸兢睂䝁䅅杢㕂䙁䄸睓求䡁䅫睕あ䝁䅅䅤穂䙁䄸杤硁䍁䄰睑療䡁䅁入畁䡁䅧䅢穂䝁䄰兘䑂䝁䅅䅣灂䡁䅑兙獂䙁䄸睕あ䡁䅉兤橂䡁䅑兤祂䝁䅕睘呂䡁䅕兢瑂䝁䅅杣㕂䍁䅣光歁䕁䅙䅊㕁䑁䅯䅊兂䍁䅑兏䅁䥁䙣䅁䅂䅁䅁兓剂䙁䄸睑偂䕁䄰兔偂䕁䄴睘䙂䙁䅅兖䩂䙁䅑兗時䑁䅅兗卂䙁䄸兑佂䕁䄴睘䡂䙁䅉睔塂䙁䅑䅓䅁䍁䌸䅁獁䅁䅁兓剂䙁䄸睕卂䙁䄸睕噂䕁䅉睘䕂䕁䅕村啂䙁䄸兒䍂䕁䅫䅖䕂䕁䅅䅁呃允䅁杖䅁䙁䅳睕兂䕁䅣睘䑂䝁䄸兢睂䝁䅅杢㕂䙁䄸睓求䡁䅫睕あ䝁䅅䅤穂䙁䄸杤祁䍁䄴䅥獂䡁䅍兢摂䙁䅍䅡求</x:t>
  </x:si>
  <x:si>
    <x:t xml:space="preserve">Short-term Borrowing Derivatives </x:t>
  </x:si>
  <x:si>
    <x:t>IQ_CURRENT_PORT_DEBT_DERIVATIVES</x:t>
  </x:si>
  <x:si>
    <x:t>Derivative Trading Asset Securities</x:t>
  </x:si>
  <x:si>
    <x:t>Imputed Oper. Lease Depreciation</x:t>
  </x:si>
  <x:si>
    <x:t>IQ_ASSETS_NETTING_OTHER_ADJUSTMENTS</x:t>
  </x:si>
  <x:si>
    <x:t>Intercompany Current Liabilities</x:t>
  </x:si>
  <x:si>
    <x:t>Stock Based Comp. Exp. Tax Effect</x:t>
  </x:si>
  <x:si>
    <x:t>Provision &amp; Write-off of Bad debts</x:t>
  </x:si>
  <x:si>
    <x:t>Noncurrent Derivative Liabilities</x:t>
  </x:si>
  <x:si>
    <x:t>Change in Trad. Asset Securities</x:t>
  </x:si>
  <x:si>
    <x:t>Stock Options Comp. Exp. Tax Effect</x:t>
  </x:si>
  <x:si>
    <x:t>Stock Options Comp. Exp., After Tax</x:t>
  </x:si>
  <x:si>
    <x:t>Total Debt, Excl. Operating Leases</x:t>
  </x:si>
  <x:si>
    <x:t>Invest. in Marketable &amp; Equity Sec.</x:t>
  </x:si>
  <x:si>
    <x:t>Restr. Stock Comp. Exp., After Tax</x:t>
  </x:si>
  <x:si>
    <x:t>Restr. Stock Comp. Exp., Before Tax</x:t>
  </x:si>
  <x:si>
    <x:t>Restr. Stock Comp. Exp. Tax Effect</x:t>
  </x:si>
  <x:si>
    <x:t>Salaries and Other Empl. Benefits</x:t>
  </x:si>
  <x:si>
    <x:t>Finance Div. Loans and Leases, ST</x:t>
  </x:si>
  <x:si>
    <x:t>Current Portion of Long Term Debt</x:t>
  </x:si>
  <x:si>
    <x:t>Gross PP&amp;E, Excl. Operating Leases</x:t>
  </x:si>
  <x:si>
    <x:t>Stock Based Comp. Exp., Before Tax</x:t>
  </x:si>
  <x:si>
    <x:t>Level 2 Assets - Observable Prices</x:t>
  </x:si>
  <x:si>
    <x:t>Finance Div. Loans and Leases, LT</x:t>
  </x:si>
  <x:si>
    <x:t>Stock Based Comp. Exp., After Tax</x:t>
  </x:si>
  <x:si>
    <x:t>Gross Property, Plant &amp; Equipment</x:t>
  </x:si>
  <x:si>
    <x:t>Finance Div. Other Non-Curr. Liab.</x:t>
  </x:si>
  <x:si>
    <x:t>Net PP&amp;E, Excl. Operating Leases</x:t>
  </x:si>
  <x:si>
    <x:t>Netting and Other Adj. to Assets</x:t>
  </x:si>
  <x:si>
    <x:t>Level 1 Liabilities - Quoted Prices</x:t>
  </x:si>
  <x:si>
    <x:t>IQ_RUA_OPERATING_LEASE_ACCUM_DEP</x:t>
  </x:si>
  <x:si>
    <x:t>IQ_FAIR_VALUE_CHANGE_INCL_EARNINGS</x:t>
  </x:si>
  <x:si>
    <x:t>IQ_DISTRIBUTABLE_CASH_STANDARDIZED</x:t>
  </x:si>
  <x:si>
    <x:t>IQ_DISTRIBUTABLE_CASH_SHARES_BASIC</x:t>
  </x:si>
  <x:si>
    <x:t>Gain/(Loss) on Sale Of Assets (Rev)</x:t>
  </x:si>
  <x:si>
    <x:t>Impair. of Oil, Gas &amp; Mineral Prop.</x:t>
  </x:si>
  <x:si>
    <x:t>Other Operating Expense/(Income)</x:t>
  </x:si>
  <x:si>
    <x:t>IQ_SHARES_PER_DEPOSITARY_RECEIPT</x:t>
  </x:si>
  <x:si>
    <x:t>General and Administrative Expense</x:t>
  </x:si>
  <x:si>
    <x:t>Interest And Invest. Income (Rev)</x:t>
  </x:si>
  <x:si>
    <x:t>As Reported Data, [No Calculation]</x:t>
  </x:si>
  <x:si>
    <x:t>Imputed Oper. Lease Interest Exp.</x:t>
  </x:si>
  <x:si>
    <x:t>Annualized Distributions per Unit</x:t>
  </x:si>
  <x:si>
    <x:t>Total Revenues, 1 Year Growth (%)</x:t>
  </x:si>
  <x:si>
    <x:t>Interest Expense - Finance Division</x:t>
  </x:si>
  <x:si>
    <x:t>Amort. of Goodwill and Intangibles</x:t>
  </x:si>
  <x:si>
    <x:t>Gain/(Loss) on Sale Of Invest.(Rev)</x:t>
  </x:si>
  <x:si>
    <x:t>Extraord. Item &amp; Account. Change</x:t>
  </x:si>
  <x:si>
    <x:t>Merger &amp; Related Restruct. Charges</x:t>
  </x:si>
  <x:si>
    <x:t>IQ_PENSION_DISC_RATE_MAX_FOREIGN</x:t>
  </x:si>
  <x:si>
    <x:t>IQ_PENSION_CI_TRANSITION_FOREIGN</x:t>
  </x:si>
  <x:si>
    <x:t xml:space="preserve">Unfunded Additional Minimum Liab. </x:t>
  </x:si>
  <x:si>
    <x:t>IQ_OPEB_OBLIGATION_PROJECTED_DOM</x:t>
  </x:si>
  <x:si>
    <x:t>IQ_PENSION_OBLIGATION_ROA_FOREIGN</x:t>
  </x:si>
  <x:si>
    <x:t>IQ_PENSION_OBLIGATION_PAID_FOREIGN</x:t>
  </x:si>
  <x:si>
    <x:t>IQ_PENSION_BREAKDOWN_PCT_EQ_FOREIGN</x:t>
  </x:si>
  <x:si>
    <x:t>IQ_OPEB_ASSETS_OTHER_PLAN_ADJ_DOM</x:t>
  </x:si>
  <x:si>
    <x:t>IQ_PENSION_EST_BENEFIT_AFTER5_DOM</x:t>
  </x:si>
  <x:si>
    <x:t>IQ_PENSION_CI_PRIOR_SERVICE_FOREIGN</x:t>
  </x:si>
  <x:si>
    <x:t xml:space="preserve">Est. Future Benefits Paid - 4th Yr </x:t>
  </x:si>
  <x:si>
    <x:t>IQ_OPEB_SUPPLE_PLANS_TOTAL_COST_DOM</x:t>
  </x:si>
  <x:si>
    <x:t>IQ_PENSION_OBLIGATION_BEG_FOREIGN</x:t>
  </x:si>
  <x:si>
    <x:t>IQ_PENSION_OBLIGATION_ACQ_FOREIGN</x:t>
  </x:si>
  <x:si>
    <x:t>IQ_OPEB_RATE_COMP_INCREASE_MAX_DOM</x:t>
  </x:si>
  <x:si>
    <x:t>IQ_OPEB_ASSETS_ACTUAL_RETURN_DOM</x:t>
  </x:si>
  <x:si>
    <x:t xml:space="preserve">Est. Future Benefits Paid - 5th Yr </x:t>
  </x:si>
  <x:si>
    <x:t>IQ_PENSION_ASSETS_CURTAIL_FOREIGN</x:t>
  </x:si>
  <x:si>
    <x:t>IQ_OPEB_RATE_COMP_INCREASE_MIN_DOM</x:t>
  </x:si>
  <x:si>
    <x:t>IQ_PENSION_BREAKDOWN_PCT_FI_FOREIGN</x:t>
  </x:si>
  <x:si>
    <x:t>IQ_PENSION_ASSETS_FX_ADJ_FOREIGN</x:t>
  </x:si>
  <x:si>
    <x:t>IQ_PENSION_INTEREST_COST_FOREIGN</x:t>
  </x:si>
  <x:si>
    <x:t>IQ_PENSION_CI_NET_AMT_RECOG_FOREIGN</x:t>
  </x:si>
  <x:si>
    <x:t xml:space="preserve">Quarterly Employer Contribution </x:t>
  </x:si>
  <x:si>
    <x:t>IQ_PENSION_TRANSITION_NEXT_FOREIGN</x:t>
  </x:si>
  <x:si>
    <x:t xml:space="preserve">Unrecog. Prior Plan Service Cost </x:t>
  </x:si>
  <x:si>
    <x:t xml:space="preserve">Est. Future Benefits Paid - 3rd Yr </x:t>
  </x:si>
  <x:si>
    <x:t>IQ_OPEB_OBLIGATION_ACCUMULATED_DOM</x:t>
  </x:si>
  <x:si>
    <x:t>IQ_OPEB_ASSETS_BENEFITS_PAID_DOM</x:t>
  </x:si>
  <x:si>
    <x:t>IQ_PENSION_DISC_RATE_MIN_FOREIGN</x:t>
  </x:si>
  <x:si>
    <x:t>IQ_PENSION_BREAKDOWN_PCT_RE_FOREIGN</x:t>
  </x:si>
  <x:si>
    <x:t>IQ_PENSION_BREAKDOWN_OTHER_FOREIGN</x:t>
  </x:si>
  <x:si>
    <x:t>IQ_PENSION_UNRECOG_PRIOR_FOREIGN</x:t>
  </x:si>
  <x:si>
    <x:t>IQ_OPEB_BREAKDOWN_PCT_RE_FOREIGN</x:t>
  </x:si>
  <x:si>
    <x:t>IQ_OPEB_OBLIGATION_FX_ADJ_FOREIGN</x:t>
  </x:si>
  <x:si>
    <x:t>IQ_OPEB_BREAKDOWN_PCT_EQ_FOREIGN</x:t>
  </x:si>
  <x:si>
    <x:t>IQ_OPEB_CI_PRIOR_SERVICE_FOREIGN</x:t>
  </x:si>
  <x:si>
    <x:t>IQ_OPEB_EXP_RATE_RETURN_MAX_FOREIGN</x:t>
  </x:si>
  <x:si>
    <x:t>IQ_PENSION_EST_BENEFIT_4YR_FOREIGN</x:t>
  </x:si>
  <x:si>
    <x:t>IQ_OPEB_EXP_RATE_RETURN_MIN_FOREIGN</x:t>
  </x:si>
  <x:si>
    <x:t>IQ_PENSION_EST_BENEFIT_3YR_FOREIGN</x:t>
  </x:si>
  <x:si>
    <x:t>IQ_PENSION_NET_ASSET_RECOG_FOREIGN</x:t>
  </x:si>
  <x:si>
    <x:t>IQ_PENSION_EST_BENEFIT_2YR_FOREIGN</x:t>
  </x:si>
  <x:si>
    <x:t>IQ_PENSION_EST_BENEFIT_5YR_FOREIGN</x:t>
  </x:si>
  <x:si>
    <x:t>IQ_PENSION_ACCUM_OTHER_CI_FOREIGN</x:t>
  </x:si>
  <x:si>
    <x:t>IQ_OPEB_OBLIGATION_CURTAIL_FOREIGN</x:t>
  </x:si>
  <x:si>
    <x:t>IQ_PENSION_AMT_RECOG_NEXT_FOREIGN</x:t>
  </x:si>
  <x:si>
    <x:t>IQ_OPEB_BREAKDOWN_PCT_OTHER_FOREIGN</x:t>
  </x:si>
  <x:si>
    <x:t>IQ_OPEB_BREAKDOWN_PCT_FI_FOREIGN</x:t>
  </x:si>
  <x:si>
    <x:t>IQ_PENSION_EST_BENEFIT_1YR_FOREIGN</x:t>
  </x:si>
  <x:si>
    <x:t>-</x:t>
  </x:si>
  <x:si>
    <x:t>䅤桂䡁䅑督時䡁䅙免時䍁䄴䅥獂䡁䅍兢摂䕁䅍兙睂䝁䅫䅤桂䝁䅷睘呂䡁䅑杣ㅂ䝁䅍䅤ㅂ䡁䅉党時䙁䅍兤瑂䝁䄰兙祂䡁䅫光歁䕁䅕䅊ㅁ䑁䅯䅊偂䍁䅑兎䅁偁䕑䅁畂䅁䅁睑桂䡁䅁兡あ䝁䅅䅢杁䕁䅷睢穂䡁䅍䅉䑂䝁䅅杣祂䡁䅫杚療䡁䅉睤桂䡁䅉䅚獁䍁䅁睑ㅂ䡁䅉杣求䝁䄴䅤杁䙁䅫党桂䡁䅉䅉牁䍁䅁䅎杁䍁䅧杕求䡁䅁睢祂䡁䅑党歂䍁䅫䅁汄杁䅁杋䅁䙁䅍䅕時䙁䅑兒坂䙁䄸䅖偂䙁䅑兑䵂䙁䄸杕䙂䙁䅙睘䝂䙁䅣䅒䅁䙁䝁䅁獁䅁䅁兓剂䙁䄸兒兂䙁䅍睘穁䙁䅫杕時䕁䅅杔佂䙁䄸睒卂䕁䄸睖啂䕁䅧䅁穂杁䅁杓䅁䕁䅍兙穂䝁䅧䅉䝂䡁䅉睢瑂䍁䅁睔睂䝁䅕杣桂䡁䅑兡療䝁䄴督獁䍁䅁兎杁䙁䅫杣畁䍁䅁睑䉂䕁䅣杕杁䍁䅧兊灁䅁䅁杰䅉䡁䅯䅁䑂䝁䅧兙畂䝁䅣党穂䍁䅁兡畂䍁䅁兖畂䡁䅉党橂䝁䄸睚畁䍁䅁䅖桂䡁䅧䅉䍂䝁䅕杢求䝁䅙兡あ䍁䅁睤癁䝁䅫杢杁䑁䅅䅉婂䝁䅕兙祂䍁䅁兌杁䕁䄰兡畂䍁䅁䅋卂䝁䅕䅣療䡁䅉䅤求䝁䅑克䅁䉁䑣䅁㡁䅁䅁睑療䝁䄰兢療䝁䄴䅉䙂䡁䅅兤灂䡁䅑入獁䍁䅁兎杁䙁䅫杣畁䍁䅁睑䉂䕁䅣杕杁䍁䅧兊灁䅁䅁䅰䅉䑁䅯䅁䑂䝁䄸兢睂䝁䄸杢求䝁䄴䅤杁䕁䅅兢療䡁䅕杢あ䍁䅁睔ㅂ䡁䅑督あ䝁䅅杢歂䝁䅫杢湂䅁䅁睪䅙䝁䅙䅁扂䕁䅳党㕂䙁䅍䅤桂䡁䅑督時䡁䅑党穂䡁䅑杚灂䝁䅷党畁䡁䅧䅢穂䝁䄰兘䑂䝁䅅䅣灂䡁䅑兙獂䝁䅫来桂䡁䅑兡療䝁䄴光歁䕁䅙䅊ㅁ䑁䅅杏歁䕁䅳䅊ㅁ䑁䅅䅁慄䅁䅁杊䅁䕁䅍睢瑂䡁䅁睢畂䝁䅕杢あ䍁䅁睑ㅂ䡁䅉杣求䝁䄴睙㕂䅁䅁兰䅙䉁䅷䅁䩂䙁䅅睘啂䕁䅕杖時䕁䅕村䩂䙁䅑䅒䉂䅁䅁杚䅙䥁䄴䅁湁䙁䅳睑療䡁䅁入杁䝁䄸杚杁䙁䅍䅕䡂䙁䄸睑療䝁䄰䅣桂䝁䄴入時䕁䅳党㕂䙁䅍䅤桂䡁䅑督時䡁䅙杍時䝁䄴党㍂䍁䄴䅥獂䡁䅍兢摂䕁䅉兙獂䝁䅅杢橂䝁䅕睘呂䝁䅧党求䡁䅑睊桁䍁䅑睑歁䑁䅅免㙁䍁䅑睑歁䑁䅉䅍ぁ䅁䅁䅴䅣䙁䅙䅁䑂䝁䄸杢あ䡁䅉兙橂䡁䅑兤桂䝁䅷䅉偂䝁䅉䅢灂䝁䅣兙あ䝁䅫睢畂䡁䅍䅉䕂䡁䅕党杁䍁䅳䅉祁䍁䅁䅋卂䝁䅕䅣療䡁䅉䅤求䝁䅑克䅁乁䉙䅁畁䅁䅁兓剂䙁䄸睑䉂䕁䅷睑噂䕁䅷兑啂䕁䅫睔佂䙁䄸䅖婂䙁䅁兒時䕁䅉睕䅁䍁䑷䅁浂䅁䅁睑療䝁䄴䅤祂䝁䅅睙あ䡁䅕兙獂䍁䅁睔楂䝁䅷兡湂䝁䅅䅤灂䝁䄸杢穂䍁䅁䅒ㅂ䝁䅕䅌杁䕁䄴党㑂䡁䅑䅉ㅁ䍁䅁兗祂䡁䅍䅉潁䙁䅉党睂䝁䄸杣あ䝁䅕䅚灁䅁䅁朳䅅䕁䅉䅁䕂䝁䅕䅣祂䝁䅕睙灂䝁䅅䅤灂䝁䄸杢杁䍁䅙䅉䉂䝁䄰睢祂䡁䅑杌杁䍁䅧杕求䡁䅁睢祂䡁䅑党歂䍁䅫䅁湃䅁䅁䅡䅁䙁䅳兔䩂䙁䄸睓求䡁䅫睕あ䝁䅅䅤穂䙁䄸杤硁䍁䄴䅥獂䡁䅍兢摂䕁䅍兙睂䝁䅫䅤桂䝁䅷睘呂䡁䅑杣ㅂ䝁䅍䅤ㅂ䡁䅉党時䙁䅍兤瑂䝁䄰兙祂䡁䅫光歁䕁䅍䅊ぁ䅁䅁共䅍䑁䅉䅁䩂䙁䅅睘呂䙁䅕村時䕁䅑兒䍂䙁䅑睘䙂䕁䅉兓啂䕁䅑兑時䕁䅍兑兂䕁䅕䅗䅁䩁䉣䅁歁䅁䅁兓剂䙁䄸睔啂䕁䅧兒卂䙁䄸䅒䙂䕁䅉䅖時䙁䅁睑啂䅁䅁䄸䅁䥁䅑䅁湁䙁䅳睑療䡁䅁入杁䝁䄸杚杁䙁䅍䅕䡂䙁䄸睑療䝁䄰䅣桂䝁䄴入時䕁䅳党㕂䙁䅍䅤桂䡁䅑督時䡁䅙杍時䝁䄴党㍂䍁䄴䅥獂䡁䅍兢摂䕁䅳党㕂䙁䄸睕あ䝁䅅䅤穂䍁䅣光歁䕁䄰䅊祁䑁䅙杏歁䕁䄸䅊祁䑁䅙䅁瑁睂䅁䅗䅁䕁䅑兡獂䡁䅕䅤求䝁䅑䅉䙂䙁䅁睕杁䕁䅉党浂䝁䄸杣求䍁䅁兒㑂䡁䅑杣桂䍁䅷䅉硁䍁䅁兗求䝁䅅杣杁䕁䅣杣療䡁䅣䅤潂䍁䅁䅋汁䍁䅫䅁歂䅁䅁䅔䅁䕁䄴睢祂䝁䄰兙獂䝁䅫来求䝁䅑䅉佂䝁䅕䅤杁䕁䅫杢橂䝁䄸兢求䍁䅷䅉穁䍁䅁兗祂䍁䄴䅉䑂䕁䅅睒卂䍁䅁䅋汁䍁䅫䅁歂杁䅁䅈䅁䕁䅫兕時䕁䅍䅔時䕁䅑兖䙂䙁䄸睑婂䑁䅉䅁瑃允䅁杕䅁䕁䅑兡獂䡁䅕䅤求䝁䅑䅉䙂䙁䅁睕杁䕁䅉党浂䝁䄸杣求䍁䅁兒㑂䡁䅑杣桂䍁䅷䅉祁䍁䅁兗祂䍁䄴䅉䑂䕁䅅睒卂䍁䅁䅋汁䍁䅫䅁啂杁䅁䅔䅁䕁䄴睢祂䝁䄰兙獂䝁䅫来求䝁䅑䅉佂䝁䅕䅤杁䕁䅫杢橂䝁䄸兢求䍁䅷䅉祁䍁䅁兗祂䍁䄴䅉䑂䕁䅅睒卂䍁䅁䅋汁䍁䅫䅁䍂杁䅁杕䅁䕁䅑兡獂䡁䅕䅤求䝁䅑䅉䙂䙁䅁睕杁䕁䅉党浂䝁䄸杣求䍁䅁兒㑂䡁䅑杣桂䍁䅷䅉穁䍁䅁兗祂䍁䄴䅉䑂䕁䅅睒卂䍁䅁䅋汁䍁䅫䅁あ杁䅁杓䅁䕁䅑兡㉂䝁䅫䅚求䝁䄴䅚杁䙁䅁党祂䍁䅁睕潂䝁䅅杣求䍁䅷䅉硁䍁䅁兗祂䍁䄴䅉䡂䡁䅉睢㍂䡁䅑䅡杁䍁䅧兊灁䅁䅁䅏䅉䑁䅷䅁偂䡁䅁䅤灂䝁䄸杢穂䑁䅯䅉呂䡁䅑兙あ䝁䅫督あ䝁䅫睙㥁䕁䅧兓䡂䕁䅧䅌佂䕁䅅児佂䕁䅅䅁湂杂䅁䅓䅁䕁䅑兡㉂䝁䅫䅚求䝁䄴䅚杁䙁䅁党祂䍁䅁睕潂䝁䅅杣求䍁䅷䅉祁䍁䅁兗求䝁䅅杣杁䕁䅍兑䡂䙁䅉䅉潁䍁䅕克䅁䝁䍁䅁䝂䅁䅁䅒灂䡁䅙兡歂䝁䅕杢歂䍁䅁䅕求䡁䅉䅉呂䝁䅧兙祂䝁䅕䅌杁䑁䅕䅉婂䡁䅉杌杁䕁䅍兑䡂䙁䅉䅉潁䍁䅕克䅁䭁䌴䅁畁䅁䅁兒䍂䕁䅫䅖獁䍁䅁免杁䙁䅫杣畁䍁䅁睒祂䝁䄸睤あ䝁䅧䅉潁䍁䅕克䅁䍁䍙䅁坂䅁䅁睗䱂䝁䅕入呂䡁䅑兙あ䡁䅍睘あ䝁䅕督あ䝁䅙兡獂䝁䅕杌㑂䝁䅷督㑂䙁䄰睕潂䝁䅕党あ䑁䅅光歁䕁䅕䅊祁䑁䅅杏歁䕁䅫䅊祁䑁䅅䅁䕂䅁䅁杣䅁䙁䅳睕兂䕁䅣睘䑂䝁䄸兢睂䝁䅅杢㕂䙁䄸睓求䡁䅫睕あ䝁䅅䅤穂䙁䄸杤硁䍁䄴䅥獂䡁䅍兢摂䕁䅍兙睂䝁䅫䅤桂䝁䅷兡㙂䝁䅅䅤灂䝁䄸杢桁䍁䅑兒歁䑁䅑䅏㙁䍁䅑杓歁䑁䅑䅏䅁偁䙳䅁㑂䅁䅁睊扂䕁䅍睢睂䡁䅫䅉療䝁䅙䅉呂䙁䅁睒時䕁䅍睢瑂䡁䅁兙畂䡁䅫睘䱂䝁䅕入呂䡁䅑兙あ䡁䅍睘㉂䑁䅉睘畂䝁䅕睤畁䡁䅧䅢穂䝁䄰兘䱂䝁䅕入時䙁䅍䅤桂䡁䅑督湁䍁䅅䅊啂䍁䅑兎ㅁ䅁䅁八䅣䍁䅯䅁䙂䕁䅉兓啂䍁䅷䅉祁䍁䅁兗祂䍁䄴䅉䑂䕁䅅睒卂䍁䅁䅋汁䍁䅫䅁兂杁䅁杋䅁䕁䅕村䩂䙁䅑䅌杁䑁䅍䅉婂䡁䅉杌杁䕁䅍兑䡂䙁䅉䅉潁䍁䅕克䅁䡁䍙䅁楁䅁䅁兓剂䙁䄸睖啂䕁䅑睘䉂䙁䅙睒時䕁䅫杕時䕁䅍兗䅁佁䉫䅁睁䅁䅁兒䍂䕁䅫䅖䉂䍁䅷䅉硁䍁䅁兗祂䍁䄴䅉䡂䡁䅉睢㍂䡁䅑䅡杁䍁䅧兊灁䅁䅁杆䅉䍁䅷䅁䩂䙁䅅睘啂䕁䅅䅗時䕁䅉兒佂䕁䅕杒䩂䙁䅑睘䑂䕁䅙睘祁䙁䅫杕䅁偁䍑䅁㑂䅁䅁睗呂䙁䅁睒時䕁䅍睢瑂䡁䅁兙畂䡁䅫睘䱂䝁䅕入呂䡁䅑兙あ䡁䅍睘㉂䑁䅅杌㑂䝁䅷督瑂䙁䄰兓畂䝁䅍睢瑂䝁䅕睘呂䡁䅑兙あ䝁䅕兢求䝁䄴䅤桁䍁䅑睑歁䑁䅅免㙁䍁䅑睑歁䑁䅅睎ㅁ䅁䅁朵䅕䕁䅉䅁䩂䙁䅅睘䑂䕁䄸杔啂䙁䅉兑䑂䙁䅑睘偂䕁䅉䅔䩂䕁䅣兑啂䕁䅫睔佂䙁䄸杔䙂䙁䅧䅖時䕁䅙兓坂䕁䅕䅁摄允䅁䅌䅁䕁䅕村䩂䙁䅑兑獁䍁䅁杍杁䙁䅫杣畁䍁䅁睑䉂䕁䅣杕杁䍁䅧兊灁䅁䅁杔䅉䥁䅑䅁湁䙁䅳睑療䡁䅁入杁䝁䄸杚杁䙁䅍䅕䡂䙁䄸睑療䝁䄰䅣桂䝁䄴入時䕁䅳党㕂䙁䅍䅤桂䡁䅑督時䡁䅙杍時䝁䄴党㍂䍁䄴䅥獂䡁䅍兢摂䕁䅳党㕂䙁䄸睕あ䝁䅅䅤穂䍁䅣光歁䕁䄰䅊祁䑁䅕杏歁䕁䄸䅊祁䑁䅕䅁牁睂䅁䅌䅁䕁䅕村䩂䙁䅑兑獁䍁䅁睍杁䙁䅫杣畁䍁䅁睑䉂䕁䅣杕杁䍁䅧兊灁䅁䅁杣䅉䍁䅷䅁䙂䕁䅉兓啂䕁䅅䅌杁䑁䅕䅉婂䡁䅉杌杁䕁䅍兑䡂䙁䅉䅉潁䍁䅕克䅁䩁䍉䅁㑁䅁䅁杔求䡁䅑䅉䕂䝁䅕杙あ䍁䄸䅋䙂䕁䅉兓啂䕁䅑兑瑁䕁䅍兑兂䕁䅕䅗灁䍁䅁䅋㑂䍁䅫䅁䥃允䅁䅈䅁䕁䅕村䩂䙁䅑䅒䉂䍁䅁䅋歁䑁䅁䅍睁䍁䅫䅁灂䅁䅁䅊䅁䕁䅕村䩂䙁䅑䅒䉂䍁䅁䅋卂䝁䅕䅣療䡁䅉䅤求䝁䅑克䅁䅁䅯䅁歁䅁䅁兒䍂䕁䅫䅖䕂䕁䅅䅉乂䝁䅅杣湂䝁䅫杢杁䍁䅧兊灁䅁䅁杁䅉䑁䅉䅁䙂䕁䅉兓啂䕁䅑兑獁䍁䅁免杁䙁䅫杣畁䍁䅁睒祂䝁䄸睤あ䝁䅧䅉潁䍁䅕克䅁䍁䍑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䩂䍁䅑䅎ぁ䅁䅁杧䅣䑁䅉䅁䙂䕁䅉兓啂䕁䅑兑獁䍁䅁杍杁䙁䅫党桂䡁䅉督杁䕁䅍兑䡂䙁䅉䅉潁䍁䅕克䅁䕁䍧䅁䍂䅁䅁睕ㅂ䝁䅉杌杁䕁䅑党楂䡁䅑䅉癁䍁䅁䅋䙂䕁䅉兓啂䕁䅑兑杁䍁䄰䅉䑂䝁䅅䅣求䡁䅧克杁䍁䅧䅥灁䅁䅁䅭䅅䑁䅉䅁䙂䕁䅉兓啂䕁䅑兑獁䍁䅁睍杁䙁䅫党桂䡁䅉督杁䕁䅍兑䡂䙁䅉䅉潁䍁䅕克䅁䝁䌴䅁潂䅁䅁睗呂䙁䅁睒時䕁䅍睢瑂䡁䅁兙畂䡁䅫睘䱂䝁䅕入呂䡁䅑兙あ䡁䅍睘㉂䑁䅉杌㑂䝁䅷督瑂䙁䄰兓畂䝁䅍睢瑂䝁䅕睘呂䡁䅑兙あ䝁䅕兢求䝁䄴䅤桁䍁䅑睑歁䑁䅙䅁楄睂䅁杍䅁䕁䅕村䩂䙁䅑䅒䉂䍁䅷䅉ㅁ䍁䅁兗求䝁䅅杣穂䍁䅁睑䉂䕁䅣杕杁䍁䅧兊灁䅁䅁䅫䅉䝁䅉䅁䙂䝁䅅杣畂䝁䅫杢湂䡁䅍䅉䝂䡁䅉睢瑂䍁䅁睑療䝁䄴䅤畁䍁䅁睔睂䝁䅕杣桂䡁䅑兡療䝁䄴督獁䍁䅁免杁䙁䅫杣畁䍁䅁睒祂䝁䄸睤あ䝁䅧䅉潁䍁䅕克䅁䍁䍉䅁敂䅁䅁兒桂䡁䅉杢灂䝁䄴睚穂䍁䅁杒祂䝁䄸兢杁䕁䅍睢畂䡁䅑杌杁䕁䄸䅣求䡁䅉兙あ䝁䅫睢畂䡁䅍䅌杁䑁䅉䅉婂䡁䅉杌杁䕁䅍兑䡂䙁䅉䅉潁䍁䅕克䅁䕁䍙䅁敂䅁䅁兒桂䡁䅉杢灂䝁䄴睚穂䍁䅁杒祂䝁䄸兢杁䕁䅍睢畂䡁䅑杌杁䕁䄸䅣求䡁䅉兙あ䝁䅫睢畂䡁䅍䅌杁䑁䅍䅉婂䡁䅉杌杁䕁䅍兑䡂䙁䅉䅉潁䍁䅕克䅁䝁䍷䅁敂䅁䅁兒桂䡁䅉杢灂䝁䄴睚穂䍁䅁杒祂䝁䄸兢杁䕁䅍睢畂䡁䅑杌杁䕁䄸䅣求䡁䅉兙あ䝁䅫睢畂䡁䅍䅌杁䑁䅕䅉婂䡁䅉杌杁䕁䅍兑䡂䙁䅉䅉潁䍁䅕克䅁䥁䌴䅁慂䅁䅁睔睂䝁䅕杣桂䡁䅑兡畂䝁䅣䅉䵂䝁䅕兙穂䝁䅕䅉䑂䝁䄸兢瑂䝁䅫䅤瑂䝁䅕杢あ䍁䅁䅒ㅂ䝁䅕䅉牁䑁䅕䅉潁䙁䅉党睂䝁䄸杣あ䝁䅕䅚灁䅁䅁䅷䅅䑁䅧䅁呂䝁䅕睙ㅂ䡁䅉兡あ䝁䅫来求䝁䅑䅉䕂䝁䅕杙あ䍁䅁䅋卂䝁䅕䅣療䡁䅉䅤求䝁䅑克䅁䕁䉅䅁獂䅁䅁䅖桂䡁䅧䅉䍂䝁䅕杢求䝁䅙兡あ䍁䅁睑桂䡁䅉杣㕂䝁䅙睢祂䡁䅣兙祂䝁䅑䅌杁䕁䅍兤祂䡁䅉党畂䡁䅑䅉婂䝁䅕兙祂䍁䅁睋杁䑁䅅䅉潁䙁䅉党睂䝁䄸杣あ䝁䅕䅚灁䅁䅁儹䅉䙁䅉䅁乂䝁䅅䅥畁䍁䅁兗求䝁䅅杣杁䝁䅙睢祂䍁䅁䅖桂䡁䅧䅉䍂䝁䅕杢求䝁䅙兡あ䍁䅁睑桂䡁䅉杣㕂䍁䅁杒療䡁䅉睤桂䡁䅉䅚杁䅁䅁允䅍䕁䅁䅁䙂䝁䅅杣畂䝁䅫杢湂䡁䅍䅉浂䡁䅉睢瑂䍁䅁睑療䝁䄴䅤畁䍁䅁睔睂䡁䅍杌杁䍁䅧䅊睁䑁䅁䅍灁䅁䅁条䅁䕁䅯䅁扂䕁䅳党㕂䙁䅍䅤桂䡁䅑督時䡁䅑党穂䡁䅑杚灂䝁䅷党畁䡁䅧䅢穂䡁䅧兘呂䝁䅧党求䡁䅑免桁䍁䅑兒歁䑁䅕睍䅁䡁䅙䅁坁䅁䅁兒畂䡁䅑兡あ䡁䅫䅉䩂䕁䅑䅉䅁䍁䅉䅁睂䅁䅁睗乂䕁䅫睘䑂䝁䄸兢睂䝁䅅杢㕂䙁䄸睓求䡁䅫睕あ䝁䅅䅤穂䙁䄸杤硁䍁䄴䅥獂䡁䅍兢摂䕁䅍兙睂䝁䅫䅤桂䝁䅷兡㙂䝁䅅䅤灂䝁䄸杢桁䍁䅑兒歁䑁䅑睎㙁䍁䅑杓歁䑁䅑睎䅁䩁䔴䅁䥁䅁䅁杒剂䑁䅁䅁㑂杂䅁䅅䅁䕁䅙兕祁䑁䅉䅍祁䑁䅕䅁㕂杂䅁䅩䅁䍁䅣睗䑂䝁䄸䅣㕂䍁䅁睢浂䍁䅁睕兂䕁䅣睘䑂䝁䄸兢睂䝁䅅杢㕂䙁䄸睓求䡁䅫睕あ䝁䅅䅤穂䙁䄸杤祁䙁䄸杢求䡁䅣杌㑂䝁䅷督瑂䙁䄰村桂䝁䅷兙畂䝁䅍党時䙁䅍䅡求䝁䅕䅤湁䍁䅅䅊䙂䍁䅑李㙁䍁䅑䅕歁䑁䅙䅁䑂睂䅁杗䅁䙁䅳兔䩂䙁䄸睑療䝁䄰䅣桂䝁䄴入時䕁䅳党㕂䙁䅍䅤桂䡁䅑督時䡁䅙免畁䡁䅧䅢穂䝁䄰兘䱂䝁䅕入時䙁䅍䅤桂䡁䅑督桁䍁䅑兒歁䑁䅕䅎䅁䥁䔸䅁䭁䅁䅁杒婂䍁䄰免䅁䉁䄸䅁浂䅁䅁睗乂䕁䅫睘䑂䝁䄸兢睂䝁䅅杢㕂䙁䄸睓求䡁䅫睕あ䝁䅅䅤穂䙁䄸杤硁䍁䄴䅥獂䡁䅍兢摂䕁䅳党㕂䙁䄸睕あ䝁䅅䅤穂䍁䅅䅊坂䍁䅑兎㍁䑁䅯䅊塂䍁䅑兎㍁䅁䅁兲䅕䅁䄴䅁䝂䙁䅫杍睁䑁䅉睍䅁䱁䝅䅁煁䅁䅁兓剂䙁䄸睔䵂䙁䄸睑偂䕁䄰兔時䕁䄴兒奂䙁䅑睘䝂䕁䅫杖䙂䅁䅁具䅅䅁䄴䅁䝂䙁䅫杍睁䑁䅉䅎䅁䡁䝣䅁煂䅁䅁睖桂䡁䅉杣桂䝁䄴䅤穂䍁䅁睑桂䝁䄴睙求䝁䅷䅢求䝁䅑䅉䕂䡁䅕杣灂䝁䄴睚杁䡁䅑䅡求䍁䅁䅕求䡁䅉兡療䝁䅑䅌杁䙁䅑睢あ䝁䅅䅢杁䍁䅧兙橂䡁䅑兤桂䝁䅷克䅁䕁䑕䅁䅂䅁䅁杒桂䝁䅫杣杁䙁䅙兙獂䡁䅕党杁䝁䄸杚杁䕁䅅督穂䝁䅕䅤穂䍁䅁䅋卂䝁䅕䅣療䡁䅉䅤求䝁䅑克䅁偁䍣䅁㉁䅁䅁杒灂䡁䅧党歂䍁䅁杕桂䡁䅑党杁䕁䅑党楂䡁䅑䅉潁䙁䅉党睂䝁䄸杣あ䝁䅕䅚灁䅁䅁睍䅅䝁䅧䅁扂䕁䄰兓時䕁䅍睢瑂䡁䅁兙畂䡁䅫睘䱂䝁䅕入呂䡁䅑兙あ䡁䅍睘㉂䑁䅅睘畁䡁䅧䅢穂䝁䄰兘䱂䝁䅕入時䙁䅍䅤桂䡁䅑督桁䍁䅑䅒歁䑁䅕睎㙁䍁䅑䅒歁䑁䅕䅏䅁䵁䕧䅁䅂䅁䅁杒灂䡁䅧党歂䍁䅁杕桂䡁䅑党杁䕁䅑党楂䡁䅑睌杁䙁䅑睢あ䝁䅅䅢杁䕁䅑党楂䡁䅑䅉潁䍁䅕克䅁䝁䈸䅁敂䅁䅁䅔求䡁䅙党獂䍁䅁免杁䕁䅷兡桂䝁䅉兡獂䝁䅫䅤灂䝁䅕督杁䍁䄰䅉剂䡁䅕睢あ䝁䅕䅚杁䙁䅁杣灂䝁䅍党穂䍁䅁䅋卂䝁䅕䅣療䡁䅉䅤求䝁䅑克䅁䉁䐸䅁獁䅁䅁杕杁䍁䅙䅉䕂䍁䅁兒㑂䡁䅁杌杁䍁䅧杕求䡁䅁睢祂䡁䅑党歂䍁䅫䅁穃䅁䅁䅏䅁䕁䅫兕時䙁䅑睔啂䕁䅅䅔時䙁䅉兒坂䙁䄸杍婂䙁䅉睘䉂䕁䄴杔時䕁䅣杕偂䙁䅣䅖䥂䅁䅁児䅉䑁䅁䅁䡂䡁䅉睢穂䡁䅍䅉兂䡁䅉睢浂䝁䅫䅤杁䍁䅧杕求䡁䅁睢祂䡁䅑党歂䍁䅫䅁䥁䅁䅁条䅁䙁䅳兔䩂䙁䄸睑療䝁䄰䅣桂䝁䄴入時䕁䅳党㕂䙁䅍䅤桂䡁䅑督時䡁䅙免畁䡁䅧䅢穂䝁䄰兘䱂䝁䅕入時䙁䅍䅤桂䡁䅑督桁䍁䅑睑歁䑁䅅䅍㍁䑁䅯䅊䑂䍁䅑免硁䑁䅅䅁坃䅂䅁杍䅁䕁䅫兕時䙁䅣䅖䕂䙁䄸兑坂䕁䅣睘䩂䙁䅉睘啂䕁䄸䅖䉂䕁䅷睘䕂䕁䅕村啂䅁䅁眵䅅䍁䅧䅁䩂䙁䅅睘呂䕁䅕睑偂䕁䄴䅒時䕁䅷兓䙂䕁䄴睘䕂䕁䅕村啂䅁䅁杒䅅䍁䅯䅁䩂䙁䅅睘䡂䙁䅁睘祁䙁䅫杕時䕁䅅杔佂䙁䄸睒卂䕁䄸睖啂䕁䅧䅁䩂杁䅁杤䅁䙁䅳兔䩂䙁䄸睑療䝁䄰䅣桂䝁䄴入時䕁䅳党㕂䙁䅍䅤桂䡁䅑督時䡁䅙免畁䡁䅧䅢穂䝁䄰兘䩂䝁䄴睙療䝁䄰党時䙁䅍䅤桂䡁䅑党瑂䝁䅕杢あ䍁䅅䅊䑂䍁䅑免硁䑁䅯䅊䑂䍁䅑免㍁䑁䅕䅁祃兂䅁杢䅁䙁䅳兔䩂䙁䄸睑療䝁䄰䅣桂䝁䄴入時䕁䅳党㕂䙁䅍䅤桂䡁䅑督時䡁䅙免畁䡁䅧䅢穂䝁䄰兘䑂䝁䅅䅣灂䡁䅑兙獂䝁䅫来桂䡁䅑兡療䝁䄴光歁䕁䅍䅊㕁䑁䅯䅊䑂䍁䅑杍ㅁ䅁䅁杅䅑䕁䅁䅁䩂䙁䅅睘呂䙁䅉睘噂䕁䄴睕䙂䕁䅍兖卂䕁䅕䅒時䕁䅉睔佂䕁䅑睕時䕁䄴睔啂䕁䅕睕時䙁䅁睑啂䅁䅁䅙䅅䑁䅁䅁䡂䡁䅉睢穂䡁䅍䅉兂䡁䅉睢浂䝁䅫䅤杁䕁䄰兙祂䝁䅣兡畂䍁䅁䅋汁䍁䅫䅁㙄允䅁杏䅁䕁䅣杣療䡁䅍督杁䙁䅁杣療䝁䅙兡あ䍁䅷䅉穁䍁䅁兗祂䍁䄴䅉䑂䕁䅅睒卂䍁䅁䅋汁䍁䅫䅁楂杁䅁杒䅁䕁䄴兤瑂䝁䅉党祂䍁䅁睢浂䍁䅁䅖祂䝁䅅䅚求䡁䅍䅉䙂䡁䅧党橂䡁䅕䅤求䝁䅑䅉潁䝁䅅睙あ䡁䅕兙獂䍁䅫䅁䵃睁䅁杔䅁䕁䅉兙畂䝁䅳䅉療䝁䅙䅉䉂䝁䄰党祂䝁䅫睙桂䍁䅁睑療䡁䅉䅣療䡁䅉兙あ䝁䅫睢畂䍁䅁䅋佂䙁䅫睕䙂䑁䅯村䉂䕁䅍克䅁䕁䥁䅁㙁䅁䅁睒祂䝁䄸督穂䍁䅁䅕祂䝁䄸杚灂䡁䅑䅌杁䑁䅕䅉婂䡁䅉杌杁䕁䅍兑䡂䙁䅉䅉潁䍁䅕克䅁䥁䍯䅁畁䅁䅁兓剂䙁䄸䅔䩂䕁䅅村䩂䕁䅷兓啂䕁䅫兒呂䙁䄸䅔䙂䙁䅙兒䵂䙁䄸睍䅁䍁䑉䅁獁䅁䅁兓剂䙁䄸䅒䑂䙁䅍睘呂䕁䅕睑噂䙁䅉兓啂䙁䅫睘䵂䕁䅕杖䙂䕁䅷䅁扃杂䅁䅘䅁䕁䅧党歂䝁䅣兡畂䝁䅣䅉桂䝁䄴䅚杁䕁䅑党祂䝁䅫杤桂䡁䅑兡㉂䝁䅕䅉䉂䝁䅑条ㅂ䡁䅍䅤瑂䝁䅕杢あ䡁䅍䅉潁䙁䅉党睂䝁䄸杣あ䝁䅕䅚灁䅁䅁睔䅅䑁䅁䅁䩂䙁䅅睘䙂䕁䅉兓啂䕁䅅睘ㅁ䙁䅫杕時䕁䅅杔佂䙁䄸睒卂䕁䄸睖啂䕁䅧䅁剃杁䅁䅙䅁䙁䅳兔䩂䙁䄸睓求䡁䅫睕あ䝁䅅䅤穂䙁䄸杤硁䍁䄴䅥獂䡁䅍兢摂䕁䅍兙睂䝁䅫䅤桂䝁䅷兡㙂䝁䅅䅤灂䝁䄸杢桁䍁䅑兒歁䑁䅑䅏㙁䍁䅑䅕歁䑁䅑䅏䅁䱁䑫䅁捁䅁䅁兓剂䙁䄸兑䍂䙁䅍睘兂䕁䅕杕䩂䕁䄸䅒䅁䡁䝙䅁㑁䅁䅁兓剂䙁䄸兑䑂䕁䅍䅖時䙁䅉兒䑂䙁䅙睘祁䙁䅫杕時䕁䅅杔佂䙁䄸睒卂䕁䄸睖啂䕁䅧䅁䑂杁䅁䅏䅁䕁䅫兕時䕁䅅睑䑂䙁䅑睘卂䕁䅕睑坂䙁䄸睍婂䙁䅉睘䉂䕁䄴杔時䕁䅣杕偂䙁䅣䅖䥂䅁䅁兡䅉䥁䅑䅁湁䙁䅳睑療䡁䅁入杁䝁䄸杚杁䙁䅍䅕䡂䙁䄸睑療䝁䄰䅣桂䝁䄴入時䕁䅳党㕂䙁䅍䅤桂䡁䅑督時䡁䅙杍時䝁䄴党㍂䍁䄴䅥獂䡁䅍兢摂䕁䅳党㕂䙁䄸睕あ䝁䅅䅤穂䍁䅣光歁䙁䅣䅊ㅁ䑁䅣杏歁䙁䅧䅊ㅁ䑁䅣䅁千睂䅁杫䅁䕁䄸䅣あ䝁䅫睢畂䡁䅍杏杁䕁䅍兤祂䡁䅉児噂䙁䅍䅒獁䍁䅁兔桂䝁䅣児䉂䝁䅍䅤ㅂ䝁䅅䅢穂䍁䅷睑療䝁䄴杤乂䝁䅕䅤潂䝁䄸䅚㥁䕁䄰兓祂䝁䅕睙療䝁䄰兢求䝁䄴䅚求䝁䅑䅌杁䕁䄴兑㥁䍁䅷䅉啂䝁䅕杣瑂䑁䄰党畂䍁䄰兖呂䅁䅁杖䅁䑁䅧䅁䩂䙁䅅睘䉂䕁䅍睑啂䙁䄸杕䙂䕁䅍杖時䑁䅕兗卂䙁䄸兑佂䕁䄴睘䡂䙁䅉睔塂䙁䅑䅓䅁䥁䍳䅁啂䅁䅁兔桂䡁䅧杌杁䙁䅫党桂䡁䅉䅉浂䝁䄸杣杁䕁䅍兙睂䝁䅫䅤桂䝁䅷䅉䵂䝁䄸督穂䍁䅁睑桂䡁䅉杣㕂䍁䅁杒療䡁䅉睤桂䡁䅉䅚杁䅁䅁眸䅉䙁䅁䅁扂䕁䅳党㕂䙁䅍䅤桂䡁䅑督時䡁䅑党穂䡁䅑杚灂䝁䅷党畁䡁䅧䅢穂䝁䄰兘䱂䝁䅕入時䙁䅍䅤桂䡁䅑督桁䍁䅑村歁䑁䅫睎䅁䩁䅁䅁⭁䅁䅁兓剂䙁䄸兑䕂䕁䅑睘啂䕁䅅䅗時䙁䅁睔呂䕁䅫䅖䩂䕁䄸杔呂䙁䄸䅕卂䕁䅫睔卂䙁䄸兗卂䙁䅍䅁䭁睁䅁杋䅁䕁䅫兕時䕁䅅睕呂䕁䅕䅖呂䙁䄸杒䉂䕁䅫杕時䙁䅙兑䵂䙁䅕兒䅁偁䍙䅁奂䅁䅁睗䱂䝁䅕入呂䡁䅑兙あ䡁䅍睘あ䝁䅕督あ䝁䅙兡獂䝁䅕杌㑂䝁䅷督瑂䙁䄰睑桂䡁䅍䅡時䕁䅙䅢療䡁䅣光歁䕁䅙䅊ぁ䑁䅯䅊剂䍁䅑䅎䅁䱁䄴䅁啃䅁䅁睊扂䕁䅍睢睂䡁䅫䅉療䝁䅙䅉呂䙁䅁睒時䕁䅍睢瑂䡁䅁兙畂䡁䅫睘䱂䝁䅕入呂䡁䅑兙あ䡁䅍睘㉂䑁䅉睘畂䝁䅕睤畁䡁䅧䅢穂䝁䄰兘䩂䝁䄴睙療䝁䄰党時䙁䅍䅤桂䡁䅑党瑂䝁䅕杢あ䍁䅣光歁䕁䅍䅊硁䑁䅅杏歁䕁䅍䅊硁䑁䅫杍䅁䱁䡁䅁歁䅁䅁兓剂䙁䄸兑呂䙁䅍兒啂䙁䅍睘䵂䕁䅕杖䙂䕁䅷睘硁䅁䅁䅇䅍䕁䅧䅁䩂䙁䅅睘䉂䙁䅍睕䙂䙁䅑睕時䕁䄴兒啂䙁䅑兓佂䕁䅣睘偂䙁䅑䅓䙂䙁䅉睘䉂䕁䅑杓噂䙁䅍䅖乂䕁䅕杔啂䙁䅍䅁捁睁䅁䅥䅁䙁䅳兔䩂䙁䄸睑療䝁䄰䅣桂䝁䄴入時䕁䅳党㕂䙁䅍䅤桂䡁䅑督時䡁䅙免畁䡁䅧䅢穂䝁䄰兘䩂䝁䄴睙療䝁䄰党時䙁䅍䅤桂䡁䅑党瑂䝁䅕杢あ䍁䅅䅊䙂䍁䅑免㍁䑁䅙杏歁䙁䅁䅊硁䑁䅣李䅁䭁䕉䅁歁䅁䅁兓剂䙁䄸兑呂䙁䅍兒啂䙁䅍睘䵂䕁䅕杖䙂䕁䅷睘祁䅁䅁朶䅉䩁䅑䅁湁䙁䅳睑療䡁䅁入杁䝁䄸杚杁䙁䅍䅕䡂䙁䄸睑療䝁䄰䅣桂䝁䄴入時䕁䅳党㕂䙁䅍䅤桂䡁䅑督時䡁䅙杍時䝁䄴党㍂䍁䄴䅥獂䡁䅍兢摂䕁䅫杢橂䝁䄸兢求䙁䄸睕あ䝁䅅䅤求䝁䄰党畂䡁䅑睊桁䍁䅑睑歁䑁䅅免㙁䍁䅑睑歁䑁䅅兏硁䅁䅁杸䅣䍁䅑䅁䩂䙁䅅睘䉂䙁䅍睕䙂䙁䅑睕時䕁䅷兒坂䕁䅕䅔時䑁䅍䅁慁睁䅁杖䅁䙁䅳睓求䡁䅫睕あ䝁䅅䅤穂䙁䄸䅤求䡁䅍䅤浂䝁䅫䅢求䍁䄴䅥獂䡁䅍兢摂䙁䅍䅡求䝁䅕䅤硁䍁䅅䅊䝂䍁䅑杍祁䑁䅯䅊䩂䍁䅑杍祁䅁䅁杩䅁䉁䅯䅁䩂䙁䅅睘䍂䕁䅅杔䱂䙁䄸䅒䙂䕁䅉䅖䅁䑁䉁䅁慂䅁䅁睗䱂䝁䅕入呂䡁䅑兙あ䡁䅍睘あ䝁䅕督あ䝁䅙兡獂䝁䅕杌㑂䝁䅷督瑂䙁䄰睑桂䡁䅁兡あ䝁䅅䅢灂䡁䅯兙あ䝁䅫睢畂䍁䅅䅊䑂䍁䅑䅎㑁䅁䅁睚䅍䅁䅯䅁䝂䙁䅅兌穁䅁䅁睵䅣䡁䅧䅁偂䡁䅁䅤灂䝁䄸杢穂䍁䅁睔ㅂ䡁䅑杌杁䝁䅅䅤杁䡁䅑䅡求䍁䅁村求䝁䅣兡畂䝁䄴兡畂䝁䅣䅉療䝁䅙䅉あ䝁䅧党杁䙁䅁党祂䝁䅫睢歂䍁䅷䅉啂䝁䄸䅤桂䝁䅷䅉潁䝁䅅睙あ䡁䅕兙獂䍁䅫䅁⽁睁䅁杉䅁䕁䅫兕時䕁䅉兑佂䕁䅳睘䕂䕁䅕村啂䙁䄸䅕䑂䙁䅑䅁奂允䅁杍䅁䕁䅫兕時䕁䅕村䩂䙁䅑䅒䉂䙁䄸睍婂䙁䅉睘䉂䕁䄴杔時䕁䅣杕偂䙁䅣䅖䥂䅁䅁兢䅉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䱂䍁䅑䅎ぁ䅁䅁杦䅧䙁䅯䅁扂䕁䄰兓時䕁䅳党㕂䙁䅍䅤桂䡁䅑督時䡁䅙免畁䡁䅧䅢穂䝁䄰兘䱂䝁䅕入時䙁䅍䅤桂䡁䅑督桁䍁䅑兒歁䑁䅅䅍穁䑁䅯䅊䡂䍁䅑免睁䑁䅍䅁乄睁䅁杪䅁䍁䅣睗䑂䝁䄸䅣㕂䍁䅁睢浂䍁䅁睕兂䕁䅣睘䑂䝁䄸兢睂䝁䅅杢㕂䙁䄸睓求䡁䅫睕あ䝁䅅䅤穂䙁䄸杤祁䙁䄸杢求䡁䅣杌㑂䝁䅷督瑂䙁䄰村桂䝁䅷兙畂䝁䅍党時䙁䅍䅡求䝁䅕䅤湁䍁䅅䅊䑂䍁䅑免硁䑁䅯䅊䑂䍁䅑杍睁䑁䅍䅁穃睂䅁䅍䅁䕁䅫兕時䕁䅍兑兂䕁䅕䅗時䑁䅍兗卂䙁䄸兑佂䕁䄴睘䡂䙁䅉睔塂䙁䅑䅓䅁䥁䍅䅁流䅁䅁兓剂䙁䄸睑䉂䙁䅁睘䵂䕁䄸睕呂䙁䄸睑䝂䙁䄸免婂䙁䅉䅁捄杁䅁杊䅁䕁䅫兕時䕁䅍兑兂䙁䄸䅔偂䙁䅍睕時䕁䅍杒時䑁䅉兗卂䅁䅁朳䅉䍁䅙䅁䩂䙁䅅睘䑂䕁䅅䅕時䕁䅷睔呂䙁䅍睘䑂䕁䅙睘穁䙁䅫杕䅁佁䍁䅁ぁ䅁䅁兓剂䙁䄸睑䉂䙁䅁睘䵂䕁䄸睕呂䙁䄸睑䝂䙁䄸兑䝂䙁䅑兒卂䙁䄸杒䩂䙁䅙兒䅁乁䍧䅁煁䅁䅁兓剂䙁䄸睔兂䙁䅑兓偂䕁䄴睕時䕁䅍兑佂䕁䅍兒䵂䕁䅷兒䕂䅁䅁䅏䅍䍁䅙䅁䩂䙁䅅睘䑂䕁䅅䅕時䕁䅷睔呂䙁䅍睘䑂䕁䅙睘ぁ䙁䅫杕䅁佁䍉䅁奂䅁䅁睗䱂䝁䅕入呂䡁䅑兙あ䡁䅍睘あ䝁䅕督あ䝁䅙兡獂䝁䅕杌㑂䝁䅷督瑂䙁䄰睑桂䡁䅁兡あ䝁䅅䅢灂䡁䅯兙あ䝁䅫睢畂䍁䅅䅊䑂䍁䅑李䅁乁䄰䅁䥃䅁䅁睊扂䕁䅍睢睂䡁䅫䅉療䝁䅙䅉呂䙁䅁睒時䕁䅍睢瑂䡁䅁兙畂䡁䅫睘䱂䝁䅕入呂䡁䅑兙あ䡁䅍睘㉂䑁䅉睘畂䝁䅕睤畁䡁䅧䅢穂䝁䄰兘䱂䝁䅕入時䙁䅍䅤桂䡁䅑督湁䍁䅅䅊䙂䍁䅑免睁䑁䅙杏歁䕁䅙䅊硁䑁䅁李䅁䩁䡷䅁流䅁䅁兓剂䙁䄸睑䉂䙁䅁睘䵂䕁䄸睕呂䙁䄸睑䝂䙁䄸兎婂䙁䅉䅁歄杁䅁䅌䅁䕁䅫兕時䕁䅍兑兂䙁䄸䅔偂䙁䅍睕時䕁䅍杒時䕁䄴睔時䕁䅕䅗兂䅁䅁䄷䅉䍁䅑䅁䩂䙁䅅睘䑂䕁䅅睕䥂䙁䄸睕啂䙁䄸兓佂䙁䅙兒呂䙁䅑䅁啁䅁䅁䅌䅁䕁䅫兕時䕁䅍杒偂䙁䄸杍婂䙁䅉睘䉂䕁䄴杔時䕁䅣杕偂䙁䅣䅖䥂䅁䅁睗䅉䡁䅉䅁扂䙁䅍䅕䡂䙁䄸睑療䝁䄰䅣桂䝁䄴入時䕁䅳党㕂䙁䅍䅤桂䡁䅑督時䡁䅙杍畁䡁䅧䅢穂䝁䄰兘䩂䝁䄴睙療䝁䄰党時䙁䅍䅤桂䡁䅑党瑂䝁䅕杢あ䍁䅅䅊䙂䍁䅑李㙁䍁䅑兕歁䑁䅙䅁橄睂䅁杓䅁䙁䅳睓求䡁䅫睕あ䝁䅅䅤穂䙁䄸䅤求䡁䅍䅤浂䝁䅫䅢求䍁䄴䅥獂䡁䅍䅥摂䙁䅍䅡求䝁䅕䅤硁䍁䅅䅊䍂䍁䅑杍穁䅁䅁兓䅁䍁䅷䅁䩂䙁䅅睘䑂䕁䅙睔時䑁䅍兗卂䙁䄸兑佂䕁䄴睘䡂䙁䅉睔塂䙁䅑䅓䅁䡁䌸䅁獁䅁䅁兓剂䙁䄸睑䝂䕁䄸睘ㅁ䙁䅫杕時䕁䅅杔佂䙁䄸睒卂䕁䄸睖啂䕁䅧䅁汃杁䅁杔䅁䕁䅫兕時䕁䅍䅓䉂䕁䄴睒䙂䙁䄸兖佂䙁䅉兒䑂䕁䄸睒時䙁䅑兑奂䙁䄸村䙂䕁䄴兒䝂䕁䅫䅖時䑁䅅睘婂䙁䅉睘乂䕁䅅䅗䅁偁䍁䅁䵂䅁䅁睗乂䕁䅫睘䱂䝁䅕入呂䡁䅑兙あ䡁䅍睘㉂䑁䅅杌㑂䝁䅷督瑂䙁䄰睓求䡁䅫睘呂䡁䅑兙あ䡁䅍光歁䕁䅉䅊硁䑁䅁杍䅁䵁䑷䅁慁䅁䅁兓剂䙁䄸睑䵂䙁䄸䅒噂䕁䅕睘䑂䙁䅫䅁灃允䅁䅈䅁䕁䅫兕時䕁䅍䅔時䕁䅑兖䙂䙁䄸睑婂䑁䅍䅁穃允䅁杖䅁䕁䄴睔䵂䍁䅁睑桂䡁䅉杣㕂䝁䅙睢祂䡁䅣兙祂䝁䅑䅌杁䕁䄴睢杁䕁䅕䅥睂䝁䅫杣桂䡁䅑兡療䝁䄴䅉潁䙁䅉党睂䝁䄸杣あ䝁䅕䅚灁䅁䅁睺䅉䙁䅙䅁扂䙁䅍䅕䡂䙁䄸睑療䝁䄰䅣桂䝁䄴入時䕁䅳党㕂䙁䅍䅤桂䡁䅑督時䡁䅙杍畁䡁䅧䅢穂䝁䄰兘呂䝁䅧党求䡁䅑免桁䍁䅑杒歁䑁䅅免䅁䩁䝍䅁潁䅁䅁兓剂䙁䄸睑䵂䙁䄸䅒噂䕁䅕睘佂䕁䅕䅗啂䙁䄸杒䩂䙁䅙兒䅁䱁䉕䅁䅂䅁䅁兓剂䙁䄸睑偂䕁䄰兔偂䕁䄴睘䙂䙁䅅兖䩂䙁䅑兗時䑁䅉兗卂䙁䄸兑佂䕁䄴睘䡂䙁䅉睔塂䙁䅑䅓䅁䙁䍫䅁歂䅁䅁睗呂䙁䅁睒時䕁䅍睢瑂䡁䅁兙畂䡁䅫睘䱂䝁䅕入呂䡁䅑兙あ䡁䅍睘㉂䑁䅉杌㑂䝁䅷督瑂䙁䄰睑桂䡁䅁兡あ䝁䅅䅢灂䡁䅯兙あ䝁䅫睢畂䍁䅅䅊䑂䍁䅑䅎䅁偁䠴䅁祁䅁䅁兓剂䙁䄸睕䙂䕁䅍睔佂䕁䅑睘䵂䕁䅫兒佂䙁䄸䅔偂䕁䅅杔呂䙁䄸䅕䑂䙁䅑䅁浂允䅁䅎䅁䕁䅫兕時䕁䅍睔佂䙁䅑杕䉂䕁䅍䅖時䕁䄸村䵂䕁䅫睒䉂䙁䅑兓偂䕁䄴睘䑂䙁䅫䅁呄允䅁䅐䅁䕁䅯杣畁䍁䅁睕ㅂ䝁䅉杌杁䕁䅑党楂䡁䅑睌杁䙁䅑睢あ䝁䅅䅢杁䕁䅑党楂䡁䅑䅉潁䍁䅕克䅁䍁䉕䅁㉁䅁䅁兓剂䙁䄸睑偂䕁䄴䅖卂䕁䅅睑啂䙁䄸睔䍂䕁䅷兓䡂䕁䅅䅖䩂䕁䄸杔時䕁䅍兗硁䅁䅁儱䅅䑁䅙䅁䩂䙁䅅睘䑂䕁䄸杔啂䙁䅉兑䑂䙁䅑睘偂䕁䅉䅔䩂䕁䅣兑啂䕁䅫睔佂䙁䄸睑婂䑁䅉䅁塄允䅁杄䅁䕁䅫兕時䙁䅉睔䙂䅁䅁眯䅅䅁䄴䅁䩂䙁䅅睘卂䕁䄸睑䅁偁䉳䅁睂䅁䅁睗乂䕁䅫睘䑂䝁䄸兢睂䝁䅅杢㕂䙁䄸睓求䡁䅫睕あ䝁䅅䅤穂䙁䄸杤硁䙁䄸杌㑂䝁䅷督瑂䙁䄰睑桂䡁䅁兡あ䝁䅅䅢灂䡁䅯兙あ䝁䅫睢畂䍁䅅䅊䑂䍁䅑兏㙁䍁䅑睑歁䑁䅉兎䅁佁䕣䅁坃䅁䅁睔睂䡁䅑兡療䝁䄴督㙁䍁䅁睑ㅂ䡁䅉杣㥁䙁䅕睕䕂䍁䅷䅉乂䝁䅅睚㥁䕁䄰兡獂䝁䅷兡療䝁䄴督獁䕁䅍睢畂䡁䅙兔求䡁䅑䅡療䝁䅑児乂䕁䅫杣求䝁䅍睢瑂䝁䄰党畂䝁䅑党歂䍁䅷䅉佂䕁䅅児瑁䍁䅷䅉啂䝁䅕杣瑂䑁䄰党畂䍁䄰兖呂䅁䅁入䅁䥁䅑䅁湁䙁䅳睑療䡁䅁入杁䝁䄸杚杁䙁䅍䅕䡂䙁䄸睑療䝁䄰䅣桂䝁䄴入時䕁䅳党㕂䙁䅍䅤桂䡁䅑督時䡁䅙杍時䝁䄴党㍂䍁䄴䅥獂䡁䅍兢摂䕁䅳党㕂䙁䄸睕あ䝁䅅䅤穂䍁䅣光歁䕁䅕䅊祁䑁䅕杏歁䕁䄰䅊祁䑁䅕䅁塄睂䅁村䅁䙁䅍䅡療䡁䅉䅤瑁䡁䅑党祂䝁䄰䅉䍂䝁䄸杣祂䝁䄸睤灂䝁䄴睚穂䍁䅁䅋卂䝁䅕䅣療䡁䅉䅤求䝁䅑克䅁䅁䈸䅁㉁䅁䅁兓剂䙁䄸睑偂䕁䄴䅖卂䕁䅅睑啂䙁䄸睔䍂䕁䅷兓䡂䕁䅅䅖䩂䕁䄸杔時䕁䅍兗ぁ䅁䅁眲䅅䉁䄴䅁䩂䙁䅅睘䑂䕁䄸杔坂䕁䅕杕啂䙁䄸䅕䑂䙁䅑䅁煁允䅁杋䅁䕁䅫兕時䕁䄴睔䵂䙁䄸睑䝂䙁䄸兑䝂䙁䅑兒卂䙁䄸杒䩂䙁䅙兒䅁䵁䍷䅁啁䅁䅁兓剂䙁䄸睑兂䙁䄸䅕䑂䙁䅑䅁畄䅁䅁杫䅁䕁䄸䅣あ䝁䅫睢畂䡁䅍杏杁䕁䅍兤祂䡁䅉児䡂䕁䅉䅕獁䍁䅁兔桂䝁䅣児䉂䝁䅍䅤ㅂ䝁䅅䅢穂䍁䅷睑療䝁䄴杤乂䝁䅕䅤潂䝁䄸䅚㥁䕁䄰兓祂䝁䅕睙療䝁䄰兢求䝁䄴䅚求䝁䅑䅌杁䕁䄴兑㥁䍁䅷䅉啂䝁䅕杣瑂䑁䄰党畂䍁䄰兖呂䅁䅁兏䅁䕁䅉䅁䩂䙁䅅睘噂䕁䄴杕䙂䕁䅍睔䡂䙁䄸䅖䉂䙁䅧睘䍂䕁䅕杔䙂䕁䅙兓啂䙁䄸睔啂䕁䅧兒卂䙁䄸兑䕂䕁䅯䅁佁睁䅁杕䅁䙁䅳睓求䡁䅫睕あ䝁䅅䅤穂䙁䄸䅤求䡁䅍䅤浂䝁䅫䅢求䍁䄴䅥獂䡁䅍䅥摂䙁䅍䅡求䝁䅕䅤祁䍁䅅䅊䝂䍁䅑睎㙁䍁䅑睒歁䑁䅣䅁獁䅁䅁䅌䅁䕁䅫兕時䕁䅑䅕呂䙁䄸兎婂䙁䅉睘䉂䕁䄴杔時䕁䅣杕偂䙁䅣䅖䥂䅁䅁兲䅉䙁䅯䅁䩂䙁䅅睘䑂䙁䅕杕卂䕁䅕杔啂䙁䄸䅔偂䕁䄴睒時䙁䅑兒卂䕁䄰睘䕂䕁䅕村啂䙁䄸兑佂䕁䅑睘䑂䕁䅅䅕䩂䙁䅑兑䵂䙁䄸䅔䙂䕁䅅睕䙂䙁䅍䅁獁允䅁杓䅁䙁䅳睓求䡁䅫睕あ䝁䅅䅤穂䙁䄸䅤求䡁䅍䅤浂䝁䅫䅢求䍁䄴䅥獂䡁䅍兢摂䙁䅍䅡求䝁䅕䅤硁䍁䅅䅊䍂䍁䅑兎祁䅁䅁杨䅁䍁䅑䅁佂䝁䅕䅤杁䕁䅫杢橂䝁䄸兢求䍁䅁䅋歁䑁䅁䅍睁䍁䅫䅁牂䅁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䅕䅊㍁䑁䅙䅁ㅂ䅃䅁䅌䅁䕁䅫兕時䕁䅕䅕呂䙁䄸兎婂䙁䅉睘䉂䕁䄴杔時䕁䅣杕偂䙁䅣䅖䥂䅁䅁六䅉䍁䅧䅁䩂䙁䅅睘䑂䙁䅕杕卂䕁䅕杔啂䙁䄸䅕偂䙁䅉䅖時䙁䅁睑啂䅁䅁杕䅅䉁䅁䅁䝂䙁䅅免祁䑁䅁杍㉁䅁䅁眲䅣䡁䅁䅁扂䕁䄰兓時䕁䅍睢瑂䡁䅁兙畂䡁䅫睘䱂䝁䅕入呂䡁䅑兙あ䡁䅍睘㉂䑁䅅杌㑂䝁䅷督瑂䙁䄰兓畂䝁䅍睢瑂䝁䅕睘呂䡁䅑兙あ䝁䅕兢求䝁䄴䅤桁䍁䅑兒歁䑁䅙杏歁䙁䅁䅊㉁䅁䅁关䅕䉁䅧䅁䩂䙁䅅睘䕂䕁䅅睘呂䙁䅕䅕兂䕁䅷䅁浃䅁䅁杈䅁䕁䅫兕時䕁䅑睑呂䙁䄸兑乂䙁䅑睘偂䙁䅕䅖䅁䥁䜰䅁坂䅁䅁睗䱂䝁䅕入呂䡁䅑兙あ䡁䅍睘あ䝁䅕督あ䝁䅙兡獂䝁䅕杌㑂䝁䅷督瑂䙁䄰睕潂䝁䅕党あ䑁䅅光歁䕁䅫䅊祁䑁䅉杏歁䕁䅳䅊祁䑁䅉䅁䑃䅁䅁杊䅁䕁䅫兕時䕁䅑睑呂䙁䄸村偂䕁䄴䅒時䕁䅍睔噂䙁䅁睔佂䅁䅁八䅙䍁䅁䅁䩂䙁䅅睘䕂䕁䅍睕時䕁䅍睔佂䙁䅙睘啂䙁䅧䅖䅁䭁䝅䅁流䅁䅁兓剂䙁䄸䅒䑂䙁䅍睘䕂䕁䅕睕䑂䙁䅉兓兂䙁䅑兓偂䕁䄴䅁䅃杂䅁䅕䅁䙁䅳睓求䡁䅫睕あ䝁䅅䅤穂䙁䄸䅤求䡁䅍䅤浂䝁䅫䅢求䍁䄴䅥獂䡁䅍兢摂䕁䅳党㕂䙁䄸睕あ䝁䅅䅤穂䍁䅅䅊䙂䍁䅑兎㕁䅁䅁朴䅁䍁䅷䅁䩂䙁䅅睘䕂䕁䅍睕時䕁䅫睕呂䙁䅕兒時䕁䅍兖卂䙁䅉兒佂䕁䅍兗䅁䭁䝑䅁㉁䅁䅁兓剂䙁䄸䅖偂䙁䅑兑䵂䙁䄸䅒䙂䕁䅉䅖時䕁䅕村䩂䙁䅑䅒䉂䙁䄸睑䉂䙁䅁兒奂䅁䅁睧䅅䝁䅷䅁扂䙁䅍䅕䡂䙁䄸睑療䝁䄰䅣桂䝁䄴入時䕁䅳党㕂䙁䅍䅤桂䡁䅑督時䡁䅙杍畁䡁䅧䅢穂䝁䄰兘䍂䝁䅅䅢桂䝁䄴睙求䙁䄸睕潂䝁䅕党あ䍁䅅䅊䙂䍁䅑睎㙁䍁䅑兕歁䑁䅣䅁㥄睂䅁䅎䅁䕁䅫兕時䕁䅑兓䵂䙁䅕䅖時䕁䅕䅕呂䙁䄸村䙂䕁䅙睔卂䕁䅕睘䙂䙁䅧䅖卂䕁䅅䅁允䅁䅁杈䅁䕁䅫兕時䕁䄸䅔時䕁䅍睔乂䕁䄰睘䑂䙁䅫䅎䅁䱁䈸䅁獁䅁䅁兓剂䙁䄸䅒兂䙁䅍睘祁䙁䅫杕時䕁䅅杔佂䙁䄸睒卂䕁䄸睖啂䕁䅧䅁時杁䅁杋䅁䕁䅫兕時䕁䅕兑卂䕁䄴兓佂䕁䅣睕時䕁䅍睔佂䙁䅑睘偂䙁䅁睕䅁䅁䅳䅁煂䅁䅁睗乂䕁䅫睘䑂䝁䄸兢睂䝁䅅杢㕂䙁䄸睓求䡁䅫睕あ䝁䅅䅤穂䙁䄸杤硁䙁䄸杌㑂䝁䅷督瑂䙁䄰睕ㅂ䡁䅁䅣獂䝁䅕兢求䝁䄴䅤桂䝁䅷光歁䕁䅑䅊ㅁ䑁䅯䅊䩂䍁䅑兎䅁䅁䙁䅁㑁䅁䅁兓剂䙁䄸睖䉂䙁䅉杕䉂䕁䄴䅖呂䙁䄸睕啂䙁䅉兓䱂䕁䅕睘兂䙁䅉兓䑂䕁䅕睘偂䙁䅍䅁啂睁䅁䅖䅁䙁䅳兔䩂䙁䄸睓求䡁䅫睕あ䝁䅅䅤穂䙁䄸杤硁䍁䄴䅥獂䡁䅍兢摂䕁䅍兙睂䝁䅫䅤桂䝁䅷兡㙂䝁䅅䅤灂䝁䄸杢桁䍁䅑睑歁䑁䅑䅏䅁䭁䑅䅁㉁䅁䅁杔求䡁䅑䅉䩂䝁䄴睙療䝁䄰党獁䍁䅁睍杁䙁䅫杣畁䍁䅁睑䉂䕁䅣杕杁䍁䅧兊灁䅁䅁䅣䅉䑁䅯䅁䩂䙁䅅睘䙂䕁䅅杕佂䕁䅫杔䡂䙁䄸睑偂䙁䄸兎婂䙁䅉睘䉂䕁䄴杔時䕁䅣杕偂䙁䅣䅖䥂䅁䅁兪䅉䙁䅷䅁扂䕁䄰兓時䕁䅍睢瑂䡁䅁兙畂䡁䅫睘䱂䝁䅕入呂䡁䅑兙あ䡁䅍睘㉂䑁䅅睘畁䡁䅧䅢穂䝁䄰兘䱂䝁䅕入時䙁䅍䅤桂䡁䅑督桁䍁䅑村歁䑁䅉兎䅁䱁䔰䅁杁䅁䅁兓剂䙁䄸杔偂䕁䅷睘䑂䕁䅙睘啂䕁䄸䅖䉂䕁䅷䅁慄杁䅁䅅䅁䕁䅫兕時䕁䅕村䩂䙁䅑䅁浂䅁䅁䅍䅁䕁䅫兕時䕁䅕村䩂䙁䅑兑時䑁䅍兗卂䙁䄸兑佂䕁䄴睘䡂䙁䅉睔塂䙁䅑䅓䅁䡁䍅䅁畂䅁䅁䅔啂䍁䅁䅒求䝁䅉䅤杁䍁䅧兓畂䝁䅍䅢畁䍁䅁睑桂䡁䅁杌杁䕁䅷党桂䡁䅍党穂䍁䅫䅉䕂䡁䅕党獁䍁䅁杔求䡁䅧䅤杁䑁䅕䅉婂䡁䅉督杁䍁䅧杕求䡁䅁睢祂䡁䅑党歂䍁䅫䅁潃允䅁䅢䅁䙁䅳睕兂䕁䅣睘䑂䝁䄸兢睂䝁䅅杢㕂䙁䄸睓求䡁䅫睕あ䝁䅅䅤穂䙁䄸杤祁䍁䄴䅥獂䡁䅍兢摂䕁䅳党㕂䙁䄸睕あ䝁䅅䅤穂䍁䅅䅊䙂䍁䅑免睁䑁䅙杏歁䕁䅙䅊硁䑁䅁李䅁偁䡣䅁杁䅁䅁兓剂䙁䄸兒䍂䕁䅫䅖䉂䙁䄸兔䉂䙁䅉睒䩂䕁䄴䅁䙁杁䅁䅆䅁䕁䅫兕時䕁䅕村䩂䙁䅑䅒䉂䅁䅁元䅁䍁䄴䅁䩂䙁䅅睘䙂䕁䅉兓啂䙁䄸免婂䙁䅉睘䉂䕁䄴杔時䕁䅣杕偂䙁䅣䅖䥂䅁䅁兊䅉䝁䅯䅁扂䙁䅍䅕䡂䙁䄸睑療䝁䄰䅣桂䝁䄴入時䕁䅳党㕂䙁䅍䅤桂䡁䅑督時䡁䅙杍畁䡁䅧䅢穂䝁䄰兘䑂䝁䅅督潂䙁䄸杒獂䝁䄸睤桁䍁䅑睑歁䑁䅅免㙁䍁䅑睑歁䑁䅅䅍硁䅁䅁䄴䅣䍁䄴䅁䩂䙁䅅睘䙂䕁䅉兓啂䙁䄸杍婂䙁䅉睘䉂䕁䄴杔時䕁䅣杕偂䙁䅣䅖䥂䅁䅁睔䅉䍁䄴䅁䩂䙁䅅睘䙂䕁䅉兓啂䙁䄸睍婂䙁䅉睘䉂䕁䄴杔時䕁䅣杕偂䙁䅣䅖䥂䅁䅁兤䅉䍁䄴䅁䩂䙁䅅睘䙂䕁䅉兓啂䙁䄸兎婂䙁䅉睘䉂䕁䄴杔時䕁䅣杕偂䙁䅣䅖䥂䅁䅁公䅉䥁䅑䅁湁䙁䅳睕兂䕁䅣睘䑂䝁䄸兢睂䝁䅅杢㕂䙁䄸睓求䡁䅫睕あ䝁䅅䅤穂䙁䄸杤祁䍁䄴䅥獂䡁䅍兢摂䕁䅍兙睂䝁䅫䅤桂䝁䅷睘呂䡁䅑杣ㅂ䝁䅍䅤ㅂ䡁䅉党時䍁䅁䅒求䡁䅑兙灂䝁䅷督杁䍁䅣光歁䕁䅕䅊㍁䑁䅙䅁睁䅃䅁杈䅁䕁䅫兕時䕁䅕村䩂䙁䅑睘乂䕁䅅杕䡂䕁䅫杔䅁䅁䍣䅁獁䅁䅁兓剂䙁䄸兒兂䙁䅍睘硁䙁䅫杕時䕁䅅杔佂䙁䄸睒卂䕁䄸睖啂䕁䅧䅁橂䅁䅁杌䅁䕁䅫兕時䙁䅍兖䍂䙁䄸村偂䕁䄴䅒呂䙁䄸杔偂䙁䅑兒呂䙁䄸䅕䑂䙁䅑䅁㡄䅁䅁䅏䅁䕁䄸䅣あ䝁䅫睢畂䡁䅍杏呂䡁䅑兙あ䝁䅫督あ䝁䅫睙㥁䕁䅷睔塂䍁䅷杔䉂䑁䄰杔䉂䅁䅁眰䅣䙁䄴䅁扂䕁䄰兓時䕁䅍睢瑂䡁䅁兙畂䡁䅫睘䱂䝁䅕入呂䡁䅑兙あ䡁䅍睘㉂䑁䅅睘畁䡁䅧䅢穂䝁䄰兘卂䝁䅅䅤灂䝁䄸督桁䍁䅑䅒歁䑁䅑杏歁䕁䅫䅊ぁ䅁䅁末䅑䍁䅙䅁䩂䙁䅅睘䝂䕁䅫䅗䙂䕁䅑睘卂䕁䅅䅖䙂䙁䄸䅒䙂䕁䅉䅖䅁䑁䉉䅁煁䅁䅁兓剂䙁䄸睒兂䙁䄸免婂䙁䅉睘䉂䕁䄴杔時䕁䅣杕偂䙁䅣䅖䥂䅁䅁睇䅉䕁䅑䅁䩂䙁䅅睘噂䕁䄴杕䙂䕁䅍睔䡂䙁䄸䅖䉂䙁䅧睘䍂䕁䅕杔䙂䕁䅙兓啂䙁䄸村䙂䕁䅣睘兂䕁䅕杕䩂䕁䄸䅒䅁䅁䑑䅁坂䅁䅁睗乂䕁䅫睘䱂䝁䅕入呂䡁䅑兙あ䡁䅍睘㉂䑁䅅杌㑂䝁䅷督瑂䙁䄰睓求䡁䅫睘呂䡁䅑兙あ䡁䅍光歁䕁䅑䅊祁䑁䅕杏歁䕁䅑䅊ぁ䑁䅫䅁療睁䅁杋䅁䕁䅫兕時䕁䅣䅕時䑁䅍兗卂䙁䄸兑佂䕁䄴睘䡂䙁䅉睔塂䙁䅑䅓䅁䝁䍅䅁⭂䅁䅁睗䱂䝁䅕入呂䡁䅑兙あ䡁䅍睘あ䝁䅕督あ䝁䅙兡獂䝁䅕杌㑂䝁䅷督瑂䙁䄰睑桂䡁䅁兡あ䝁䅅䅢時䙁䅍䅤祂䡁䅕睙あ䡁䅕杣求䙁䄸睕ㅂ䝁䄰兢桂䡁䅉入桁䍁䅑兒歁䑁䅉睎㙁䍁䅑兒歁䑁䅅䅍㉁䅁䅁朸䅅䍁䅯䅁䩂䙁䅅睘䡂䙁䅁睘ㅁ䙁䅫杕時䕁䅅杔佂䙁䄸睒卂䕁䄸睖啂䕁䅧䅁䩃杁䅁杉䅁䕁䅫兕時䕁䄴睔䵂䙁䄸睑䝂䙁䄸杔偂䙁䄸兒奂䙁䅁䅁佄杁䅁杚䅁䙁䅳兔䩂䙁䄸睑療䝁䄰䅣桂䝁䄴入時䕁䅳党㕂䙁䅍䅤桂䡁䅑督時䡁䅙免畁䡁䅧䅢穂䝁䄰兘䱂䝁䅕入時䙁䅍䅤桂䡁䅑督桁䍁䅑兒歁䑁䅉杍㙁䍁䅑䅔歁䑁䅉杍䅁䡁䕙䅁杁䅁䅁兓剂䙁䄸睒卂䕁䄸睕呂䙁䄸兔䉂䙁䅉睒䩂䕁䄴䅁㕄允䅁䅗䅁䕁䅫兕時䕁䅫兔兂䕁䅅睑啂䙁䄸兖佂䙁䅉兒䑂䕁䄸睒時䙁䅑兑奂䙁䄸村䙂䕁䄴兒䝂䕁䅫䅖時䕁䅕杒䝂䕁䅕睑啂䕁䅫杖䙂䙁䄸䅖䉂䙁䅧䅁浄杁䅁䅣䅁䙁䅳兔䩂䙁䄸睑療䝁䄰䅣桂䝁䄴入時䕁䅳党㕂䙁䅍䅤桂䡁䅑督時䡁䅙免畁䡁䅧䅢穂䝁䄰兘䑂䝁䅅䅣灂䡁䅑兙獂䝁䅫来桂䡁䅑兡療䝁䄴光歁䕁䅕䅊ぁ䑁䅧杏歁䕁䅯䅊ぁ䑁䅧䅁晃䅂䅁杚䅁䙁䅳兔䩂䙁䄸睑療䝁䄰䅣桂䝁䄴入時䕁䅳党㕂䙁䅍䅤桂䡁䅑督時䡁䅙免畁䡁䅧䅢穂䝁䄰兘䱂䝁䅕入時䙁䅍䅤桂䡁䅑督桁䍁䅑兔歁䑁䅉䅎㙁䍁䅑睔歁䑁䅉䅎䅁䥁䕫䅁卂䅁䅁兓剂䙁䄸兓佂䙁䅑兒卂䕁䅕睕啂䙁䄸䅕䙂䕁䄴兑䵂䙁䅑兓䙂䙁䅍睘卂䕁䅕睑偂䕁䅣睘䍂䙁䅍睘䉂䕁䅙䅖䙂䙁䅉睘啂䕁䅅䅗䅁䉁䑑䅁獁䅁䅁兓剂䙁䄸兓佂䙁䅙睘硁䙁䅫杕時䕁䅅杔佂䙁䄸睒卂䕁䄸睖啂䕁䅧䅁湁杁䅁䅌䅁䕁䅫兕時䕁䅫杔坂䙁䄸睍婂䙁䅉睘䉂䕁䄴杔時䕁䅣杕偂䙁䅣䅖䥂䅁䅁睤䅉䍁䅷䅁䩂䙁䅅睘䩂䕁䄴杖時䑁䅕兗卂䙁䄸兑佂䕁䄴睘䡂䙁䅉睔塂䙁䅑䅓䅁䩁䍣䅁佃䅁䅁睔睂䡁䅑兡療䝁䄴督㙁䕁䅍兤祂䡁䅉児卂䝁䅕䅣療䡁䅉䅤求䝁䅑䅉橂䡁䅕杣祂䝁䅕杢橂䡁䅫䅌乂䝁䅅睚㥁䕁䄰兓穂䡁䅑兙畂䝁䅑兙祂䝁䅑䅌䑂䝁䄸杢㉂䕁䄰党あ䝁䅧睢歂䑁䄰兔䩂䡁䅉党橂䝁䄸兢瑂䝁䅕杢歂䝁䅕䅚䅁䥁䑫䅁䭂䅁䅁睗乂䕁䅫睘䱂䝁䅕入呂䡁䅑兙あ䡁䅍睘㉂䑁䅅杌㑂䝁䅷督瑂䙁䄰睓求䡁䅫睘呂䡁䅑兙あ䡁䅍光歁䕁䅕䅊㉁䑁䅁䅁あ睁䅁䅌䅁䕁䅫兕時䕁䅯杕時䙁䅍兖䍂䙁䄸䅒䙂䕁䅉䅖時䕁䅕村䩂䙁䅑䅒䉂䅁䅁睪䅅䑁䅧䅁䩂䙁䅅睘䭂䙁䅉睘呂䙁䅕村時䕁䅑兒䍂䙁䅑睘䙂䕁䅉兓啂䕁䅑兑時䕁䅍兑兂䕁䅕䅗䅁䩁䉫䅁䭁䅁䅁兔呂䕁䅙䅖䅁乁䡧䅁畁䅁䅁兓剂䙁䄸䅔䝂䕁䅍杒時䑁䅅兗卂䙁䄸兑佂䕁䄴睘䡂䙁䅉睔塂䙁䅑䅓䅁䍁䍫䅁㙂䅁䅁睗乂䕁䅫睘䑂䝁䄸兢睂䝁䅅杢㕂䙁䄸睓求䡁䅫睕あ䝁䅅䅤穂䙁䄸杤硁䙁䄸杌㑂䝁䅷督瑂䙁䄰睑桂䡁䅁兡あ䝁䅅䅢時䙁䅍䅤祂䡁䅕睙あ䡁䅕杣求䙁䄸睕ㅂ䝁䄰兢桂䡁䅉入桁䍁䅑睑歁䑁䅑䅁硄䅂䅁䅎䅁䕁䅫兕時䙁䅍杕時䙁䅍兒䑂䙁䅕杕䙂䕁䅑睘䍂䕁䄸杔䕂䙁䅍睘佂䕁䄸䅖䙂䙁䅍䅁㡁允䅁杌䅁䕁䅫兕時䕁䅷杒䑂䕁䅙睘祁䙁䅫杕時䕁䅅杔佂䙁䄸睒卂䕁䄸睖啂䕁䅧䅁摂杁䅁杌䅁䕁䅫兕時䕁䅷杒䑂䕁䅙睘ㅁ䙁䅫杕時䕁䅅杔佂䙁䄸睒卂䕁䄸睖啂䕁䅧䅁灃杁䅁杈䅁䕁䅫兕時䙁䅍䅖偂䕁䅍睓時䕁䅉兑呂䕁䅕䅒䅁䭁䅷䅁啂䅁䅁杔偂䕁䅷䅉䑂䝁䅅杣祂䡁䅫杚療䡁䅉睤桂䡁䅉䅚獁䍁䅁睑ㅂ䡁䅉杣求䝁䄴䅤杁䙁䅫党桂䡁䅉䅉潁䙁䅉党睂䝁䄸杣あ䝁䅕䅚灁䅁䅁兹䅉䉁䄴䅁䩂䙁䅅睘䵂䕁䅙睑䝂䙁䄸兔䉂䙁䅉睒䩂䕁䄴䅁剁杁䅁䅎䅁䕁䅫兕時䕁䅷兓䉂䕁䅉兓䵂䕁䅫䅖䩂䕁䅕睕時䕁䅙兑䩂䙁䅉睘坂䕁䅅䅔噂䕁䅕䅁流睁䅁杚䅁䙁䅳兔䩂䙁䄸睑療䝁䄰䅣桂䝁䄴入時䕁䅳党㕂䙁䅍䅤桂䡁䅑督時䡁䅙免畁䡁䅧䅢穂䝁䄰兘䱂䝁䅕入時䙁䅍䅤桂䡁䅑督桁䍁䅑兒歁䑁䅉睍㙁䍁䅑兓歁䑁䅉睍䅁偁䑍䅁流䅁䅁兓剂䙁䄸䅖卂䙁䅕睕啂䙁䄸䅕卂䕁䅕杒䙂䙁䅉杕䙂䕁䅑䅁䭂允䅁杒䅁䙁䅑睢あ䝁䅅䅢杁䕁䄰兡畂䝁䄸杣灂䡁䅑入杁䕁䅫杢あ䝁䅕杣求䡁䅍䅤杁䍁䅧杕求䡁䅁睢祂䡁䅑党歂䍁䅫䅁摁䅁䅁䅙䅁䙁䅳睓求䡁䅫睕あ䝁䅅䅤穂䙁䄸䅤求䡁䅍䅤浂䝁䅫䅢求䍁䄴䅥獂䡁䅍兢摂䕁䅉兙獂䝁䅅杢橂䝁䅕睘呂䝁䅧党求䡁䅑光歁䕁䅙䅊ㅁ䑁䅯䅊剂䍁䅑兎䅁䵁䅑䅁畁䅁䅁兓剂䙁䄸䅔䩂䕁䅅村䩂䕁䅷兓啂䕁䅫兒呂䙁䄸䅔䙂䙁䅙兒䵂䙁䄸免䅁䉁䐴䅁潁䅁䅁兓剂䙁䄸睕卂䙁䄸睕䙂䕁䅍兖卂䕁䅕䅒時䕁䅷睔䉂䕁䄴睕䅁䑁䉯䅁畁䅁䅁兓剂䙁䄸䅔䩂䕁䅅村䩂䕁䅷兓啂䕁䅫兒呂䙁䄸䅔䙂䙁䅙兒䵂䙁䄸杍䅁䍁䑁䅁卂䅁䅁兓剂䙁䄸䅔䩂䕁䅅村䩂䕁䅷兓啂䕁䅫兒呂䙁䄸杔䙂䙁䅑䅖䩂䕁䄴睒時䕁䄸䅖䥂䕁䅕杕時䕁䅅䅒䭂䙁䅕睕啂䕁䄰兒佂䙁䅑睕䅁䍁䑑䅁獁䅁䅁兓剂䙁䄸䅔啂䕁䅑睘䕂䙁䅕兒時䕁䅅杒啂䕁䅕杕時䕁䅙兓坂䕁䅕䅁汃允䅁杌䅁䕁䅫兕時䙁䅑睔啂䕁䅅䅔時䙁䅁杕䩂䕁䄴睑䩂䙁䅁兑䵂䙁䄸䅕䑂䙁䅑䅁祄䅁䅁䅈䅁䕁䅫兕時䕁䅷䅖䕂䙁䄸䅒噂䕁䅕睘䑂䙁䅫䅁扃允䅁杈䅁䕁䅫兕時䕁䅷䅖䕂䙁䄸䅒噂䕁䅕睘䑂䙁䅫免䅁䩁䈰䅁敁䅁䅁兓剂䙁䄸䅔啂䕁䅑睘䕂䙁䅕兒時䕁䅍兗祁䅁䅁睮䅅䉁䄴䅁䩂䙁䅅睘䵂䙁䅑䅒時䕁䅑兖䙂䙁䄸睑婂䑁䅑䅁橃允䅁杋䅁䕁䅫兕時䕁䅷䅖時䕁䅑兒䍂䙁䅑睘啂䕁䄸睘䙂䙁䅅兖䩂䙁䅑兗䅁䱁䍉䅁㑁䅁䅁兓剂䙁䄸䅔啂䙁䄸䅒䙂䕁䅉䅖時䙁䅑睔時䙁䅑睔啂䕁䅅䅔時䕁䅍兑兂䕁䅫䅖䉂䕁䅷䅁ぃ杁䅁䅌䅁䕁䅫兕時䕁䄰兑卂䕁䅳兒啂䕁䅍兑兂䙁䄸兒䍂䙁䅑睘䙂䙁䅧睑䵂䅁䅁兡䅙䡁䅉䅁扂䕁䄰兓時䕁䅍睢瑂䡁䅁兙畂䡁䅫睘䱂䝁䅕入呂䡁䅑兙あ䡁䅍睘㉂䑁䅅睘畁䡁䅧䅢穂䝁䄰兘䑂䝁䅅䅣灂䡁䅑兙獂䝁䅫来桂䡁䅑兡療䝁䄴光歁䕁䅍䅊ㅁ䑁䅍杏歁䕁䅍䅊ㅁ䑁䅑䅁癄䅂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杒歁䑁䅣李䅁䥁䡧䅁歁䅁䅁兓剂䙁䄸兔䉂䙁䅉睓䙂䙁䅑睑䉂䙁䅁睘䵂䕁䅙睑䝂䅁䅁睙䅙䍁䄴䅁䩂䙁䅅睘乂䕁䅅杕䱂䕁䅕䅖䑂䕁䅅䅕時䙁䅑睔啂䕁䅅䅔時䙁䅉兒坂䅁䅁兘䅙䙁䅉䅁䩂䙁䅅睘乂䕁䅅䅗時䙁䅫杕時䕁䅙睔卂䙁䄸睑䉂䙁䅁兓啂䕁䅅䅔時䕁䅷睔呂䙁䅍睘䑂䕁䅅杕卂䙁䅫睘䝂䕁䄸杕塂䕁䅅杕䕂䅁䅁朸䅉䍁䅯䅁䩂䙁䅅睘乂䕁䅫杔偂䙁䅉兓啂䙁䅫睘䩂䕁䄴䅖䙂䙁䅉兒呂䙁䅑䅁捁䅁䅁䅚䅁䙁䅳兔䩂䙁䄸睑療䝁䄰䅣桂䝁䄴入時䕁䅳党㕂䙁䅍䅤桂䡁䅑督時䡁䅙免畁䡁䅧䅢穂䝁䄰兘䍂䝁䅅䅢桂䝁䄴睙求䙁䄸睕潂䝁䅕党あ䍁䅅䅊䑂䍁䅑免ぁ䑁䅙䅁湃䅂䅁䅇䅁䕁䅫兕時䕁䄴兒啂䙁䄸䅒䙂䕁䅉䅖䅁䉁䉁䅁慂䅁䅁睗乂䕁䅫睘卂䕁䅕兓啂䙁䄸睕桂䝁䄰党呂䡁䅑睢祂䝁䅕䅖求䝁䄰䅣獂䝁䅅䅤求䙁䄸杤硁䍁䄴䅥獂䡁䅍兘䕂䝁䅅䅤桂䍁䅅䅊䡂䍁䅑䅎㑁䅁䅁䄲䅍䍁䅯䅁䩂䙁䅅睘佂䕁䅫睘祁䙁䅫杕時䕁䅅杔佂䙁䄸睒卂䕁䄸睖啂䕁䅧䅁㕁杁䅁䅩䅁䙁䅳睕兂䕁䅣睘䑂䝁䄸兢睂䝁䅅杢㕂䙁䄸睓求䡁䅫睕あ䝁䅅䅤穂䙁䄸杤硁䍁䄴䅥獂䡁䅍兢摂䕁䅍兙睂䝁䅫䅤桂䝁䅷睘呂䡁䅑杣ㅂ䝁䅍䅤ㅂ䡁䅉党時䙁䅍兤瑂䝁䄰兙祂䡁䅫光歁䕁䅙䅊硁䑁䅁杏歁䙁䅁䅊硁䑁䅁䅁䉁杂䅁杋䅁䕁䅫兕時䕁䄴兓時䑁䅕兗卂䙁䄸兑佂䕁䄴睘䡂䙁䅉睔塂䙁䅑䅓䅁䩁䍳䅁睁䅁䅁兓剂䙁䄸杔䩂䙁䄸兑坂䕁䅅兓䵂䙁䄸兒奂䕁䅍䅔時䕁䄰兑卂䕁䅣兓佂䅁䅁兄䅉䑁䅑䅁䩂䙁䅅睘佂䕁䅫睘佂䕁䄸杕乂䙁䄸兎婂䙁䅉睘䉂䕁䄴杔時䕁䅣杕偂䙁䅣䅖䥂䅁䅁睫䅉䝁䅁䅁䵂䝁䅕杤求䝁䅷䅉穁䍁䅁兑穂䡁䅍党あ䡁䅍䅉瑁䍁䅁兖畂䝁䄸杙穂䝁䅕杣㉂䝁䅅杙獂䝁䅕䅉兂䡁䅉兡橂䝁䅕督杁䍁䅧杕求䡁䅁睢祂䡁䅑党歂䍁䅫䅁扁睁䅁䅈䅁䕁䅫兕時䙁䅑睔啂䕁䅅䅔時䕁䅑兒䍂䙁䅑䅁奁䅁䅁䅈䅁䕁䅫兕時䕁䄴睔䵂䙁䄸睑䝂䙁䄸免婂䙁䅉䅁䥄杁䅁䅈䅁䕁䅫兕時䕁䄴睔䵂䙁䄸睑䝂䙁䄸杍婂䙁䅉䅁兄杁䅁䅣䅁䙁䅳兔䩂䙁䄸睑療䝁䄰䅣桂䝁䄴入時䕁䅳党㕂䙁䅍䅤桂䡁䅑督時䡁䅙免畁䡁䅧䅢穂䝁䄰兘䩂䝁䄴睙療䝁䄰党時䙁䅍䅤桂䡁䅑党瑂䝁䅕杢あ䍁䅅䅊䙂䍁䅑睎㙁䍁䅑䅕歁䑁䅣䅁穃兂䅁䅈䅁䕁䅫兕時䕁䄴睔䵂䙁䄸睑䝂䙁䄸䅎婂䙁䅉䅁啄杁䅁条䅁䙁䅣兙祂䡁䅉兙畂䡁䅑督杁䙁䅣睌䉂䡁䅙党祂䝁䅅睚求䍁䅁睕あ䡁䅉兡牂䝁䅕䅉兂䡁䅉兡橂䝁䅕䅉療䝁䅙䅉䩂䡁䅍督ㅂ䝁䅕䅚杁䍁䅧杕求䡁䅁睢祂䡁䅑党歂䍁䅫䅁硁睁䅁杓䅁䙁䅳睓求䡁䅫睕あ䝁䅅䅤穂䙁䄸䅤求䡁䅍䅤浂䝁䅫䅢求䍁䄴䅥獂䡁䅍兢摂䙁䅍䅡求䝁䅕䅤硁䍁䅅䅊䍂䍁䅑兎穁䅁䅁睦䅁䉁䅷䅁䩂䙁䅅睘佂䕁䄸䅔時䕁䅍杒時䑁䅕兗卂䅁䅁杷䅉䝁䅁䅁扂䕁䅳党㕂䙁䅍䅤桂䡁䅑督時䡁䅑党穂䡁䅑杚灂䝁䅷党畁䡁䅧䅢穂䝁䄰兘䍂䝁䅅䅢桂䝁䄴睙求䙁䄸睕潂䝁䅕党あ䍁䅅䅊䝂䍁䅑䅎㙁䍁䅑兕歁䑁䅑䅁䍄䅁䅁䅚䅁䙁䅳兔䩂䙁䄸睓求䡁䅫睕あ䝁䅅䅤穂䙁䄸杤硁䍁䄴䅥獂䡁䅍兢摂䕁䅫杢橂䝁䄸兢求䙁䄸睕あ䝁䅅䅤求䝁䄰党畂䡁䅑光歁䕁䅍䅊㕁䑁䅯䅊䑂䍁䅑免㉁䑁䅉䅁㝃睁䅁䅗䅁䙁䅳兔䩂䙁䄸睓求䡁䅫睕あ䝁䅅䅤穂䙁䄸杤硁䍁䄴䅥獂䡁䅍兢摂䙁䅍兤睂䡁䅁䅢求䝁䄰党畂䡁䅑兙獂䍁䅅䅊䕂䍁䅑兎㙁䍁䅑兓歁䑁䅕䅁啃睁䅁䅋䅁䕁䅫兕時䕁䄴睔佂䙁䅉兒䑂䕁䄸兖卂䙁䅍兒時䕁䅑兒䍂䙁䅑䅁䥂允䅁䅍䅁䕁䅫兕時䕁䄴睔佂䙁䅉兒䑂䕁䄸兖卂䙁䅍兒時䕁䅑兒䍂䙁䅑睘兂䕁䅍䅖䅁䡁䉑䅁畁䅁䅁兓剂䙁䄸杔兂䙁䅁兒時䑁䅉兗卂䙁䄸兑佂䕁䄴睘䡂䙁䅉睔塂䙁䅑䅓䅁䑁䍳䅁畁䅁䅁兓剂䙁䄸杔噂䕁䄰睘啂䙁䅉兑䕂䕁䅕睕時䕁䅕䅗䙂䕁䅍兖啂䕁䅕䅒䅁䥁䑳䅁捁䅁䅁兓剂䙁䄸睔䵂䙁䄸睑偂䕁䄰兔時䕁䅍兗䅁䱁䉣䅁敁䅁䅁兓剂䙁䄸睔䵂䙁䄸睑偂䕁䄰兔時䕁䅍兗硁䅁䅁兵䅅䝁䅧䅁扂䕁䄰兓時䕁䅳党㕂䙁䅍䅤桂䡁䅑督時䡁䅙免畁䡁䅧䅢穂䝁䄰兘䑂䝁䅅䅣灂䡁䅑兙獂䙁䄸睕あ䡁䅉兤橂䡁䅑兤祂䝁䅕睘呂䡁䅕兢瑂䝁䅅杣㕂䍁䅅䅊䑂䍁䅑兎䅁䡁䐸䅁歁䅁䅁兓剂䙁䄸睔兂䙁䅑兓偂䕁䄴睕時䕁䅉兒䡂䙁䄸睔呂䅁䅁杌䅍䍁䅑䅁䩂䙁䅅睘偂䙁䅁䅖䩂䕁䄸杔呂䙁䄸兒佂䕁䅑睘偂䙁䅍䅁㙁睁䅁䅖䅁䙁䅳兔䩂䙁䄸睑療䝁䄰䅣桂䝁䄴入時䕁䅳党㕂䙁䅍䅤桂䡁䅑督時䡁䅙免時䍁䄴䅥獂䡁䅍兢摂䙁䅉兙あ䝁䅫睢穂䍁䅅䅊䑂䍁䅑䅎䅁偁䕫䅁煁䅁䅁兓剂䙁䄸睔兂䙁䅑兓偂䕁䄴睕時䕁䅕䅗䙂䙁䅉睑䩂䙁䅍兒䕂䅁䅁李䅍䉁䅉䅁䩂䙁䅅睘兂䕁䅉杖時䙁䅧䅁啂杂䅁杚䅁䙁䅳兔䩂䙁䄸睑療䝁䄰䅣桂䝁䄴入時䕁䅳党㕂䙁䅍䅤桂䡁䅑督時䡁䅙免畁䡁䅧䅢穂䝁䄰兘䱂䝁䅕入時䙁䅍䅤桂䡁䅑督桁䍁䅑兒歁䑁䅉杍㙁䍁䅑杓歁䑁䅉杍䅁䥁䕉䅁䵁䅁䅁兓剂䙁䄸䅕䙂䅁䅁兙䅙䉁䅷䅁䩂䙁䅅睘兂䕁䅕杕䩂䕁䄸䅒䕂䕁䅅䅖䙂䅁䅁来䅙䉁䅷䅁䩂䙁䅅睘兂䕁䅕杕䩂䕁䄸䅒時䕁䅕杔䕂䅁䅁兦䅙䝁䅙䅁扂䕁䄰兓時䕁䅍睢瑂䡁䅁兙畂䡁䅫睘䱂䝁䅕入呂䡁䅑兙あ䡁䅍睘㉂䑁䅅杌㑂䝁䅷督瑂䙁䄰兓畂䝁䅍睢瑂䝁䅕睘呂䡁䅑兙あ䝁䅕兢求䝁䄴䅤桁䍁䅑睑歁䑁䅙䅁睃兂䅁䅚䅁䙁䅳兔䩂䙁䄸睑療䝁䄰䅣桂䝁䄴入時䕁䅳党㕂䙁䅍䅤桂䡁䅑督時䡁䅙免時䍁䄴䅥獂䡁䅍兢摂䕁䅍兙穂䝁䅧睘䝂䝁䅷睢㍂䍁䅅䅊䙂䍁䅑兎㙁䍁䅑䅕歁䑁䅕䅁歄䅂䅁杅䅁䙁䅍䅕䡂䙁䅑兙楂䝁䅷党䅁䙁䅷䅁歁䅁䅁兓剂䙁䄸䅕卂䕁䄸杖時䕁䅉兑䕂䙁䄸䅒䙂䕁䅉䅖呂䅁䅁東䅁䉁䅑䅁䩂䙁䅅睘兂䙁䅑村坂䙁䄸䅗䅁䝁䝑䅁潂䅁䅁睗呂䙁䅁睒時䕁䅍睢瑂䡁䅁兙畂䡁䅫睘䱂䝁䅕入呂䡁䅑兙あ䡁䅍睘㉂䑁䅉杌㑂䝁䅷督瑂䙁䄰睓求䡁䅫睘呂䡁䅑兙あ䡁䅍光歁䕁䄴䅊祁䑁䅙杏歁䙁䅁䅊祁䑁䅙䅁瑄睂䅁杢䅁䙁䅳兔䩂䙁䄸睑療䝁䄰䅣桂䝁䄴入時䕁䅳党㕂䙁䅍䅤桂䡁䅑督時䡁䅙免畁䡁䅧䅢穂䝁䄰兘䍂䝁䅅䅢桂䝁䄴睙求䙁䄸睕潂䝁䅕党あ䍁䅅䅊䑂䍁䅑兏㙁䍁䅑睑歁䑁䅅睍㕁䅁䅁权䅑䉁䅑䅁䩂䙁䅅睘卂䕁䅍睘兂䕁䅍䅖䅁偁䅑䅁䭂䅁䅁兓剂䙁䄸杕䙂䕁䅑兖䑂䙁䅑兓偂䕁䄴睘啂䕁䅅䅗時䙁䅁睔呂䕁䅫䅖䩂䕁䄸杔時䕁䅍兖卂䙁䅉兒佂䙁䅑睘婂䙁䅉䅁䥁睁䅁䅗䅁䙁䅳兔䩂䙁䄸杕䙂䕁䅫䅖時䙁䅍兙瑂䝁䅕睕あ䝁䄸杣求䙁䅑党瑂䡁䅁䅢桂䡁䅑党時䡁䅙免畁䡁䅧䅢穂䙁䄰䅒桂䡁䅑兙桁䍁䅑䅒歁䑁䅫䅁敄睁䅁材䅁䕁䅫兕時䙁䅑睔啂䕁䅅䅔時䕁䅅睕呂䕁䅕䅖呂䙁䄸免婂䙁䅉睘䉂䕁䄴杔時䕁䅣杕偂䙁䅣䅖䥂䅁䅁睋䅉䕁䅧䅁䩂䙁䅅睘卂䕁䅕䅒噂䕁䅍䅖䩂䕁䄸杔時䙁䅑兑奂䙁䄸䅕偂䙁䅍兓啂䕁䅫睔佂䙁䄸䅕卂䕁䅫睔卂䙁䄸兗卂䙁䅍䅁坄杁䅁䅈䅁䙁䅍䅕時䙁䅍䅓䉂䙁䅉兒呂䙁䄸睔噂䙁䅑䅁坁䅁䅁杄䅁䕁䅫兕時䙁䅉睔䉂䅁䅁眹䅅䙁䅙䅁扂䙁䅍䅕䡂䙁䄸睑療䝁䄰䅣桂䝁䄴入時䕁䅳党㕂䙁䅍䅤桂䡁䅑督時䡁䅙杍畁䡁䅧䅢穂䝁䄰兘呂䝁䅧党求䡁䅑免桁䍁䅑睒歁䑁䅅免䅁䩁䝣䅁允䅁䅁兓剂䙁䄸杕偂䕁䅍兒䅁偁䈰䅁敂䅁䅁睗乂䕁䅫睘䑂䝁䄸兢睂䝁䅅杢㕂䙁䄸睓求䡁䅫睕あ䝁䅅䅤穂䙁䄸杤硁䙁䄸杌㑂䝁䅷督瑂䙁䄰杕桂䡁䅑兡療䡁䅍光歁䕁䅑䅊ㅁ䑁䅯䅊䩂䍁䅑兎䅁偁䕷䅁⭁䅁䅁兓剂䙁䄸睕䙂䕁䅍睔佂䕁䅑睘䵂䕁䅫兒佂䙁䄸村偂䕁䄴䅒呂䙁䄸杔偂䙁䅑兒呂䙁䄸䅕䑂䙁䅑䅁睂允䅁䅍䅁䕁䅫兕時䙁䅍兒䑂䕁䄸杔䕂䙁䄸䅔䩂䕁䅕杔時䕁䅑兒䍂䙁䅑睘兂䕁䅍䅖䅁䡁䉉䅁䭁䅁䅁杒婂䍁䅳杍䅁䭁䤴䅁楂䅁䅁睗呂䙁䅁睒時䕁䅍睢瑂䡁䅁兙畂䡁䅫睘䱂䝁䅕入呂䡁䅑兙あ䡁䅍睘㉂䑁䅉杌㑂䝁䅷督瑂䙁䄰村桂䝁䅷兙畂䝁䅍党時䙁䅍䅡求䝁䅕䅤桁䍁䅑睑歁䑁䅙䅁㙄睂䅁杋䅁䕁䅫兕時䙁䅍兒䑂䕁䄸杔䕂䙁䄸䅔䩂䕁䅕杔時䕁䅷睔䉂䕁䄴睕䅁䕁䉉䅁捂䅁䅁睗乂䕁䅫睘䑂䝁䄸兢睂䝁䅅杢㕂䙁䄸睓求䡁䅫睕あ䝁䅅䅤穂䙁䄸杤硁䍁䄴䅥獂䡁䅍兢摂䕁䅳党㕂䙁䄸睕あ䝁䅅䅤穂䍁䅅䅊䍂䍁䅑免睁䑁䅙䅁硃䅂䅁䅍䅁䕁䅫兕時䙁䅍兒䑂䙁䅕杕䩂䙁䅑兓慂䕁䅕䅒時䕁䅑兒䍂䙁䅑睘兂䕁䅍䅖䅁䝁䉑䅁⭁䅁䅁兓剂䙁䄸睕䙂䙁䅑䅖䵂䕁䅕兔䙂䕁䄴䅖呂䙁䄸䅖䉂䙁䅧睘䉂䙁䅕䅖䥂䕁䄸杕䩂䙁䅑兓䙂䙁䅍䅁䵁睁䅁䅈䅁䕁䅫兕時䙁䅍睒䉂䙁䄸兔䉂䙁䅉睒䩂䕁䄴䅁䑁杁䅁李䅁䕁䅫兕時䙁䅑睔啂䕁䅅䅔時䙁䅍杕時䙁䅍兒䑂䙁䅕杕䙂䕁䅑睘䙂䕁䅉兓啂䕁䅑兑䅁䡁䈰䅁慁䅁䅁兓剂䙁䄸睕䡂䕁䅅睘呂䙁䅕䅕兂䕁䅷䅁歃䅁䅁杚䅁䙁䅳兔䩂䙁䄸睑療䝁䄰䅣桂䝁䄴入時䕁䅳党㕂䙁䅍䅤桂䡁䅑督時䡁䅙免畁䡁䅧䅢穂䝁䄰兘䱂䝁䅕入時䙁䅍䅤桂䡁䅑督桁䍁䅑睑歁䑁䅙睍㙁䍁䅑睑歁䑁䅙兏䅁䩁䕉䅁畁䅁䅁兓剂䙁䄸兖䝂䕁䅍杒時䑁䅍兗卂䙁䄸兑佂䕁䄴睘䡂䙁䅉睔塂䙁䅑䅓䅁䥁䍕䅁歁䅁䅁兓剂䙁䄸睕卂䙁䄸䅒䙂䕁䅉䅖時䕁䅕村䩂䙁䅑䅒䉂䅁䅁睩䅅䑁䅁䅁䩂䙁䅅睘呂䙁䅉睘䕂䕁䅕村啂䙁䄸兒䍂䕁䅫䅖䕂䕁䅅睘䑂䕁䅅䅕䙂䙁䅧䅁⽂允䅁杈䅁䕁䅫兕時䙁䅍杕時䕁䅑兒䍂䙁䅑睘兂䕁䅍䅖䅁䉁䈴䅁㡁䅁䅁兓剂䙁䄸睕卂䙁䄸睕䙂䕁䅍兖卂䕁䅕䅒時䕁䅉睔佂䕁䅑睕時䕁䄴睔啂䕁䅕睕時䙁䅁睑啂䅁䅁杘䅅䑁䅁䅁䩂䙁䅅睘呂䙁䅉睘呂䕁䅕睑噂䙁䅉兒䕂䙁䄸䅔偂䕁䅅杔呂䙁䄸䅕䑂䙁䅑䅁坂允䅁䅌䅁䕁䅫兕時䙁䅣兑卂䙁䅉兑佂䙁䅑睕時䕁䅍兑佂䕁䅍兒䵂䕁䅷兒䕂䅁䅁䅕䅍䉁䄴䅁䩂䙁䅅睘呂䙁䅉睘呂䙁䅕村時䕁䅑兒䍂䙁䅑䅁啁允䅁杌䅁䕁䅫兕時䙁䅕杔䉂䕁䄰睔卂䙁䅑睘兂䙁䅉兒乂䕁䅫兖乂䙁䄸䅕䑂䙁䅑䅁⭄䅁䅁杊䅁䕁䅫兕時䙁䅍杕時䙁䅍兖䍂䙁䄸䅒䙂䕁䅉䅖時䙁䅁睑啂䅁䅁杊䅅䑁䅧䅁䩂䙁䅅睘呂䙁䅉睘噂䕁䄴睕䙂䕁䅍兖卂䕁䅕䅒時䕁䅉睔佂䕁䅑睕時䕁䄴睔啂䕁䅕睕䅁䑁䈴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䉂䕁䅅䅊㍁䅁䅁䅤䅣䉁䄴䅁䩂䙁䅅睘呂䙁䅑睘䕂䕁䅕村啂䙁䄸䅕䑂䙁䅑䅁杁允䅁杓䅁䙁䅍杣畁䍁䅁睕ㅂ䝁䅉杌杁䕁䅑党楂䡁䅑䅉癁䍁䅁䅋䙂䕁䅉兓啂䕁䅑兑杁䍁䄰䅉䑂䝁䅅䅣求䡁䅧克杁䍁䅧䅥灁䅁䅁杩䅅䑁䄴䅁偂䡁䅁䅤灂䝁䄸杢穂䑁䅯䅉呂䡁䅑兙あ䝁䅫督あ䝁䅫睙㥁䙁䅍䅖䕂䕁䅕杖獁䕁䄴兑㥁䕁䄴兑䅁䙁䝍䅁杁䅁䅁兓剂䙁䄸睕噂䕁䅉睘䕂䕁䅕村啂䙁䄸䅕䑂䙁䅑䅁潁允䅁䅘䅁䙁䅳兔䩂䙁䄸睑療䝁䄰䅣桂䝁䄴入時䕁䅳党㕂䙁䅍䅤桂䡁䅑督時䡁䅙免畁䡁䅧䅢穂䝁䄰兘卂䝁䅅䅤灂䝁䄸督桁䍁䅑䅒歁䑁䅑杏歁䕁䅫䅊ぁ䅁䅁兊䅑䥁䄴䅁湁䙁䅳睑療䡁䅁入杁䝁䄸杚杁䙁䅍䅕䡂䙁䄸睑療䝁䄰䅣桂䝁䄴入時䕁䅳党㕂䙁䅍䅤桂䡁䅑督時䡁䅙杍時䝁䄴党㍂䍁䄴䅥獂䡁䅍兢摂䕁䅍兙睂䝁䅫䅤桂䝁䅷兡㙂䝁䅅䅤灂䝁䄸杢湁䍁䅅䅊䙂䍁䅑兎硁䑁䅯䅊䭂䍁䅑兎硁䅁䅁兕䅣䩁䅧䅁偂䡁䅁䅤灂䝁䄸杢穂䑁䅯䅉䑂䡁䅕杣祂䑁䄰杓兂䙁䅫䅌杁䕁䄰兙湂䑁䄰兔灂䝁䅷䅢灂䝁䄸杢穂䍁䅷睑療䝁䄴杤乂䝁䅕䅤潂䝁䄸䅚㥁䕁䄰兓祂䝁䅕睙療䝁䄰兢求䝁䄴䅚求䝁䅑䅌杁䕁䄴兑㥁䕁䄴兑獁䍁䅁䅖求䡁䅉兢㥁䝁䅕杢瑁䙁䅕睕䅁䱁䕧䅁睁䅁䅁兓剂䙁䄸睕噂䕁䅉睘䵂䕁䅕兑呂䕁䅕睘䉂䕁䅙䅖䙂䙁䅉睘䝂䕁䅫杖䙂䅁䅁儰䅅䍁䅧䅁䩂䙁䅅睘呂䙁䅕村時䕁䅷兒䉂䙁䅍兒時䕁䅫杔䑂䙁䄸睑婂䅁䅁典䅅䝁䅯䅁扂䕁䄰兓時䕁䅍睢瑂䡁䅁兙畂䡁䅫睘䱂䝁䅕入呂䡁䅑兙あ䡁䅍睘㉂䑁䅅杌㑂䝁䅷督瑂䙁䄰睓求䡁䅫睘呂䡁䅑兙あ䡁䅍光歁䕁䅕䅊硁䑁䅁李㙁䍁䅑睒歁䑁䅅䅍㉁䅁䅁睬䅑䍁䅯䅁䩂䙁䅅睘呂䙁䅕村時䕁䅷兒䉂䙁䅍兒時䕁䅫杔䑂䙁䄸睑婂䑁䅍䅁䱄允䅁杋䅁䕁䅫兕時䙁䅍兖䍂䙁䄸䅔䙂䕁䅅睕䙂䙁䄸兓佂䕁䅍睘䑂䙁䅫䅎䅁䵁䈰䅁祂䅁䅁睗呂䙁䅁睒時䕁䅍睢瑂䡁䅁兙畂䡁䅫睘䱂䝁䅕入呂䡁䅑兙あ䡁䅍睘㉂䑁䅅杌㑂䝁䅷督瑂䙁䄰兓畂䝁䅍睢瑂䝁䅕睘呂䡁䅑兙あ䝁䅕兢求䝁䄴䅤桁䍁䅑兒歁䑁䅣杏歁䙁䅁䅊㍁䅁䅁眵䅕䙁䄴䅁佂䝁䅕䅤杁䙁䅁杣療䡁䅁党祂䡁䅑入獁䍁䅁䅕獂䝁䅅杢あ䍁䅁兙畂䝁䅑䅉䙂䡁䅅兤灂䡁䅁杌獁䍁䅁兎杁䙁䅫杣畁䍁䅁睑䉂䕁䅣杕杁䍁䅧兊灁䅁䅁杮䅉䙁䅑䅁扂䕁䄰兓時䕁䅳党㕂䙁䅍䅤桂䡁䅑督時䡁䅙免畁䡁䅧䅢穂䝁䄰兘䑂䝁䅅督潂䙁䄸杒獂䝁䄸睤桁䍁䅑睑歁䑁䅫杏歁䕁䅍䅊㕁䑁䅅䅁湄睁䅁杌䅁䕁䅫兕時䙁䅍兖䍂䙁䄸䅔䙂䕁䅅睕䙂䙁䄸杔䙂䙁䅧䅖時䕁䅙兓坂䕁䅕䅁偄允䅁䅌䅁䕁䅫兕時䙁䅑兑奂䙁䄸村䙂䕁䄴兒䝂䕁䅫䅖時䕁䅍杒時䑁䅅兗卂䅁䅁杹䅉䡁䅉䅁扂䕁䄰兓時䕁䅍睢瑂䡁䅁兙畂䡁䅫睘䱂䝁䅕入呂䡁䅑兙あ䡁䅍睘㉂䑁䅅睘畁䡁䅧䅢穂䝁䄰兘䑂䝁䅅䅣灂䡁䅑兙獂䝁䅫来桂䡁䅑兡療䝁䄴光歁䕁䅕䅊ㅁ䑁䅉杏歁䕁䅯䅊ㅁ䑁䅉䅁睄䅂䅁䅌䅁䕁䅫兕時䙁䅑兑奂䙁䄸村䙂䕁䄴兒䝂䕁䅫䅖時䕁䅍杒時䑁䅑兗卂䅁䅁末䅉䑁䅯䅁䩂䙁䅅睘啂䕁䅅䅗時䕁䅉兒佂䕁䅕杒䩂䙁䅑睘䑂䕁䅙睘䉂䕁䅙䅖䙂䙁䅉睘䝂䕁䅫杖䙂䅁䅁术䅉䝁䅯䅁扂䕁䄰兓時䕁䅍睢瑂䡁䅁兙畂䡁䅫睘䱂䝁䅕入呂䡁䅑兙あ䡁䅍睘㉂䑁䅅杌㑂䝁䅷督瑂䙁䄰睓求䡁䅫睘呂䡁䅑兙あ䡁䅍光歁䕁䅍䅊硁䑁䅁兏㙁䍁䅑睑歁䑁䅅免ㅁ䅁䅁睲䅕䍁䅁䅁呂䙁䅁睘啂䕁䅕杖時䕁䅕村䩂䙁䅑睘䝂䙁䅣䅒䅁䙁䝯䅁祁䅁䅁兓剂䙁䄸䅖䉂䙁䅧睘䍂䕁䅕杔䙂䕁䅙兓啂䙁䄸睑䝂䙁䄸杔偂䙁䄸兒奂䙁䅁䅁⭃杁䅁䅨䅁䍁䅣睗呂䙁䅁睒時䕁䅍睢瑂䡁䅁兙畂䡁䅫睘䱂䝁䅕入呂䡁䅑兙あ䡁䅍睘㉂䑁䅉杌㑂䝁䅷督瑂䙁䄰睑桂䡁䅁兡あ䝁䅅䅢時䙁䅍䅤祂䡁䅕睙あ䡁䅕杣求䙁䄸䅉䕂䝁䅕䅤桂䝁䅫䅢穂䍁䅁睊桁䍁䅑兒歁䑁䅑䅎䅁䍁䥫䅁䕃䅁䅁睊扂䙁䅍䅕䡂䙁䄸睑療䝁䄰䅣桂䝁䄴入時䕁䅳党㕂䙁䅍䅤桂䡁䅑督時䡁䅙杍畁䡁䅧䅢穂䝁䄰兘䑂䝁䅅䅣灂䡁䅑兙獂䙁䄸睕あ䡁䅉兤橂䡁䅑兤祂䝁䅕睘杁䕁䅑党あ䝁䅅兡獂䡁䅍䅉湁䍁䅅䅊䕂䍁䅑睎㉁䅁䅁先䅧䝁䅙䅁䵂䝁䅕杤求䝁䅷䅉祁䍁䅁䅔灂䝁䅅杙灂䝁䅷兡あ䝁䅫党穂䍁䅁兌杁䕁䄸杙穂䝁䅕杣㉂䝁䅅杙獂䝁䅕䅉兂䡁䅉兡橂䝁䅕督杁䍁䅧杕求䡁䅁睢祂䡁䅑党歂䍁䅫䅁桁睁䅁䅨䅁䙁䅳睕兂䕁䅣睘䑂䝁䄸兢睂䝁䅅杢㕂䙁䄸睓求䡁䅫睕あ䝁䅅䅤穂䙁䄸杤硁䍁䄴䅥獂䡁䅍兢摂䕁䅍兙睂䝁䅫䅤桂䝁䅷睘呂䡁䅑杣ㅂ䝁䅍䅤ㅂ䡁䅉党時䙁䅍兤瑂䝁䄰兙祂䡁䅫光歁䕁䅕䅊㍁䑁䅯䅊偂䍁䅑睎䅁偁䘸䅁䕃䅁䅁睊扂䙁䅍䅕䡂䙁䄸睑療䝁䄰䅣桂䝁䄴入時䕁䅳党㕂䙁䅍䅤桂䡁䅑督時䡁䅙杍畁䡁䅧䅢穂䝁䄰兘䑂䝁䅅䅣灂䡁䅑兙獂䙁䄸睕あ䡁䅉兤橂䡁䅑兤祂䝁䅕睘杁䕁䅑党あ䝁䅅兡獂䡁䅍䅉湁䍁䅅䅊䝂䍁䅑免祁䅁䅁睈䅧䑁䅁䅁䩂䙁䅅睘啂䕁䅅䅗時䕁䅉兒佂䕁䅕杒䩂䙁䅑睘䑂䕁䅙睘啂䕁䄸䅖䉂䕁䅷䅁䍁睁䅁䅍䅁䙁䅍䅕時䕁䄰睓啂䕁䅍兑兂䙁䄸䅖偂䙁䅑兑䵂䙁䄸杕䙂䙁䅙睘䝂䙁䅣䅒䅁䝁䝷䅁畁䅁䅁兓剂䙁䄸䅖偂䙁䅑兑䵂䙁䄸睑偂䕁䄰兔偂䕁䄴睘䙂䙁䅅兖䩂䙁䅑兗䅁䡁䅁䅁獁䅁䅁兓剂䙁䄸䅖䍂䙁䅙睘硁䙁䅫杕時䕁䅅杔佂䙁䄸睒卂䕁䄸睖啂䕁䅧䅁瑁杁䅁䅌䅁䕁䅫兕時䙁䅑村坂䙁䄸杍婂䙁䅉睘䉂䕁䄴杔時䕁䅣杕偂䙁䅣䅖䥂䅁䅁睖䅉䝁䅯䅁扂䙁䅍䅕䡂䙁䄸睑療䝁䄰䅣桂䝁䄴入時䕁䅳党㕂䙁䅍䅤桂䡁䅑督時䡁䅙免畁䡁䅧䅢穂䝁䄰兘呂䡁䅕䅣睂䝁䅷党瑂䝁䅕杢あ䝁䅅䅢桁䍁䅑䅒歁䑁䅣杏歁䕁䅫䅊㍁䅁䅁睃䅙䍁䅷䅁䩂䙁䅅睘啂䕁䅉杖時䑁䅕兗卂䙁䄸兑佂䕁䄴睘䡂䙁䅉睔塂䙁䅑䅓䅁䭁䍅䅁敂䅁䅁杔求䡁䅑䅉兂䡁䅉睢睂䝁䅕杣あ䡁䅫䅌杁䙁䅁䅢桂䝁䄴䅤杁䝁䅅杢歂䍁䅁兒硂䡁䅕兡睂䍁䄴䅌杁䑁䅉䅉婂䡁䅉杌杁䕁䅍兑䡂䙁䅉䅉潁䍁䅕克䅁䑁䍷䅁佂䅁䅁䅖療䡁䅑兙獂䍁䅁睑療䝁䄴杤求䡁䅉䅤灂䝁䅉䅢求䍁䅁䅒求䝁䅉䅤癁䍁䅁䅖療䡁䅑兙獂䍁䅁䅒求䝁䅉䅤杁䍁䅧兊灁䅁䅁睋䅅䝁䅧䅁扂䕁䄰兓時䙁䅉兒䩂䙁䅑睘呂䝁䅅兢求䙁䅍䅤療䡁䅉党啂䝁䅕兢睂䝁䅷兙あ䝁䅕睘㉂䑁䅅杌㑂䝁䅷督摂䕁䅑兙あ䝁䅅光歁䕁䄰䅊ぁ䑁䅙杏歁䕁䅙杕歁䑁䅑李䅁乁䐰䅁祁䅁䅁兓剂䙁䄸䅖偂䙁䅑兑䵂䙁䄸睖䉂䙁䅉杕䉂䕁䄴䅖呂䙁䄸兓呂䙁䅍兖䙂䕁䅑䅁奂睁䅁䅊䅁䕁䅫兕時䙁䅑兒卂䕁䄰睘䵂䕁䄸兑佂䙁䅍睘兂䕁䅍䅖䅁偁䅧䅁奁䅁䅁兓剂䙁䄸䅖䙂䙁䅙睘噂䕁䅙睑䝂䅁䅁䅘䅙䙁䅙䅁扂䙁䅍䅕䡂䙁䄸睑療䝁䄰䅣桂䝁䄴入時䕁䅳党㕂䙁䅍䅤桂䡁䅑督時䡁䅙杍畁䡁䅧䅢穂䝁䄰兘呂䝁䅧党求䡁䅑免桁䍁䅑兑䉂䍁䅑兎䅁䭁䝣䅁⭁䅁䅁兓剂䙁䄸䅖偂䙁䅑兑䵂䙁䄸兑呂䙁䅍兒啂䙁䅍睘穁䙁䅫杕時䕁䅅杔佂䙁䄸睒卂䕁䄸睖啂䕁䅧䅁㕂杁䅁杗䅁䙁䅳兔䩂䙁䄸睓求䡁䅫睕あ䝁䅅䅤穂䙁䄸杤硁䍁䄴䅥獂䡁䅍兢摂䕁䅳党㕂䙁䄸睕あ䝁䅅䅤穂䍁䅅䅊䑂䍁䅑免睁䑁䅅杏歁䕁䅍䅊硁䑁䅁兎䅁䡁䑳䅁㡁䅁䅁兓剂䙁䄸䅖偂䙁䅑兑䵂䙁䄸䅔䩂䕁䅅村時䙁䅑睔時䙁䅑睔啂䕁䅅䅔時䕁䅅睕呂䕁䅕䅖呂䅁䅁睳䅉䑁䅙䅁䩂䙁䅅睘啂䕁䄸䅖䉂䕁䅷睘偂䙁䅁䅖䩂䕁䄸杔呂䙁䄸睑䉂䕁䄴睑䙂䕁䅷䅔䙂䕁䅑䅁䝂睁䅁杚䅁䙁䅳兔䩂䙁䄸睑療䝁䄰䅣桂䝁䄴入時䕁䅳党㕂䙁䅍䅤桂䡁䅑督時䡁䅙免時䍁䄴䅥獂䡁䅍兢摂䕁䅍兙睂䝁䅫䅤桂䝁䅷兡㙂䝁䅅䅤灂䝁䄸杢桁䍁䅑睑歁䑁䅑䅏䅁佁䕫䅁祁䅁䅁兓剂䙁䄸䅖偂䙁䅑兑䵂䙁䄸睔兂䙁䅑兓偂䕁䄴睕時䕁䅣杕䉂䕁䄴䅖䙂䕁䅑䅁䅂睁䅁杕䅁䙁䅳睓求䡁䅫睕あ䝁䅅䅤穂䙁䄸䅤求䡁䅍䅤浂䝁䅫䅢求䍁䄴䅥獂䡁䅍䅥摂䙁䅍䅡求䝁䅕䅤祁䍁䅅䅊䙂䍁䅑䅏㙁䍁䅑兒歁䑁䅫䅁潁䅁䅁杋䅁䕁䅫兕時䙁䅑睔啂䕁䅅䅔時䙁䅁杕䙂䕁䅙睘䙂䙁䅅兖䩂䙁䅑兗䅁䉁䅯䅁㑁䅁䅁兓剂䙁䄸䅖偂䙁䅑兑䵂䙁䄸杕䙂䙁䅙睘硁䙁䅫杕時䕁䅅杔佂䙁䄸睒卂䕁䄸睖啂䕁䅧䅁䅁䅁䅁䅏䅁䕁䅫兕時䙁䅑睔啂䕁䅅䅔時䙁䅉兒坂䙁䄸睍婂䙁䅉睘䉂䕁䄴杔時䕁䅣杕偂䙁䅣䅖䥂䅁䅁睚䅉䑁䅧䅁䩂䙁䅅睘啂䕁䄸䅖䉂䕁䅷睘卂䕁䅕杖時䑁䅕兗卂䙁䄸兑佂䕁䄴睘䡂䙁䅉睔塂䙁䅑䅓䅁䭁䌸䅁䍂䅁䅁兓剂䙁䄸䅖偂䙁䅑兑䵂䙁䄸睕卂䙁䄸睕䙂䕁䅍兖卂䕁䅕䅒時䕁䅕村䩂䙁䅑䅒䉂䙁䄸睑䉂䙁䅁兒奂䅁䅁八䅅䝁䅁䅁扂䕁䄰兓時䕁䅍睢瑂䡁䅁兙畂䡁䅫睘䱂䝁䅕入呂䡁䅑兙あ䡁䅍睘㉂䑁䅅杌㑂䝁䅷督瑂䙁䄰村桂䝁䅷兙畂䝁䅍党時䙁䅍䅡求䝁䅕䅤桁䍁䅑睑歁䑁䅑䅁䥁䅂䅁䅍䅁䕁䅫兕時䙁䅑睔啂䕁䅅䅔時䙁䅍杕時䙁䅍兒䑂䙁䅕杕䙂䕁䅑睘兂䕁䅍䅖䅁䙁䉯䅁歁䅁䅁兓剂䙁䄸䅖偂䙁䅑兑䵂䙁䄸睕噂䕁䅉睘䕂䕁䅕村啂䅁䅁杇䅅䕁䄴䅁䵂䝁䅕杤求䡁䅉党歂䍁䅁杒祂䝁䅕党杁䕁䅍兙穂䝁䅧䅉䝂䝁䅷睢㍂䍁䅷䅉祁䍁䅁兗祂䍁䄴䅉䑂䕁䅅睒卂䍁䅁䅋汁䍁䅫䅁敂杁䅁䅌䅁䕁䅫兕時䙁䅑睔啂䕁䅅䅔時䙁䅍兖䍂䙁䄸䅒䙂䕁䅉䅖時䙁䅁睑啂䅁䅁杉䅅䑁䅉䅁䩂䙁䅅睘啂䕁䄸䅖䉂䕁䅷睘塂䕁䅅杕卂䕁䅅杔啂䙁䅍睘䍂䕁䅕睒時䕁䄸睕䅁䙁䑙䅁㑁䅁䅁兓剂䙁䄸䅖偂䙁䅑兑䵂䙁䄸睖䉂䙁䅉杕䉂䕁䄴䅖呂䙁䄸兒奂䕁䅕杕䑂䕁䅫睕䙂䕁䅑䅁慂睁䅁杌䅁䕁䅫兕時䙁䅑杕噂䙁䅍䅖時䙁䅁杕䙂䕁䅙兒卂䙁䅉兒䕂䙁䄸䅕䑂䙁䅑䅁潂允䅁杚䅁䙁䅳睓求䡁䅫睕あ䝁䅅䅤穂䙁䄸䅤求䡁䅍䅤浂䝁䅫䅢求䍁䄴䅥獂䡁䅍兢摂䕁䅍兙睂䝁䅫䅤桂䝁䅷兡㙂䝁䅅䅤灂䝁䄸杢桁䍁䅑杒歁䑁䅑䅏㙁䍁䅑睓歁䑁䅑䅏䅁佁䅁䅁䕂䅁䅁䅔求䡁䅙党祂䝁䅕䅚杁䕁䅙杣求䝁䅕䅉䑂䝁䅅督潂䍁䅁杒獂䝁䄸睤杁䕁䄰兙祂䝁䅣兡畂䍁䅁䅋汁䍁䅫䅁十杁䅁杓䅁䙁䅳睓求䡁䅫睕あ䝁䅅䅤穂䙁䄸䅤求䡁䅍䅤浂䝁䅫䅢求䍁䄴䅥獂䡁䅍䅥摂䙁䅍䅡求䝁䅕䅤硁䍁䅅䅊䍂䍁䅑兎祁䅁䅁䅤䅁䍁䄴䅁䩂䙁䅅睘噂䕁䅙睑䝂䙁䄸免婂䙁䅉睘䉂䕁䄴杔時䕁䅣杕偂䙁䅣䅖䥂䅁䅁兎䅉䕁䅯䅁啂䝁䄸䅤桂䝁䅷䅉呂䝁䅕杢灂䝁䄸杣杁䙁䅍党橂䡁䅕杣求䝁䅑䅉䕂䝁䅕杙あ䍁䅁䅋卂䝁䅕䅣療䡁䅉䅤求䝁䅑克䅁䑁䉕䅁慂䅁䅁睗乂䕁䅫睘䱂䝁䅕入呂䡁䅑兙あ䡁䅍睘㉂䑁䅅杌㑂䝁䅷督瑂䙁䄰睓求䡁䅫睘呂䡁䅑兙あ䡁䅍光歁䕁䅕䅊硁䑁䅁䅎㙁䍁䅑睒歁䑁䅅䅍ぁ䅁䅁睺䅍䍁䄴䅁䩂䙁䅅睘噂䕁䅙睑䝂䙁䄸杍婂䙁䅉睘䉂䕁䄴杔時䕁䅣杕偂䙁䅣䅖䥂䅁䅁睓䅉䥁䅑䅁湁䙁䅳睕兂䕁䅣睘䑂䝁䄸兢睂䝁䅅杢㕂䙁䄸睓求䡁䅫睕あ䝁䅅䅤穂䙁䄸杤祁䍁䄴䅥獂䡁䅍兢摂䕁䅍兙睂䝁䅫䅤桂䝁䅷睘呂䡁䅑杣ㅂ䝁䅍䅤ㅂ䡁䅉党時䍁䅁䅒求䡁䅑兙灂䝁䅷督杁䍁䅣光歁䕁䅫䅊㍁䑁䅙䅁ぁ䅃䅁杌䅁䕁䅫兕時䙁䅕杒䑂䕁䅙睘ㅁ䙁䅫杕時䕁䅅杔佂䙁䄸睒卂䕁䄸睖啂䕁䅧䅁牃杁䅁杘䅁䙁䅳兔䩂䙁䄸睓求䡁䅫睕あ䝁䅅䅤穂䙁䄸杤硁䍁䄴䅥獂䡁䅍兢摂䕁䅉兙獂䝁䅅杢橂䝁䅕睘呂䝁䅧党求䡁䅑光歁䕁䅍䅊㕁䑁䅯䅊䑂䍁䅑免穁䑁䅫䅁汄睁䅁杈䅁䕁䅫兕時䙁䅕杒䑂䕁䅙睘乂䕁䅅杕䡂䕁䅫杔䅁䉁䍍䅁䭁䅁䅁杒剂䍁䄰杍䅁䱁䠰䅁䍃䅁䅁睊扂䕁䅍睢睂䡁䅫䅉療䝁䅙䅉呂䙁䅁睒時䕁䅍睢瑂䡁䅁兙畂䡁䅫睘䱂䝁䅕入呂䡁䅑兙あ䡁䅍睘㉂䑁䅉睘畂䝁䅕睤畁䡁䅧䅢穂䝁䄰兘䑂䝁䅅䅣灂䡁䅑兙獂䝁䅫来桂䡁䅑兡療䝁䄴睊桁䍁䅑睑歁䑁䅑兏䅁䙁䡑䅁潁䅁䅁兓剂䙁䄸兖佂䕁䅅兔偂䙁䅉䅖時䕁䅑兓呂䕁䅍睘兂䕁䅍䅖䅁䅁䉁䅁捂䅁䅁睗䱂䝁䅕入呂䡁䅑兙あ䡁䅍睘あ䝁䅕督あ䝁䅙兡獂䝁䅕杌㑂䝁䅷督瑂䙁䄰睓求䡁䅫睘呂䡁䅑兙あ䡁䅍光歁䕁䅑䅊祁䑁䅕杏歁䕁䅑䅊ぁ䑁䅫䅁扃䅁䅁权䅁䕁䅙兕瑁䑁䅅䅁⭃睂䅁䅰䅁䍁䅣睗䑂䝁䄸䅣㕂䍁䅁睢浂䍁䅁睕兂䕁䅣睘䑂䝁䄸兢睂䝁䅅杢㕂䙁䄸睓求䡁䅫睕あ䝁䅅䅤穂䙁䄸杤祁䙁䄸杢求䡁䅣杌㑂䝁䅷督瑂䙁䄰睑桂䡁䅁兡あ䝁䅅䅢時䙁䅍䅤祂䡁䅕睙あ䡁䅕杣求䙁䄸睕ㅂ䝁䄰兢桂䡁䅉入湁䍁䅅䅊䕂䍁䅑杍㕁䑁䅯䅊䕂䍁䅑睎㕁䅁䅁䅷䅣䉁䅷䅁䩂䙁䅅睘噂䕁䄴䅒卂䕁䅅睖佂䙁䄸睑兂䅁䅁杂䅅䕁䅯䅁扂䕁䅳党㕂䙁䅍䅤桂䡁䅑督時䡁䅑党穂䡁䅑杚灂䝁䅷党畁䡁䅧䅢穂䝁䄰兘呂䝁䅧党求䡁䅑免桁䍁䅑兒歁䑁䅕杍䅁䥁䅁䅁獂䅁䅁睗乂䕁䅫睘䑂䝁䄸兢睂䝁䅅杢㕂䙁䄸睓求䡁䅫睕あ䝁䅅䅤穂䙁䄸杤硁䙁䄸杌㑂䝁䅷督瑂䙁䄰睓求䡁䅫睘呂䡁䅑兙あ䡁䅍光歁䕁䅍䅊硁䑁䅅䅍㙁䍁䅑睑歁䑁䅅免ぁ䅁䅁睺䅑䍁䅑䅁䩂䙁䅅睘噂䕁䄴䅒卂䕁䅅睖佂䙁䄸睑卂䕁䅕䅒䩂䙁䅑䅁䵁允䅁䅈䅁䕁䅫兕時䙁䅕杔䕂䙁䅉兑塂䕁䄴睘啂䕁䅷䅁䥁允䅁䅒䅁䕁䅫兕時䙁䅕杔卂䕁䅕睑偂䕁䅣睘啂䕁䅅䅗時䕁䅉兒佂䕁䅕杒䩂䙁䅑睘䙂䕁䄴䅒時䙁䅁兒卂䕁䅫睔䕂䅁䅁䅅䅍䙁䅙䅁扂䕁䅳党㕂䙁䅍䅤桂䡁䅑督時䡁䅑党穂䡁䅑杚灂䝁䅷党畁䡁䅧䅢穂䝁䄰兘呂䝁䅧党求䡁䅑免桁䍁䅑杓歁䑁䅉睍㙁䍁䅑䅔歁䑁䅉睍䅁䥁䄰䅁畂䅁䅁睗呂䙁䅁睒時䕁䅍睢瑂䡁䅁兙畂䡁䅫睘䱂䝁䅕入呂䡁䅑兙あ䡁䅍睘㉂䑁䅅杌㑂䝁䅷督瑂䙁䄰睑桂䡁䅁兡あ䝁䅅䅢灂䡁䅯兙あ䝁䅫睢畂䍁䅅䅊䙂䍁䅑兎㙁䍁䅑杓歁䑁䅕䅁穄兂䅁䅌䅁䕁䅫兕時䙁䅕杔呂䕁䅕睑噂䙁䅉兒䕂䙁䄸䅒䙂䕁䅉䅖時䙁䅁睑啂䅁䅁杙䅅䑁䅙䅁䩂䙁䅅睘噂䙁䅍睘䡂䕁䅅兑兂䙁䄸䅔䩂䕁䅅村時䙁䅑睔啂䕁䅅䅔時䕁䅷兓䉂䕁䅉䅁䕄杁䅁䅣䅁䙁䅳睕兂䕁䅣睘䑂䝁䄸兢睂䝁䅅杢㕂䙁䄸睓求䡁䅫睕あ䝁䅅䅤穂䙁䄸杤祁䍁䄴䅥獂䡁䅍兢摂䙁䅍兤睂䡁䅁䅢求䝁䄰党畂䡁䅑兙獂䍁䅅䅊䑂䍁䅑免硁䑁䅯䅊䑂䍁䅑免㉁䑁䅑䅁允䅃䅁䅌䅁䕁䅫兕時䙁䅙兑卂䕁䅫兑䍂䕁䅷兒時䙁䅉兑啂䕁䅕睘䕂䕁䅕村啂䅁䅁䅕䅅䍁䅙䅁䩂䙁䅅睘塂䕁䅅杕卂䕁䅅杔啂䙁䅍睘䍂䕁䅕睒時䕁䄸睕䅁䕁䑯䅁佃䅁䅁睊扂䕁䅍睢睂䡁䅫䅉療䝁䅙䅉呂䙁䅁睒時䕁䅍睢瑂䡁䅁兙畂䡁䅫睘䱂䝁䅕入呂䡁䅑兙あ䡁䅍睘㉂䑁䅉睘畂䝁䅕睤畁䡁䅧䅢穂䝁䄰兘䍂䝁䅅䅢桂䝁䄴睙求䙁䄸睕潂䝁䅕党あ䍁䅣光歁䕁䅍䅊硁䑁䅅杏歁䕁䅍䅊祁䑁䅁免䅁䕁䡑䅁流䅁䅁兓剂䙁䄸睖䉂䙁䅉杕䉂䕁䄴䅖呂䙁䄸兓呂䙁䅍兖䙂䕁䅑䅁䵂睁䅁䅑䅁䕁䅫兕時䙁䅣兑卂䙁䅉兑佂䙁䅑睕時䙁䅍䅖卂䕁䅫睓䙂䙁䄸䅕卂䕁䅫睑䙂䙁䄸兓呂䙁䅍兖䙂䕁䅑䅁睁睁䅁杖䅁䙁䅳睕兂䕁䅣睘䑂䝁䄸兢睂䝁䅅杢㕂䙁䄸睓求䡁䅫睕あ䝁䅅䅤穂䙁䄸杤祁䍁䄴䅥獂䡁䅍兢摂䙁䅍䅡求䝁䅕䅤硁䍁䅅䅊䙂䍁䅑睎ㅁ䅁䅁䅵䅙䑁䅉䅁䩂䙁䅅睘塂䙁䅑䅒時䕁䅅杖䡂䙁䄸兓卂䙁䄸兑䝂䙁䅑兒卂䙁䄸杒䩂䙁䅙兒䅁佁䉍䅁歁䅁䅁兓剂䙁䄸睖啂䕁䅑睘䉂䙁䅙睒時䕁䅫杕時䕁䅍兗祁䅁䅁眶䅅䍁䅑䅁䩂䙁䅅睘塂䙁䅑䅒時䕁䅅杖䡂䙁䄸兓卂䙁䄸睑婂䑁䅑䅁癄允䅁䅌䅁䕁䅫兕時䙁䅣䅖䕂䙁䄸兑坂䕁䅣睘䩂䙁䅉睘䵂䙁䅑睘䕂䕁䅕村啂䅁䅁儴䅅䝁䄴䅁扂䙁䅍䅕䡂䙁䄸睑療䝁䄰䅣桂䝁䄴入時䕁䅳党㕂䙁䅍䅤桂䡁䅑督時䡁䅙杍畁䡁䅧䅢穂䝁䄰兘䑂䝁䅅䅣灂䡁䅑兙獂䝁䅫来桂䡁䅑兡療䝁䄴光歁䕁䅕䅊ぁ䑁䅯䅊䭂䍁䅑䅎䅁偁䠸䅁睁䅁䅁兓剂䙁䄸杗䙂䙁䅉睔時䕁䅍睔噂䙁䅁睔佂䙁䄸䅒䙂䕁䅉䅖時䙁䅁睑啂䅁䅁䅢䅅䙁䄴䅁䩂䝁䄰䅣桂䝁䅫杣畁䍁䅁睢浂䍁䅁睔灂䝁䅷䅌杁䕁䅣兙穂䍁䅁杊杁䕁䄰兡畂䝁䅕杣桂䝁䅷䅉兂䡁䅉睢睂䍁䄴䅉潁䙁䅉党睂䝁䄸杣あ䝁䅕䅚灁䅁䅁兴䅁䑁䅑䅁䩂䝁䄴杤求䝁䄴䅤療䡁䅉入獁䍁䅁杍杁䙁䅫杣畁䍁䅁睑䉂䕁䅣杕杁䍁䅧兊灁䅁䅁杕䅉䑁䅑䅁䩂䝁䄴杤求䝁䄴䅤療䡁䅉入獁䍁䅁睍杁䙁䅫杣畁䍁䅁睑䉂䕁䅣杕杁䍁䅧兊灁䅁䅁䅥䅉䍁䅷䅁佂䝁䅕䅤杁䕁䅑党楂䡁䅑䅉癁䍁䅁兒䍂䕁䅫䅖䕂䕁䅅䅉潁䡁䅧克䅁䥁䉙䅁捂䅁䅁䅔啂䍁䅁䅒求䝁䅉䅤杁䍁䅧兓畂䝁䅍䅢畁䍁䅁睑桂䡁䅁杌杁䕁䅷党桂䡁䅍党穂䍁䅫䅉䕂䡁䅕党杁䍁䅳免杁䍁䅧杕求䡁䅁睢祂䡁䅑党歂䍁䅫䅁捃允䅁䅘䅁䕁䅷䅖杁䕁䅑党楂䡁䅑䅉潁䕁䅫杢橂䝁䅷杌杁䕁䅍兙睂䍁䄴䅉䵂䝁䅕兙穂䝁䅕督灁䍁䅁䅒ㅂ䝁䅕䅉牁䑁䅉䅉潁䙁䅉党睂䝁䄸杣あ䝁䅕䅚灁䅁䅁杮䅅䡁䅧䅁湁䙁䅳睑療䡁䅁入杁䝁䄸杚杁䙁䅍䅕䡂䙁䄸睑療䝁䄰䅣桂䝁䄴入時䕁䅳党㕂䙁䅍䅤桂䡁䅑督時䡁䅙杍時䝁䄴党㍂䍁䄴䅥獂䡁䅍兢摂䕁䅳党㕂䙁䄸睕あ䝁䅅䅤穂䍁䅣光歁䕁䅕䅊㉁䑁䅉䅁癁睂䅁䅘䅁䕁䅷䅖杁䕁䅑党楂䡁䅑䅉潁䕁䅫杢橂䝁䅷杌杁䕁䅍兙睂䍁䄴䅉䵂䝁䅕兙穂䝁䅕督灁䍁䅁䅒ㅂ䝁䅕䅉牁䑁䅑䅉潁䙁䅉党睂䝁䄸杣あ䝁䅕䅚灁䅁䅁杯䅅䝁䅧䅁偂䡁䅁䅤灂䝁䄸杢穂䍁䅁睑桂䝁䄴睙求䝁䅷䅢求䝁䅑䅉䕂䡁䅕杣灂䝁䄴睚杁䡁䅑䅡求䍁䅁䅕求䡁䅉兡療䝁䅑䅌杁䙁䅑睢あ䝁䅅䅢杁䍁䅧兙橂䡁䅑兤桂䝁䅷克䅁䕁䑣䅁坂䅁䅁睗䱂䝁䅕入呂䡁䅑兙あ䡁䅍睘あ䝁䅕督あ䝁䅙兡獂䝁䅕杌㑂䝁䅷督㑂䙁䄰睕潂䝁䅕党あ䑁䅅光歁䕁䅑䅊祁䑁䅕杏歁䕁䅑䅊㉁䑁䅣䅁噂䅁䅁杨䅁䍁䅣睗䑂䝁䄸䅣㕂䍁䅁睢浂䍁䅁睕兂䕁䅣睘䑂䝁䄸兢睂䝁䅅杢㕂䙁䄸睓求䡁䅫睕あ䝁䅅䅤穂䙁䄸杤祁䙁䄸杢求䡁䅣杌㑂䝁䅷督瑂䙁䄰睕ㅂ䡁䅁䅣獂䝁䅕兢求䝁䄴䅤桂䝁䅷睊桁䍁䅑䅒歁䑁䅙杏歁䕁䅫䅊㉁䅁䅁睙䅣䙁䅷䅁䵂䙁䅑䅉䕂䝁䅕杙あ䍁䅁䅋䩂䝁䄴睙獂䍁䄴䅉䑂䝁䅅䅣畁䍁䅁䅔求䝁䅅督求䡁䅍克杁䕁䅑兤求䍁䅁睋ㅁ䍁䅁䅋卂䝁䅕䅣療䡁䅉䅤求䝁䅑克䅁䭁䉑䅁坂䅁䅁䅔桂䡁䅁督求䍁䅁睢浂䍁䅁睕あ䝁䅅䅤ㅂ䡁䅑党杁䝁䄸杚杁䕁䅷兡瑂䝁䅫䅤桂䡁䅑兡療䝁䄴督杁䍁䅧杕求䡁䅁睢祂䡁䅑党歂䍁䅫䅁䉄杁䅁杖䅁䙁䅳睕兂䕁䅣睘䑂䝁䄸兢睂䝁䅅杢㕂䙁䄸睓求䡁䅫睕あ䝁䅅䅤穂䙁䄸杤祁䍁䄴䅥獂䡁䅍兢摂䙁䅍䅡求䝁䅕䅤硁䍁䅅䅊䱂䍁䅑䅎穁䅁䅁䅳䅙䙁䅑䅁䵂䝁䅕杤求䝁䅷䅉硁䍁䅁兑穂䡁䅍党あ䡁䅍䅉瑁䍁䅁兕ㅂ䝁䄸䅤求䝁䅑䅉兂䡁䅉兡橂䝁䅕督杁䍁䅧杕求䡁䅁睢祂䡁䅑党歂䍁䅫䅁婁睁䅁䅘䅁䕁䅷党㉂䝁䅕䅢杁䑁䅉䅉䉂䡁䅍督求䡁䅑督杁䍁䄰䅉偂䝁䅉督求䡁䅉杤桂䝁䅉䅢求䍁䅁䅕祂䝁䅫睙求䡁䅍䅉潁䙁䅉党睂䝁䄸杣あ䝁䅕䅚灁䅁䅁眶䅉䡁䅉䅁扂䙁䅍䅕䡂䙁䄸睑療䝁䄰䅣桂䝁䄴入時䕁䅳党㕂䙁䅍䅤桂䡁䅑督時䡁䅙免畁䡁䅧䅢穂䝁䄰兘䑂䝁䅅䅣灂䡁䅑兙獂䝁䅫来桂䡁䅑兡療䝁䄴光歁䕁䅍䅊ㅁ䑁䅍杏歁䕁䅍䅊ㅁ䑁䅑䅁㉄兂䅁杖䅁䙁䅳睕兂䕁䅣睘䑂䝁䄸兢睂䝁䅅杢㕂䙁䄸睓求䡁䅫睕あ䝁䅅䅤穂䙁䄸杤祁䍁䄴䅥獂䡁䅍兢摂䙁䅍䅡求䝁䅕䅤硁䍁䅅䅊䑂䍁䅑䅎穁䅁䅁共䅙䙁䅙䅁偂䡁䅁䅤灂䝁䄸杢穂䑁䅯䅉䑂䡁䅕杣祂䑁䄰兖呂䕁䅑䅌䑂䝁䄸杢㉂䕁䄰党あ䝁䅧睢歂䑁䄰兔卂䙁䅍䅣療䡁䅑䅌杁䕁䄴兑㥁䕁䄴兑䅁䱁䡙䅁煂䅁䅁䅔求䡁䅙党獂䍁䅁睍杁䕁䅷兡桂䝁䅉兡獂䝁䅫䅤灂䝁䅕督杁䍁䄰䅉噂䝁䄴睢楂䡁䅍党祂䡁䅙兙楂䝁䅷党杁䙁䅁杣灂䝁䅍党穂䍁䅁䅋卂䝁䅕䅣療䡁䅉䅤求䝁䅑克䅁䍁䑍䅁佂䅁䅁䅔求䡁䅙党祂䝁䅕䅚杁䕁䅙杣求䝁䅕䅉䑂䝁䅅督潂䍁䅁杒獂䝁䄸睤獁䍁䅁兎杁䙁䅫杣畁䍁䅁睑䉂䕁䅣杕杁䍁䅧兊灁䅁䅁東䅉䝁䅙䅁䵂䝁䄸杢湂䍁䄰䅖求䡁䅉兢杁䕁䅑党楂䡁䅑䅉潁䕁䅫杢橂䝁䅷杌杁䕁䅍兙睂䍁䄴䅉䵂䝁䅕兙穂䝁䅕督灁䍁䄸䅉啂䝁䄸䅤桂䝁䅷䅉䕂䝁䅕杙あ䍁䅁䅋汁䍁䅫䅁噂允䅁杔䅁䙁䅑睢あ䝁䅅䅢杁䙁䅉党㉂䝁䄸䅢㉂䝁䅫杢湂䍁䅁睑祂䝁䅕䅚灂䡁䅑睌杁䙁䅑睢あ䝁䅅䅢杁䕁䅑党楂䡁䅑䅉潁䍁䅕克䅁偁䅕䅁䝂䅁䅁䅔療䝁䄴睚瑁䙁䅑党祂䝁䄰䅉䕂䝁䅕杙あ䍁䅁睌杁䙁䅑睢あ䝁䅅䅢杁䕁䅍兙睂䝁䅫䅤桂䝁䅷䅉潁䍁䅕克䅁䱁䍣䅁捁䅁䅁兔桂䡁䅉睡求䡁䅑督畁䙁䅉兙畂䝁䅣党䅁䩁䙣䅁捁䅁䅁兔桂䡁䅑兤祂䝁䅫䅤㕂䍁䅁䅒桂䡁䅑党䅁䩁䝫䅁浂䅁䅁睗乂䕁䅫睘䑂䝁䄸兢睂䝁䅅杢㕂䙁䄸睓求䡁䅫睕あ䝁䅅䅤穂䙁䄸杤硁䍁䄴䅥獂䡁䅍兢摂䕁䅳党㕂䙁䄸睕あ䝁䅅䅤穂䍁䅅䅊乂䍁䅑杍ㅁ䑁䅯䅊偂䍁䅑杍ㅁ䅁䅁睩䅑䝁䅙䅁扂䕁䄰兓時䕁䅍睢瑂䡁䅁兙畂䡁䅫睘䱂䝁䅕入呂䡁䅑兙あ䡁䅍睘㉂䑁䅅杌㑂䝁䅷督瑂䙁䄰睓求䡁䅫睘呂䡁䅑兙あ䡁䅍光歁䕁䄰䅊祁䑁䅍杏歁䕁䄸䅊祁䑁䅍䅁㕂䅂䅁村䅁䕁䄰兙㑂䍁䄴䅉婂䝁䅕兙祂䍁䅁杚療䡁䅉䅉佂䕁䄸䅔杁䕁䅍兙祂䡁䅉入杁䕁䅙睢祂䡁䅣兙祂䝁䅑䅉䅁佁䍫䅁獁䅁䅁䅖療䡁䅑兙獂䍁䅁䅒求䝁䅉䅤杁䍁䅧杕求䡁䅁睢祂䡁䅑党歂䍁䅫䅁婁䅁䅁䅘䅁䕁䄴睔䵂䍁䅁睑桂䡁䅉杣㕂䝁䅙睢祂䡁䅣兙祂䝁䅑䅌杁䕁䅅杚あ䝁䅕杣杁䕁䅙兡㉂䝁䅕䅉婂䝁䅕兙祂䡁䅍䅉潁䙁䅉党睂䝁䄸杣あ䝁䅕䅚灁䅁䅁兺䅉䕁䅷䅁扂䕁䄰兓時䕁䅳党㕂䙁䅍䅤桂䡁䅑督時䡁䅙免畁䡁䅧䅢穂䝁䄰兘卂䝁䅅䅤灂䝁䄸督桁䍁䅑䅒歁䑁䅑杏歁䕁䅫䅊ぁ䅁䅁关䅍䙁䅷䅁佂䕁䄸䅔杁䕁䅍兙祂䡁䅉入浂䝁䄸杣㍂䝁䅅杣歂䍁䅷䅉䑂䡁䅕杣祂䝁䅕杢あ䍁䅁兗求䝁䅅杣杁䍁䅳䅉硁䍁䅁䅋卂䝁䅕䅣療䡁䅉䅤求䝁䅑克䅁乁䍅䅁䥂䅁䅁䅖桂䝁䄴睚灂䝁䅉䅢求䍁䅁村療䝁䄸睡杁䙁䅙兙獂䡁䅕党獁䍁䅁兎杁䙁䅫杣畁䍁䅁睑䉂䕁䅣杕杁䍁䅧兊灁䅁䅁杯䅉䕁䅯䅁扂䕁䅳党㕂䙁䅍䅤桂䡁䅑督時䡁䅑党穂䡁䅑杚灂䝁䅷党畁䡁䅧䅢穂䡁䅧兘呂䝁䅧党求䡁䅑免桁䍁䅑村歁䑁䅉免䅁䕁䅁䅁捂䅁䅁杔偂䕁䅷䅉䑂䝁䅅杣祂䡁䅫杚療䡁䅉睤桂䡁䅉䅚獁䍁䅁睑ㅂ䡁䅉杣求䝁䄴䅤杁䙁䅫党桂䡁䅉䅉牁䍁䅁杍杁䍁䅧杕求䡁䅁睢祂䡁䅑党歂䍁䅫䅁呄杁䅁䅘䅁䕁䄴睔䵂䍁䅁睑桂䡁䅉杣㕂䝁䅙睢祂䡁䅣兙祂䝁䅑䅌杁䕁䅍兤祂䡁䅉党畂䡁䅑䅉婂䝁䅕兙祂䍁䅁睋杁䑁䅑䅉潁䙁䅉党睂䝁䄸杣あ䝁䅕䅚灁䅁䅁睷䅉䥁䅉䅁扂䕁䄰兓時䕁䅍睢瑂䡁䅁兙畂䡁䅫睘䱂䝁䅕入呂䡁䅑兙あ䡁䅍睘㉂䑁䅅杌㑂䝁䅷督瑂䙁䄰睑桂䡁䅁兡あ䝁䅅䅢時䙁䅍䅤祂䡁䅕睙あ䡁䅕杣求䙁䄸睕ㅂ䝁䄰兢桂䡁䅉入桁䍁䅑兒歁䑁䅑杏歁䕁䄸䅊ぁ䅁䅁先䅑䉁䅉䅁佂䙁䅫睕䙂䑁䅯兓䍂䕁䄰䅁䡃杂䅁䅋䅁䕁䄴党あ䍁䅁䅒求䝁䅉䅤杁䍁䅧杕求䡁䅁睢祂䡁䅑党歂䍁䅫䅁剁允䅁䅌䅁䕁䄴党あ䍁䅁兓畂䝁䅍睢瑂䝁䅕䅉潁䙁䅉党睂䝁䄸杣あ䝁䅕䅚灁䅁䅁睄䅁䩁䅷䅁湁䙁䅳睑療䡁䅁入杁䝁䄸杚杁䙁䅍䅕䡂䙁䄸睑療䝁䄰䅣桂䝁䄴入時䕁䅳党㕂䙁䅍䅤桂䡁䅑督時䡁䅙杍時䝁䄴党㍂䍁䄴䅥獂䡁䅍兢摂䕁䅍兙睂䝁䅫䅤桂䝁䅷睘呂䡁䅑杣ㅂ䝁䅍䅤ㅂ䡁䅉党時䍁䅁䅒求䡁䅑兙灂䝁䅷督杁䍁䅣光歁䕁䅅兑歁䑁䅕䅁獂睂䅁李䅁䕁䄴党あ䍁䅁兓畂䝁䅍睢瑂䝁䅕䅌杁䑁䅉䅉婂䡁䅉杌杁䕁䅍兑䡂䙁䅉䅉潁䍁䅕克䅁䑁䍯䅁㉁䅁䅁杔求䡁䅑䅉䩂䝁䄴睙療䝁䄰党獁䍁䅁兎杁䙁䅫杣畁䍁䅁睑䉂䕁䅣杕杁䍁䅧兊灁䅁䅁䅮䅉䝁䅙䅁扂䕁䄰兓時䕁䅍睢瑂䡁䅁兙畂䡁䅫睘䱂䝁䅕入呂䡁䅑兙あ䡁䅍睘㉂䑁䅅杌㑂䝁䅷督瑂䙁䄰睓求䡁䅫睘呂䡁䅑兙あ䡁䅍光歁䕁䅯䅊祁䑁䅉杏歁䕁䅷䅊祁䑁䅉䅁㕄睁䅁权䅁䕁䅙兗牁䑁䅍䅁癃䅃䅁杘䅁䕁䄴党あ䍁䅁䅕祂䝁䄸䅣求䡁䅉䅤㕂䍁䅷䅉兂䝁䅷兙畂䡁䅑䅉桂䝁䄴䅚杁䕁䅕兣ㅂ䝁䅫䅣畁䍁䅷䅉穁䍁䅁兗祂䍁䄴䅉䑂䕁䅅睒卂䍁䅁䅋汁䍁䅫䅁浂杁䅁杚䅁䕁䄴党あ䡁䅑兡畂䝁䅣䅉桂䝁䄴䅚杁䕁䄸䅤潂䝁䅕杣杁䕁䅅䅚煂䡁䅕督あ䝁䄰党畂䡁䅑督杁䡁䅑睢杁䕁䅅督穂䝁䅕䅤穂䍁䅁䅋卂䝁䅕䅣療䡁䅉䅤求䝁䅑克䅁䉁䐰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䍂䍁䅑免祁䅁䅁条䅣䑁䄴䅁佂䝁䄸杢杁䍁䄰䅉卂䝁䅕睙療䡁䅕杣穂䝁䅕䅉䕂䝁䅕杙あ䍁䅁䅋卂䝁䅕䅣療䡁䅉䅤求䝁䅑克䅁䕁䉫䅁啂䅁䅁睗呂䙁䅁睒時䕁䅍睢瑂䡁䅁兙畂䡁䅫睘䱂䝁䅕入呂䡁䅑兙あ䡁䅍睘㉂䑁䅅杌㑂䝁䅷督瑂䙁䄰杕桂䡁䅑兡療䡁䅍光歁䕁䅍䅊㉁䅁䅁䅂䅙䙁䅁䅁佂䝁䄸杣瑂䝁䅅䅢灂䡁䅯党歂䍁䅁杔求䡁䅑䅉䩂䝁䄴睙療䝁䄰党獁䍁䅁免杁䙁䅫杣畁䍁䅁睒祂䝁䄸睤あ䝁䅧䅉潁䍁䅕克䅁䉁䍧䅁奂䅁䅁睗䱂䝁䅕入呂䡁䅑兙あ䡁䅍睘あ䝁䅕督あ䝁䅙兡獂䝁䅕杌㑂䝁䅷督瑂䙁䄰睑桂䡁䅁兡あ䝁䅅䅢灂䡁䅯兙あ䝁䅫睢畂䍁䅅䅊䑂䍁䅑兎䅁䵁䅫䅁䵂䅁䅁杔療䡁䅉兢桂䝁䅷兡㙂䝁䅕䅚杁䕁䄴党あ䍁䅁兓畂䝁䅍睢瑂䝁䅕䅌杁䑁䅕䅉婂䡁䅉杌杁䕁䅍兑䡂䙁䅉䅉潁䍁䅕克䅁䩁䍑䅁慂䅁䅁睔睂䝁䅕杣桂䡁䅑兡畂䝁䅣䅉䵂䝁䅕兙穂䝁䅕䅉䑂䝁䄸兢瑂䝁䅫䅤瑂䝁䅕杢あ䍁䅁䅒ㅂ䝁䅕䅉牁䑁䅅䅉潁䙁䅉党睂䝁䄸杣あ䝁䅕䅚灁䅁䅁䅵䅅䙁䅯䅁偂䡁䅁党祂䝁䅅䅤灂䝁䄴睚杁䕁䅷党桂䡁䅍党杁䕁䅍睢瑂䝁䄰兡あ䝁䄰党畂䡁䅑䅉䕂䡁䅕党杁䍁䅳杍杁䍁䅧杕求䡁䅁睢祂䡁䅑党歂䍁䅫䅁㙃允䅁䅢䅁䕁䄸䅣求䡁䅉兙あ䝁䅫杢湂䍁䅁䅔求䝁䅅督求䍁䅁睑療䝁䄰兢灂䡁䅑兢求䝁䄴䅤杁䕁䅑兤求䍁䅷䅉佂䝁䅕䅥あ䍁䅁兎杁䙁䅫杣穂䍁䅁䅋卂䝁䅕䅣療䡁䅉䅤求䝁䅑克䅁䵁䉉䅁千䅁䅁睊扂䕁䅍睢睂䡁䅫䅉療䝁䅙䅉呂䙁䅁睒時䕁䅍睢瑂䡁䅁兙畂䡁䅫睘䱂䝁䅕入呂䡁䅑兙あ䡁䅍睘㉂䑁䅅睘䝂䝁䅫杢桂䝁䅷杌㑂䝁䅷督瑂䙁䄰村桂䝁䅷兙畂䝁䅍党時䙁䅍䅡求䝁䅕䅤湁䍁䅅䅊䑂䍁䅑免硁䑁䅯䅊䑂䍁䅑杍睁䑁䅑䅁摂䅃䅁杤䅁䕁䄸䅣あ䝁䅫睢畂䡁䅍䅉䙂䡁䅧党祂䝁䅍兡穂䝁䅕䅚杁䕁䅑兤祂䝁䅫杢湂䍁䅁䅤潂䝁䅕䅉兂䝁䅕杣灂䝁䄸䅚獁䍁䅁睑療䝁䄰兢療䝁䄴䅉呂䡁䅑睢橂䝁䅳䅉潁䝁䅅睙あ䡁䅕兙獂䍁䅫䅁㍁睁䅁杚䅁䙁䅳睕兂䕁䅣睘䑂䝁䄸兢睂䝁䅅杢㕂䙁䄸睓求䡁䅫睕あ䝁䅅䅤穂䙁䄸杤硁䍁䄴䅥獂䡁䅍兢摂䕁䅍兙睂䝁䅫䅤桂䝁䅷兡㙂䝁䅅䅤灂䝁䄸杢桁䍁䅑睑歁䑁䅕䅍䅁偁䙯䅁潂䅁䅁睔睂䡁䅑兡療䝁䄴督杁䕁䅕䅥求䡁䅉睙灂䡁䅍党歂䍁䅁䅒ㅂ䡁䅉兡畂䝁䅣䅉あ䝁䅧党杁䙁䅁党祂䝁䅫睢歂䍁䅷䅉啂䝁䄸䅤桂䝁䅷䅉潁䝁䅅睙あ䡁䅕兙獂䍁䅫䅁䑂睁䅁杣䅁䕁䄸䅣あ䝁䅫睢畂䡁䅍䅉䡂䡁䅉兙畂䡁䅑党歂䍁䅁䅒ㅂ䡁䅉兡畂䝁䅣䅉あ䝁䅧党杁䙁䅁党祂䝁䅫睢歂䍁䅷䅉䑂䝁䄸兢瑂䝁䄸杢杁䙁䅍䅤療䝁䅍睡杁䍁䅧兙橂䡁䅑兤桂䝁䅷克䅁䑁䑕䅁獂䅁䅁睔睂䡁䅑兡療䝁䄴督杁䕁䄸兤あ䍁䄴䅉桂䡁䅑䅉あ䝁䅧党杁䕁䅕杢歂䍁䅁睢浂䍁䅁䅤潂䝁䅕䅉兂䝁䅕杣灂䝁䄸䅚獁䍁䅁䅖療䡁䅑兙獂䍁䅁䅋桂䝁䅍䅤ㅂ䝁䅅䅢灁䅁䅁兓䅍䉁䄴䅁呂䙁䅁睘䙂䕁䄴䅖䩂䙁䅑兗時䕁䄴兑乂䕁䅕䅁橁䅁䅁䅥䅁䙁䅳兔䩂䙁䄸睓求䡁䅫睕あ䝁䅅䅤穂䙁䄸杤硁䍁䄴䅥獂䡁䅍兢摂䕁䅍兙睂䝁䅫䅤桂䝁䅷睘呂䡁䅑杣ㅂ䝁䅍䅤ㅂ䡁䅉党時䙁䅍兤瑂䝁䄰兙祂䡁䅫光歁䕁䅍䅊硁䑁䅍杏歁䕁䅍䅊硁䑁䅑睎䅁䱁䑯䅁㡂䅁䅁睔睂䡁䅑兡療䝁䄴督杁䙁䅣䅤歂䍁䅁兑㉂䝁䅣䅉呂䡁䅑杣灂䝁䅳党杁䙁䅁杣灂䝁䅍党杁䝁䄸杚杁䕁䄸兤あ䡁䅍䅤歂䍁䅷䅉䑂䝁䄸兢瑂䍁䅁睕あ䝁䄸睙牂䍁䅁䅋卂䝁䅕䅣療䡁䅉䅤求䝁䅑克䅁䑁䐰䅁坂䅁䅁睗呂䙁䅁睒時䕁䅍睢瑂䡁䅁兙畂䡁䅫睘䱂䝁䅕入呂䡁䅑兙あ䡁䅍睘㉂䑁䅉杌㑂䝁䅷督瑂䙁䄰睕潂䝁䅕党あ䑁䅅光歁䕁䅙䅊ぁ䑁䅍䅁牃杂䅁䅬䅁䕁䄸䅣あ䝁䅫睢畂䡁䅍杏杁䕁䅍兤祂䡁䅉児䡂䕁䅉䅕獁䍁䅁兔桂䝁䅣児䍂䝁䅫䅢獂䝁䅫睢畂䡁䅍䅌䑂䝁䄸杢㉂䕁䄰党あ䝁䅧睢歂䑁䄰兔䩂䡁䅉党橂䝁䄸兢瑂䝁䅕杢歂䝁䅕䅚獁䍁䅁杔䉂䑁䄰䅌杁䙁䅑党祂䝁䄰児求䝁䄴兌噂䙁䅍䅁㙁䅁䅁杚䅁䙁䅳兔䩂䙁䄸睑療䝁䄰䅣桂䝁䄴入時䕁䅳党㕂䙁䅍䅤桂䡁䅑督時䡁䅙免畁䡁䅧䅢穂䝁䄰兘䱂䝁䅕入時䙁䅍䅤桂䡁䅑督桁䍁䅑睕歁䑁䅕䅏㙁䍁䅑睕歁䑁䅙杍䅁䩁䘰䅁䍂䅁䅁睕求䝁䅍兤祂䝁䅫䅤灂䡁䅯党歂䍁䅁䅒求䝁䅉䅤癁䍁䅁䅖療䡁䅑兙獂䍁䅁䅒求䝁䅉䅤杁䍁䅧兊灁䅁䅁党䅅䩁䅙䅁偂䡁䅁䅤灂䝁䄸杢穂䑁䅯䅉䑂䡁䅕杣祂䑁䄰睒䍂䙁䅁䅌杁䕁䄰兙湂䑁䄰䅖潂䝁䄸兤穂䝁䅅杢歂䡁䅍䅌䑂䝁䄸杢㉂䕁䄰党あ䝁䅧睢歂䑁䄰兔䩂䡁䅉党橂䝁䄸兢瑂䝁䅕杢歂䝁䅕䅚獁䍁䅁杔䉂䑁䄰䅌杁䙁䅑党祂䝁䄰児求䝁䄴兌噂䙁䅍䅁㝁䅁䅁杬䅁䕁䄸䅣あ䝁䅫睢畂䡁䅍杏杁䕁䅍兤祂䡁䅉児䭂䙁䅁兗獁䍁䅁兔桂䝁䅣児䉂䝁䅍䅤ㅂ䝁䅅䅢穂䍁䅷睑療䝁䄴杤乂䝁䅕䅤潂䝁䄸䅚㥁䕁䄰兓祂䝁䅕睙療䝁䄰兢求䝁䄴䅚求䝁䅑䅌杁䕁䄴兑㥁䕁䄴兑獁䍁䅁䅖求䡁䅉兢㥁䝁䅕杢瑁䙁䅕睕䅁䱁䕫䅁坃䅁䅁睔睂䡁䅑兡療䝁䄴督㙁䍁䅁睑ㅂ䡁䅉杣㥁䙁䅕睕䕂䍁䅷䅉乂䝁䅅睚㥁䕁䅅睙あ䡁䅕兙獂䡁䅍䅌䑂䝁䄸杢㉂䕁䄰党あ䝁䅧睢歂䑁䄰兔䩂䡁䅉党橂䝁䄸兢瑂䝁䅕杢歂䝁䅕䅚獁䍁䅁杔䉂䑁䄰杔䉂䍁䅷䅉啂䝁䅕杣瑂䑁䄰党畂䍁䄰兖呂䅁䅁睴䅑䙁䅉䅁扂䕁䅳党㕂䙁䅍䅤桂䡁䅑督時䡁䅑党穂䡁䅑杚灂䝁䅷党畁䡁䅧䅢穂䡁䅧兘呂䝁䅧党求䡁䅑杍桁䍁䅑䅒歁䑁䅧杏歁䕁䅑䅊㕁䅁䅁杊䅁䝁䅑䅁扂䕁䄰兓時䕁䅳党㕂䙁䅍䅤桂䡁䅑督時䡁䅙免畁䡁䅧䅢穂䝁䄰兘䩂䝁䄴睙療䝁䄰党時䙁䅍䅤桂䡁䅑党瑂䝁䅕杢あ䍁䅅䅊䑂䍁䅑兏㙁䍁䅑睑歁䑁䅅睎穁䅁䅁䅶䅍䙁䅁䅁扂䕁䅳党㕂䙁䅍䅤桂䡁䅑督時䡁䅑党穂䡁䅑杚灂䝁䅷党畁䡁䅧䅢穂䝁䄰兘䱂䝁䅕入時䙁䅍䅤桂䡁䅑督桁䍁䅑村歁䑁䅉杍䅁䩁䅕䅁啃䅁䅁睔睂䡁䅑兡療䝁䄴督㙁䍁䅁睑ㅂ䡁䅉杣㥁䙁䅕睕䕂䍁䅷䅉乂䝁䅅睚㥁䕁䄰兡獂䝁䅷兡療䝁䄴督獁䕁䅍睢畂䡁䅙兔求䡁䅑䅡療䝁䅑児乂䕁䅫杣求䝁䅍睢瑂䝁䄰党畂䝁䅑党歂䍁䅷䅉佂䕁䅅児獁䍁䅁䅖求䡁䅉兢㥁䝁䅕杢瑁䙁䅕睕䅁䕁䅙䅁啄䅁䅁睔睂䡁䅑兡療䝁䄴督㙁䍁䅁睑ㅂ䡁䅉杣㥁䙁䅕睕䕂䍁䅷䅉乂䝁䅅睚㥁䕁䄰兡獂䝁䅷兡療䝁䄴督獁䕁䅍睢畂䡁䅙兔求䡁䅑䅡療䝁䅑児乂䕁䅫杣求䝁䅍睢瑂䝁䄰党畂䝁䅑党歂䍁䅷䅉佂䕁䅅児佂䕁䅅䅌杁䙁䅑党祂䝁䄰児求䝁䄴兌噂䙁䅍䅌䝂䝁䅫䅢灂䝁䄴睚坂䝁䅕杣㥁䕁䄸杣灂䝁䅣兡畂䝁䅅䅢獂䡁䅫䅉卂䝁䅕䅣療䡁䅉䅤求䝁䅑䅁啃兂䅁杏䅁䕁䄸䅣あ䝁䅫睢畂䡁䅍杏杁䙁䅍䅤桂䡁䅑兡穂䡁䅑兡橂䑁䄰兑坂䕁䅣䅌佂䕁䅅児佂䕁䅅䅁塂杂䅁䅘䅁䙁䅳睓求䡁䅫睕あ䝁䅅䅤穂䙁䄸䅤求䡁䅍䅤浂䝁䅫䅢求䍁䄴䅥獂䡁䅍兢摂䕁䅳党㕂䙁䄸睕あ䝁䅅䅤穂䍁䅅䅊䕂䍁䅑兎ぁ䑁䅯䅊䕂䍁䅑兎ㅁ䅁䅁儲䅁䍁䄴䅁偂䡁䅁䅤灂䝁䄸杢穂䑁䅯䅉呂䡁䅑兙あ䝁䅫督あ䝁䅫睙㥁䕁䅷睔塂䅁䅁睗䅙䙁䄴䅁呂䝁䅕杢灂䝁䄸杣杁䙁䅍党橂䡁䅕杣求䝁䅑䅉䍂䝁䄸杢歂䡁䅍䅉桂䝁䄴䅚杁䕁䄴睢あ䝁䅕督癁䍁䅁䅖療䡁䅑兙獂䍁䅁䅒求䝁䅉䅤杁䍁䅧兊灁䅁䅁睘䅅䑁䅯䅁偂䡁䅁䅤灂䝁䄸杢穂䑁䅯䅉呂䡁䅑兙あ䝁䅫督あ䝁䅫睙㥁䕁䄰兒䕂䍁䅷杔䉂䑁䄰杔䉂䅁䅁杕䅙䭁䅧䅁偂䡁䅁䅤灂䝁䄸杢穂䑁䅯睑ㅂ䡁䅉杣㥁䙁䅕睕䕂䍁䅷兔桂䝁䅣児乂䕁䅫督あ䝁䅅杢歂䝁䅅杣歂䍁䅷睑療䝁䄴杤乂䝁䅕䅤潂䝁䄸䅚㥁䕁䄰兓祂䝁䅕睙療䝁䄰兢求䝁䄴䅚求䝁䅑䅌䝂䝁䅫䅢灂䝁䄴睚坂䝁䅕杣㥁䕁䅍兤祂䡁䅉党畂䡁䅑睌卂䝁䅕督あ䝁䅅䅤求䝁䅑䅁坃兂䅁杲䅁䕁䄸䅣あ䝁䅫睢畂䡁䅍杏䑂䡁䅕杣祂䑁䄰兖呂䕁䅑䅌乂䝁䅅睚㥁䕁䄰兓穂䡁䅑兙畂䝁䅑兙祂䝁䅑䅌䑂䝁䄸杢㉂䕁䄰党あ䝁䅧睢歂䑁䄰兔䩂䡁䅉党橂䝁䄸兢瑂䝁䅕杢歂䝁䅕䅚獁䙁䅁兙歂䑁䄰睔浂䝁䅙䅌䕂䝁䅅䅤求䡁䅍児䍂䝁䅕杚療䡁䅉党獁䙁䅍睢祂䡁䅑児䉂䡁䅍睙䅁䩁䙯䅁畂䅁䅁睔睂䡁䅑兡療䝁䄴督㙁䕁䅍兤祂䡁䅉児噂䙁䅍䅒獁䕁䄰兙湂䑁䄰兔灂䝁䅷䅢灂䝁䄸杢穂䍁䅷睑療䝁䄴杤㥁䕁䄰兓祂䝁䅕睙療䝁䄰兢求䝁䄴䅚求䝁䅑䅌佂䕁䅅児佂䕁䅅䅁佃杂䅁䅈䅁䕁䄸䅣あ䝁䅫睢畂䡁䅍杏佂䕁䅅児佂䕁䅅䅁婂杂䅁䅙䅁䙁䅳兔䩂䙁䄸睓求䡁䅫睕あ䝁䅅䅤穂䙁䄸杤硁䍁䄴䅥獂䡁䅍兢摂䕁䅍兙睂䝁䅫䅤桂䝁䅷兡㙂䝁䅅䅤灂䝁䄸杢桁䍁䅑睑歁䑁䅕睍㙁䍁䅑睑歁䑁䅕䅎䅁䭁䑣䅁䝂䅁䅁睔あ䝁䅧党祂䍁䅁睔睂䝁䅕杣桂䡁䅑兡畂䝁䅣䅉䙂䡁䅧䅣求䝁䄴督求䍁䅁䅋卂䝁䅕䅣療䡁䅉䅤求䝁䅑克䅁䱁䅣䅁䭂䅁䅁睗䱂䝁䅕入呂䡁䅑兙あ䡁䅍睘あ䝁䅕督あ䝁䅙兡獂䝁䅕杌㑂䝁䅷督㑂䙁䄰睕潂䝁䅕党あ䑁䅅光歁䕁䅕䅊祁䑁䅅䅁睁䅁䅁杏䅁䙁䅁杣求䍁䄰睔睂䝁䅕杢灂䝁䄴睚杁䕁䅍睢穂䡁䅑督杁䍁䅧杕求䡁䅁睢祂䡁䅑党歂䍁䅫䅁癃䅁䅁杤䅁䙁䅉党歂䡁䅕睙あ䝁䅫睢畂䡁䅍䅉䍂䝁䅅督求䝁䅑䅉療䝁䄴䅉啂䝁䅅䅥杁䙁䅁睢穂䝁䅫䅤灂䝁䄸杢穂䍁䅁兌杁䕁䅍兤祂䡁䅉党畂䡁䅑䅉婂䡁䅉杌杁䍁䅧杕求䡁䅁睢祂䡁䅑党歂䍁䅫䅁䩁睁䅁杋䅁䙁䅉党あ䡁䅕杣畂䍁䅁睢畂䍁䅁兑穂䡁䅍党あ䡁䅍䅉潁䍁䅕克䅁偁䉧䅁潁䅁䅁兓剂䙁䄸杒䩂䕁䄴䅔時䕁䅙兓䵂䕁䅫杔䡂䙁䄸䅒䉂䙁䅑兒䅁䱁䡧䅁獁䅁䅁杕求䡁䅑兤祂䝁䄴䅉療䝁䄴䅉䑂䝁䅅䅣灂䡁䅑兙獂䍁䅁䅋汁䍁䅫䅁㡄允䅁杣䅁䙁䅳兔䩂䙁䄸睑療䝁䄰䅣桂䝁䄴入時䕁䅳党㕂䙁䅍䅤桂䡁䅑督時䡁䅙免畁䡁䅧䅢穂䝁䄰兘䍂䝁䅅䅢桂䝁䄴睙求䙁䄸睕潂䝁䅕党あ䍁䅅䅊䙂䍁䅑免ぁ䑁䅍杏歁䙁䅁䅊硁䑁䅑睍䅁䭁䕙䅁㑁䅁䅁杕求䡁䅑兤祂䝁䄴䅉療䝁䄴䅉䑂䝁䄸兢瑂䝁䄸杢杁䕁䅕兣ㅂ䝁䅫䅤㕂䍁䅁䅋汁䍁䅫䅁⭄允䅁杚䅁䙁䅳睓求䡁䅫睕あ䝁䅅䅤穂䙁䄸䅤求䡁䅍䅤浂䝁䅫䅢求䍁䄴䅥獂䡁䅍兢摂䕁䅍兙睂䝁䅫䅤桂䝁䅷兡㙂䝁䅅䅤灂䝁䄸杢桁䍁䅑杒歁䑁䅍杍㙁䍁䅑睓歁䑁䅍杍䅁乁䅉䅁杁䅁䅁睕䡂䍁䅙兑杁䕁䄰兙祂䝁䅣兡畂䍁䅁䅋汁䍁䅫䅁䕁杁䅁䅃䅁䙁䅍杔䵂䅁䅁睭䅕䉁䅉䅁呂䕁䄴䅔剂䡁䅕党祂䡁䅫䅁慄睁䅁杅䅁䙁䅍杔䵂䙁䅑兙楂䝁䅷党䅁䍁䅫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䑂䍁䅑免祁䅁䅁杢䅣䉁䅯䅁呂䙁䅁睘乂䕁䅅杕䱂䕁䅕䅖䑂䕁䅅䅕䅁䭁䙯䅁坁䅁䅁睕兂䙁䄸杔䙂䙁䅑睘䩂䕁䄴睑䅁䅁䄴䅁坁䅁䅁睕兂䙁䄸䅕䍂䙁䅙睘䝂䙁䅣䅒䅁䝁䝯䅁慁䅁䅁睕兂䙁䄸䅕䑂䕁䅙䅕呂䙁䄸杒塂䕁䅑䅁楂杂䅁杒䅁䙁䅑睢あ䝁䅅䅢杁䙁䅍党橂䡁䅕杣求䝁䅑䅉䕂䝁䅕杙あ䍁䄸䅉啂䝁䄸䅤桂䝁䅷䅉䕂䝁䅕杙あ䍁䅁䅋汁䍁䅫䅁摂允䅁䅈䅁䙁䅍䅕時䙁䅁兒卂䕁䅫睔䕂䙁䄸兒佂䕁䅑䅁剂䅁䅁杆䅁䙁䅍䅕時䙁䅉兒坂䙁䄸兒呂䙁䅑䅁㡁䅁䅁䅫䅁䍁䅣睗䑂䝁䄸䅣㕂䍁䅁睢浂䍁䅁睕兂䕁䅣睘䑂䝁䄸兢睂䝁䅅杢㕂䙁䄸睓求䡁䅫睕あ䝁䅅䅤穂䙁䄸杤硁䙁䄸杒灂䝁䄴兙獂䍁䄴䅥獂䡁䅍兢摂䙁䅁党畂䡁䅍兡療䝁䄴兌偂䙁䅁兒䍂䍁䅣光歁䕁䅍䅊硁䑁䅅杏歁䕁䅍䅊ㅁ䑁䅣兎䅁䩁䥫䅁歁䅁䅁睕兂䙁䄸䅖䙂䙁䅙睘䙂䕁䅉兓啂䕁䅑兑時䕁䅙睖䕂䅁䅁睘䅙䕁䄴䅁呂䝁䅕睙療䝁䄴䅚杁䕁䅷兡求䝁䄴䅉䍂䝁䄸杢歂䡁䅍䅉桂䝁䄴䅚杁䕁䄴睢あ䝁䅕督杁䍁䅧杕求䡁䅁睢祂䡁䅑党歂䍁䅫䅁䙂允䅁䅗䅁䙁䅍党橂䝁䄸杢歂䍁䅁䅔灂䝁䅕杢杁䕁䅉睢畂䝁䅑督杁䝁䅅杢歂䍁䅁杔療䡁䅑党穂䍁䄸䅉啂䝁䄸䅤桂䝁䅷䅉䕂䝁䅕杙あ䍁䅁䅋汁䍁䅫䅁硂允䅁材䅁䙁䅑睢あ䝁䅅䅢杁䙁䅉党㉂䝁䅕杢ㅂ䝁䅕督獁䍁䅁兎杁䙁䅫杣畁䍁䅁睑䉂䕁䅣杕杁䍁䅧兊灁䅁䅁䅳䅉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䑂䍁䅑䅎ぁ䅁䅁兩䅧䕁䅉䅁呂䝁䅕睙療䝁䄴䅚杁䕁䅷兡求䝁䄴䅉䕂䝁䅕杙あ䍁䄸䅉啂䝁䄸䅤桂䝁䅷䅉䕂䝁䅕杙あ䍁䅁䅋汁䍁䅫䅁穂允䅁杏䅁䙁䅍党橂䝁䄸杢歂䍁䅁䅔灂䝁䅕杢杁䕁䅷睢桂䝁䄴督杁䍁䅧杕求䡁䅁睢祂䡁䅑党歂䍁䅫䅁䑂允䅁权䅁䕁䅙兕瑁䑁䅕䅁㕃睂䅁䅒䅁䙁䅍党橂䝁䄸杢歂䍁䅁䅔灂䝁䅕杢杁䕁䅷睢桂䝁䄴督癁䍁䅁䅖療䡁䅑兙獂䍁䅁䅒求䝁䅉䅤杁䍁䅧兊灁䅁䅁睚䅅䑁䅁䅁呂䝁䅕睙ㅂ䡁䅉党歂䍁䅁䅒求䝁䅉䅤杁䍁䅧杕求䡁䅁睢祂䡁䅑党歂䍁䅫䅁㕁允䅁杒䅁䙁䅍党畂䝁䅫睢祂䍁䅁䅒求䝁䅉䅤杁䍁䄸䅉潁䕁䅕村䩂䙁䅑䅒䉂䍁䅁兌杁䕁䅍兙睂䝁䅕䅥灁䍁䅁䅋㑂䍁䅫䅁䅃允䅁杍䅁䙁䅍党畂䝁䅫睢祂䍁䅁䅒求䝁䅉䅤杁䍁䄸䅉䙂䕁䅉兓啂䕁䅑兑杁䍁䅧䅥灁䅁䅁䅪䅅䝁䅯䅁扂䕁䄰兓時䙁䅉兒䩂䙁䅑睘呂䝁䅅兢求䙁䅍䅤療䡁䅉党啂䝁䅕兢睂䝁䅷兙あ䝁䅕睘㉂䑁䅅杌㑂䝁䅷督摂䕁䅑兙あ䝁䅅光歁䕁䅑杓歁䑁䅅䅍㙁䍁䅑杒卂䍁䅑免睁䅁䅁朱䅍䙁䅑䅁呂䝁䅕杢灂䝁䄸杣杁䙁䅍党橂䡁䅕杣求䝁䅑䅉䍂䝁䄸杢歂䡁䅍䅉桂䝁䄴䅚杁䕁䄴睢あ䝁䅕督杁䍁䅧杕求䡁䅁睢祂䡁䅑党歂䍁䅫䅁㥁允䅁䅑䅁䙁䅍党畂䝁䅫睢祂䍁䅁睕求䝁䅍兤祂䝁䅕䅚杁䕁䅷睢桂䝁䄴督杁䍁䅧杕求䡁䅁睢祂䡁䅑党歂䍁䅫䅁㝁允䅁杏䅁䙁䅑睢あ䝁䅅䅢杁䙁䅍兤楂䍁䄴䅉䕂䝁䅕杙あ䍁䅁睌杁䕁䅕村䩂䙁䅑䅒䉂䍁䅁䅋㑂䍁䅫䅁佃允䅁杓䅁䙁䅍党畂䝁䅫睢祂䍁䅁睕求䝁䅍兤祂䝁䅕䅚杁䕁䅷睢桂䝁䄴督癁䍁䅁䅖療䡁䅑兙獂䍁䅁䅒求䝁䅉䅤杁䍁䅧兊灁䅁䅁睖䅅䙁䅧䅁呂䝁䅕杢灂䝁䄸杣杁䙁䅕杢穂䝁䅕睙ㅂ䡁䅉党歂䍁䅁村療䝁䄴䅚穂䍁䅁兙畂䝁䅑䅉佂䝁䄸䅤求䡁䅍䅉潁䙁䅉党睂䝁䄸杣あ䝁䅕䅚灁䅁䅁睐䅅䝁䅉䅁呂䝁䅕杢灂䝁䄸杣杁䙁䅕杢穂䝁䅕睙ㅂ䡁䅉党歂䍁䅁村療䝁䄴䅚穂䍁䅁兙畂䝁䅑䅉佂䝁䄸䅤求䡁䅍睌杁䙁䅑睢あ䝁䅅䅢杁䕁䅑党楂䡁䅑䅉潁䍁䅕克䅁䝁䉅䅁啁䅁䅁睕求䝁䄴兡療䡁䅉兡あ䡁䅫䅁捃杂䅁杖䅁䙁䅳睕兂䕁䅣睘䑂䝁䄸兢睂䝁䅅杢㕂䙁䄸睓求䡁䅫睕あ䝁䅅䅤穂䙁䄸杤祁䍁䄴䅥獂䡁䅍兢摂䙁䅍䅡求䝁䅕䅤硁䍁䅅䅊䕂䍁䅑䅎穁䅁䅁東䅙䙁䅧䅁呂䝁䅕䅤あ䝁䅷党瑂䝁䅕杢あ䡁䅍䅉㍂䝁䅫䅤潂䍁䅁䅖桂䡁䅧䅉䉂䡁䅕䅤潂䝁䄸杣灂䡁䅑兡求䡁䅍䅉潁䙁䅉党睂䝁䄸杣あ䝁䅕䅚灁䅁䅁兄䅍䙁䅙䅁呂䝁䅧兙祂䝁䅕䅡療䝁䅷䅚求䡁䅉督杁䕁䅕兣ㅂ䝁䅫䅤㕂䍁䅁兌杁䙁䅕杌呂䍁䄴䅉䡂䕁䅅兑兂䍁䅁䅋卂䝁䅕䅣療䡁䅉䅤求䝁䅑克䅁䵁䍣䅁坂䅁䅁睗呂䙁䅁睒時䕁䅍睢瑂䡁䅁兙畂䡁䅫睘䱂䝁䅕入呂䡁䅑兙あ䡁䅍睘㉂䑁䅉杌㑂䝁䅷督瑂䙁䄰睕潂䝁䅕党あ䑁䅅光歁䕁䅕䅊ぁ䑁䅍䅁潃杂䅁䅡䅁䙁䅳兔䩂䙁䄸睑療䝁䄰䅣桂䝁䄴入時䕁䅳党㕂䙁䅍䅤桂䡁䅑督時䡁䅙免畁䡁䅧䅢穂䝁䄰兘呂䡁䅕䅣睂䝁䅷党瑂䝁䅕杢あ䝁䅅䅢桁䍁䅑䅒歁䑁䅑杏歁䕁䅫䅊ぁ䅁䅁克䅑䑁䅧䅁呂䝁䅧兙祂䝁䅕督杁䕁䄸兤あ䡁䅍䅤桂䝁䄴䅚灂䝁䄴睚杁䍁䅧兙橂䡁䅑兤桂䝁䅷克䅁䉁䅣䅁㉂䅁䅁睊扂䕁䅍睢睂䡁䅫䅉療䝁䅙䅉呂䙁䅁睒時䕁䅍睢瑂䡁䅁兙畂䡁䅫睘䱂䝁䅕入呂䡁䅑兙あ䡁䅍睘㉂䑁䅉睘畂䝁䅕睤畁䡁䅧䅢穂䝁䄰兘䑂䝁䅅督潂䙁䄸杒獂䝁䄸睤湁䍁䅅䅊䑂䍁䅑李䅁䕁䡙䅁㡁䅁䅁睕祂䍁䄴䅉呂䡁䅕杙畁䍁䅁䅒求䝁䅉䅤癁䍁䅁䅖療䡁䅑兙獂䍁䅁䅒求䝁䅉䅤杁䍁䅧兊灁䅁䅁睊䅅䕁䅧䅁呂䡁䅑睢橂䝁䅳兌䍂䝁䅅督求䝁䅑䅉䑂䝁䄸兢睂䝁䅕杢穂䝁䅅䅤灂䝁䄸杢杁䍁䅧杕求䡁䅁睢祂䡁䅑党歂䍁䅫䅁瑃䅁䅁材䅁䙁䅍兤楂䍁䄰䅔求䝁䅅督求䍁䅁兓畂䝁䅍睢瑂䝁䅕䅉牁䑁䅅䅉潁䙁䅉党睂䝁䄸杣あ䝁䅕䅚灁䅁䅁杸䅅䑁䄴䅁呂䡁䅕杙瑁䕁䅷党桂䡁䅍党杁䕁䅫杢橂䝁䄸兢求䍁䅁睋祁䍁䅁䅋卂䝁䅕䅣療䡁䅉䅤求䝁䅑克䅁䵁䉧䅁⭁䅁䅁睕ㅂ䝁䅉兌䵂䝁䅕兙穂䝁䅕䅉䩂䝁䄴睙療䝁䄰党杁䍁䅳睍杁䍁䅧杕求䡁䅁睢祂䡁䅑党歂䍁䅫䅁䭄允䅁材䅁䙁䅍兤楂䍁䄰䅔求䝁䅅督求䍁䅁兓畂䝁䅍睢瑂䝁䅕䅉牁䑁䅑䅉潁䙁䅉党睂䝁䄸杣あ䝁䅕䅚灁䅁䅁䅺䅅䙁䅁䅁呂䡁䅕杙瑁䕁䅷党桂䡁䅍党杁䕁䅫杢橂䝁䄸兢求䍁䅷䅉佂䝁䅕䅥あ䍁䅁兎杁䙁䅫杣穂䍁䅁䅋卂䝁䅕䅣療䡁䅉䅤求䝁䅑克䅁乁䉁䅁煁䅁䅁睕ㅂ䝁䅉杌杁䕁䅑党楂䡁䅑䅉潁䙁䅉党睂䝁䄸杣あ䝁䅕䅚灁䅁䅁睆䅅䍁䄴䅁呂䡁䅕杙畁䍁䅁䅒求䝁䅉䅤杁䍁䄸䅉䙂䕁䅉兓啂䕁䅑兑杁䍁䅧䅥灁䅁䅁杬䅅䕁䅷䅁啂䝁䅅杢湂䝁䅫杙獂䝁䅕䅉䍂䝁䄸睢牂䍁䅁杖桂䝁䅷兤求䍁䅷䅉硁䍁䅁兗祂䍁䄴䅉䡂䡁䅉睢㍂䡁䅑䅡杁䍁䅧兊灁䅁䅁杌䅉䕁䅧䅁啂䝁䅅杢湂䝁䅫杙獂䝁䅕䅉䍂䝁䄸睢牂䍁䅁杖桂䝁䅷兤求䍁䅷䅉祁䍁䅁兗祂䍁䄴䅉䑂䕁䅅睒卂䍁䅁䅋汁䍁䅫䅁奂杁䅁䅢䅁䙁䅑兙㑂䍁䅁村求䝁䄴党浂䝁䅫䅤杁䕁䅍兙祂䡁䅉入浂䝁䄸杣㍂䝁䅅杣歂䍁䅷䅉䉂䝁䅙䅤求䡁䅉䅉䝂䝁䅫杤求䍁䅁兗求䝁䅅杣穂䍁䅁䅋卂䝁䅕䅣療䡁䅉䅤求䝁䅑克䅁偁䌸䅁歂䅁䅁䅖桂䡁䅧䅉䍂䝁䅕杢求䝁䅙兡あ䍁䅁睑桂䡁䅉杣㕂䝁䅙睢祂䡁䅣兙祂䝁䅑䅌杁䕁䅍兤祂䡁䅉党畂䡁䅑䅉婂䝁䅕兙祂䍁䅁䅋卂䝁䅕䅣療䡁䅉䅤求䝁䅑克䅁䵁䍳䅁獂䅁䅁䅖桂䡁䅧䅉䍂䝁䅕杢求䝁䅙兡あ䍁䅁睑桂䡁䅉杣㕂䝁䅙睢祂䡁䅣兙祂䝁䅑䅌杁䕁䅍兤祂䡁䅉党畂䡁䅑䅉婂䝁䅕兙祂䍁䅁睋杁䑁䅉䅉潁䙁䅉党睂䝁䄸杣あ䝁䅕䅚灁䅁䅁儫䅉䝁䅷䅁啂䝁䅅䅥杁䕁䅉党畂䝁䅕杚灂䡁䅑䅉䑂䝁䅅杣祂䡁䅫杚療䡁䅉睤桂䡁䅉䅚獁䍁䅁睑ㅂ䡁䅉杣求䝁䄴䅤杁䙁䅫党桂䡁䅉䅉牁䍁䅁睍杁䍁䅧杕求䡁䅁睢祂䡁䅑党歂䍁䅫䅁㝄杁䅁䅨䅁䍁䅣睗䑂䝁䄸䅣㕂䍁䅁睢浂䍁䅁睕兂䕁䅣睘䑂䝁䄸兢睂䝁䅅杢㕂䙁䄸睓求䡁䅫睕あ䝁䅅䅤穂䙁䄸杤祁䙁䄸杢求䡁䅣杌㑂䝁䅷督瑂䙁䄰睓求䡁䅫睘呂䡁䅑兙あ䡁䅍睊桁䍁䅑兒歁䑁䅉李㙁䍁䅑杓歁䑁䅉李䅁䍁䡫䅁䵃䅁䅁睊扂䕁䅍睢睂䡁䅫䅉療䝁䅙䅉呂䙁䅁睒時䕁䅍睢瑂䡁䅁兙畂䡁䅫睘䱂䝁䅕入呂䡁䅑兙あ䡁䅍睘㉂䑁䅅睘䝂䝁䅫杢桂䝁䅷杌㑂䝁䅷督瑂䙁䄰睓求䡁䅫睘呂䡁䅑兙あ䡁䅍睊桁䍁䅑兒歁䑁䅅䅍㉁䑁䅯䅊䝂䍁䅑免睁䑁䅙䅁摃䅃䅁䅢䅁䙁䅑兙㑂䍁䅁村求䝁䄴党浂䝁䅫䅤杁䕁䅍兙祂䡁䅉入浂䝁䄸杣㍂䝁䅅杣歂䍁䅷䅉䑂䡁䅕杣祂䝁䅕杢あ䍁䅁兗求䝁䅅杣杁䍁䅳䅉ぁ䍁䅁䅋卂䝁䅕䅣療䡁䅉䅤求䝁䅑克䅁偁䌰䅁浂䅁䅁䅖桂䡁䅧䅉䍂䝁䅕杢求䝁䅙兡あ䍁䅁睑桂䡁䅉杣㕂䝁䅙睢祂䡁䅣兙祂䝁䅑䅌杁䕁䄴睢杁䕁䅕䅥睂䝁䅫杣桂䡁䅑兡療䝁䄴䅉潁䙁䅉党睂䝁䄸杣あ䝁䅕䅚灁䅁䅁睶䅉䕁䅁䅁啂䝁䄸䅤桂䝁䅷䅉䉂䡁䅍督求䡁䅑督獁䍁䅁免杁䙁䅫党桂䡁䅉䅉䡂䡁䅉睢㍂䡁䅑䅡杁䍁䅧兊灁䅁䅁䅌䅉䑁䅯䅁啂䝁䄸䅤桂䝁䅷䅉䉂䡁䅍督求䡁䅑督獁䍁䅁杍杁䙁䅫杣畁䍁䅁睑䉂䕁䅣杕杁䍁䅧兊灁䅁䅁杖䅉䑁䅯䅁啂䝁䄸䅤桂䝁䅷䅉䉂䡁䅍督求䡁䅑督獁䍁䅁睍杁䙁䅫杣畁䍁䅁睑䉂䕁䅣杕杁䍁䅧兊灁䅁䅁来䅉䥁䅑䅁湁䙁䅳睑療䡁䅁入杁䝁䄸杚杁䙁䅍䅕䡂䙁䄸睑療䝁䄰䅣桂䝁䄴入時䕁䅳党㕂䙁䅍䅤桂䡁䅑督時䡁䅙杍時䝁䄴党㍂䍁䄴䅥獂䡁䅍兢摂䕁䄰兤獂䡁䅑兡睂䝁䅷党穂䍁䅣光歁䕁䅑䅊硁䑁䅅杏歁䕁䅑䅊硁䑁䅉䅁牃睂䅁䅢䅁䙁䅳睕兂䕁䅣睘䑂䝁䄸兢睂䝁䅅杢㕂䙁䄸睓求䡁䅫睕あ䝁䅅䅤穂䙁䄸杤祁䍁䄴䅥獂䡁䅍兢摂䕁䅳党㕂䙁䄸睕あ䝁䅅䅤穂䍁䅅䅊䕂䍁䅑免睁䑁䅫杏歁䕁䅑䅊硁䑁䅅李䅁偁䡧䅁㙁䅁䅁䅖療䡁䅑兙獂䍁䅁兑穂䡁䅍党あ䡁䅍䅌杁䑁䅕䅉婂䡁䅉杌杁䕁䅍兑䡂䙁䅉䅉潁䍁䅕克䅁䭁䍁䅁䅂䅁䅁䅖療䡁䅑兙獂䍁䅁村桂䝁䄴睡杁䕁䅑党楂䡁䅑睌杁䙁䅑睢あ䝁䅅䅢杁䕁䅑党楂䡁䅑䅉潁䍁䅕克䅁䙁䉫䅁㙂䅁䅁睊扂䕁䅍睢睂䡁䅫䅉療䝁䅙䅉呂䙁䅁睒時䕁䅍睢瑂䡁䅁兙畂䡁䅫睘䱂䝁䅕入呂䡁䅑兙あ䡁䅍睘㉂䑁䅉睘畂䝁䅕睤畁䡁䅧䅢穂䝁䄰兘䱂䝁䅕入時䙁䅍䅤桂䡁䅑督湁䍁䅅䅊䙂䍁䅑免睁䑁䅣䅁㥁睂䅁䅊䅁䙁䅑睢あ䝁䅅䅢杁䕁䅑党楂䡁䅑䅉潁䍁䅑䅍睁䑁䅁克䅁䝁䄰䅁㡁䅁䅁䅖療䡁䅑兙獂䍁䅁䅒求䝁䅉䅤癁䍁䅧兒䍂䕁䅫䅖䕂䕁䅅兌䑂䕁䅅䅕䙂䙁䅧克杁䍁䅧䅥灁䅁䅁䅨䅅䝁䅯䅁扂䕁䄰兓時䕁䅍睢瑂䡁䅁兙畂䡁䅫睘䱂䝁䅕入呂䡁䅑兙あ䡁䅍睘㉂䑁䅅杌㑂䝁䅷督瑂䙁䄰村桂䝁䅷兙畂䝁䅍党時䙁䅍䅡求䝁䅕䅤桁䍁䅑兒歁䑁䅑杏歁䙁䅁䅊ぁ䅁䅁元䅑䭁䅁䅁湁䙁䅳睑療䡁䅁入杁䝁䄸杚杁䙁䅍䅕䡂䙁䄸睑療䝁䄰䅣桂䝁䄴入時䕁䅳党㕂䙁䅍䅤桂䡁䅑督時䡁䅙杍時䝁䄴党㍂䍁䄴䅥獂䡁䅍兢摂䕁䅍兙睂䝁䅫䅤桂䝁䅷睘呂䡁䅑杣ㅂ䝁䅍䅤ㅂ䡁䅉党時䙁䅍兤瑂䝁䄰兙祂䡁䅫睊桁䍁䅑兒歁䑁䅣杏歁䙁䅅䅊㍁䅁䅁杷䅣䕁䅯䅁啂䝁䄸䅤桂䝁䅷䅉䵂䝁䅫兙楂䝁䅫䅢灂䡁䅑兡求䡁䅍䅉癁䍁䅁䅖療䡁䅑兙獂䍁䅁兑穂䡁䅍党あ䡁䅍䅉潁䍁䅕克䅁䱁䍙䅁䕂䅁䅁䅖療䡁䅑兙獂䍁䅁杔偂䕁䅷䅉䑂䝁䅅杣祂䡁䅫杚療䡁䅉睤桂䡁䅉䅚杁䍁䅧杕求䡁䅁睢祂䡁䅑党歂䍁䅫䅁扄杁䅁䅖䅁䙁䅑睢あ䝁䅅䅢杁䕁䄴睢畂䍁䅁兌杁䙁䅉党橂䝁䄸兤祂䡁䅍党杁䕁䅑党楂䡁䅑睌杁䙁䅑睢あ䝁䅅䅢杁䕁䅑党楂䡁䅑䅉潁䍁䅕克䅁䡁䉕䅁䕂䅁䅁䅖療䡁䅑兙獂䍁䅁䅕祂䝁䅕杚求䡁䅉杣求䝁䅑䅉䙂䡁䅅兤灂䡁䅑入杁䍁䅧杕求䡁䅁睢祂䡁䅑党歂䍁䅫䅁扁</x:t>
  </x:si>
  <x:si>
    <x:t>000</x:t>
  </x:si>
  <x:si>
    <x:t>TEV</x:t>
  </x:si>
  <x:si>
    <x:t>€</x:t>
  </x:si>
  <x:si>
    <x:t/>
  </x:si>
  <x:si>
    <x:t>`</x:t>
  </x:si>
  <x:si>
    <x:t>M</x:t>
  </x:si>
  <x:si>
    <x:t>£</x:t>
  </x:si>
  <x:si>
    <x:t>JPY</x:t>
  </x:si>
  <x:si>
    <x:t>ARS</x:t>
  </x:si>
  <x:si>
    <x:t>¥</x:t>
  </x:si>
  <x:si>
    <x:t>AR$</x:t>
  </x:si>
  <x:si>
    <x:t>dr</x:t>
  </x:si>
  <x:si>
    <x:t>AUD</x:t>
  </x:si>
  <x:si>
    <x:t>ALL</x:t>
  </x:si>
  <x:si>
    <x:t>NTM</x:t>
  </x:si>
  <x:si>
    <x:t>AU$</x:t>
  </x:si>
  <x:si>
    <x:t>LTM</x:t>
  </x:si>
  <x:si>
    <x:t>AFN</x:t>
  </x:si>
  <x:si>
    <x:t>FY0</x:t>
  </x:si>
  <x:si>
    <x:t>Low</x:t>
  </x:si>
  <x:si>
    <x:t>GBP</x:t>
  </x:si>
  <x:si>
    <x:t>AMD</x:t>
  </x:si>
  <x:si>
    <x:t>FQ0</x:t>
  </x:si>
  <x:si>
    <x:t>NA</x:t>
  </x:si>
  <x:si>
    <x:t>USD</x:t>
  </x:si>
  <x:si>
    <x:t>$</x:t>
  </x:si>
  <x:si>
    <x:t>NM</x:t>
  </x:si>
  <x:si>
    <x:t>EUR</x:t>
  </x:si>
  <x:si>
    <x:t>៛</x:t>
  </x:si>
  <x:si>
    <x:t>Br</x:t>
  </x:si>
  <x:si>
    <x:t>KHR</x:t>
  </x:si>
  <x:si>
    <x:t>C$</x:t>
  </x:si>
  <x:si>
    <x:t>R$</x:t>
  </x:si>
  <x:si>
    <x:t>BSD</x:t>
  </x:si>
  <x:si>
    <x:t>CRC</x:t>
  </x:si>
  <x:si>
    <x:t>CN¥</x:t>
  </x:si>
  <x:si>
    <x:t>COP</x:t>
  </x:si>
  <x:si>
    <x:t>B$</x:t>
  </x:si>
  <x:si>
    <x:t>BAM</x:t>
  </x:si>
  <x:si>
    <x:t>KM</x:t>
  </x:si>
  <x:si>
    <x:t>BRL</x:t>
  </x:si>
  <x:si>
    <x:t>CAD</x:t>
  </x:si>
  <x:si>
    <x:t>¢</x:t>
  </x:si>
  <x:si>
    <x:t>BGN</x:t>
  </x:si>
  <x:si>
    <x:t>CLP</x:t>
  </x:si>
  <x:si>
    <x:t>CNY</x:t>
  </x:si>
  <x:si>
    <x:t>HRK</x:t>
  </x:si>
  <x:si>
    <x:t>kn</x:t>
  </x:si>
  <x:si>
    <x:t>CZK</x:t>
  </x:si>
  <x:si>
    <x:t>Kc</x:t>
  </x:si>
  <x:si>
    <x:t>m</x:t>
  </x:si>
  <x:si>
    <x:t>DKK</x:t>
  </x:si>
  <x:si>
    <x:t>Dkr</x:t>
  </x:si>
  <x:si>
    <x:t>AZN</x:t>
  </x:si>
  <x:si>
    <x:t>BHD</x:t>
  </x:si>
  <x:si>
    <x:t>BD</x:t>
  </x:si>
  <x:si>
    <x:t>BDT</x:t>
  </x:si>
  <x:si>
    <x:t>Bt.</x:t>
  </x:si>
  <x:si>
    <x:t>BYN</x:t>
  </x:si>
  <x:si>
    <x:t>CL$</x:t>
  </x:si>
  <x:si>
    <x:t>Q.</x:t>
  </x:si>
  <x:si>
    <x:t>KGS</x:t>
  </x:si>
  <x:si>
    <x:t>GTQ</x:t>
  </x:si>
  <x:si>
    <x:t>GEL</x:t>
  </x:si>
  <x:si>
    <x:t>INR</x:t>
  </x:si>
  <x:si>
    <x:t>MXN</x:t>
  </x:si>
  <x:si>
    <x:t>MKD</x:t>
  </x:si>
  <x:si>
    <x:t>JD</x:t>
  </x:si>
  <x:si>
    <x:t>MYR</x:t>
  </x:si>
  <x:si>
    <x:t>KES</x:t>
  </x:si>
  <x:si>
    <x:t>HNL</x:t>
  </x:si>
  <x:si>
    <x:t>HK$</x:t>
  </x:si>
  <x:si>
    <x:t>EGP</x:t>
  </x:si>
  <x:si>
    <x:t>IDR</x:t>
  </x:si>
  <x:si>
    <x:t>Rp.</x:t>
  </x:si>
  <x:si>
    <x:t>KD</x:t>
  </x:si>
  <x:si>
    <x:t>DOP</x:t>
  </x:si>
  <x:si>
    <x:t>ლ</x:t>
  </x:si>
  <x:si>
    <x:t>RD$</x:t>
  </x:si>
  <x:si>
    <x:t>JOD</x:t>
  </x:si>
  <x:si>
    <x:t>KWD</x:t>
  </x:si>
  <x:si>
    <x:t>KZT</x:t>
  </x:si>
  <x:si>
    <x:t>лв</x:t>
  </x:si>
  <x:si>
    <x:t>HUF</x:t>
  </x:si>
  <x:si>
    <x:t>Rs.</x:t>
  </x:si>
  <x:si>
    <x:t>HKD</x:t>
  </x:si>
  <x:si>
    <x:t>£E.</x:t>
  </x:si>
  <x:si>
    <x:t>ISK</x:t>
  </x:si>
  <x:si>
    <x:t>L.</x:t>
  </x:si>
  <x:si>
    <x:t>Ft.</x:t>
  </x:si>
  <x:si>
    <x:t>kr</x:t>
  </x:si>
  <x:si>
    <x:t>RM</x:t>
  </x:si>
  <x:si>
    <x:t>MDL</x:t>
  </x:si>
  <x:si>
    <x:t>MAD</x:t>
  </x:si>
  <x:si>
    <x:t>PHP</x:t>
  </x:si>
  <x:si>
    <x:t>₮</x:t>
  </x:si>
  <x:si>
    <x:t>₪</x:t>
  </x:si>
  <x:si>
    <x:t>PAB</x:t>
  </x:si>
  <x:si>
    <x:t>PEN</x:t>
  </x:si>
  <x:si>
    <x:t>S/.</x:t>
  </x:si>
  <x:si>
    <x:t>zl</x:t>
  </x:si>
  <x:si>
    <x:t>QAR</x:t>
  </x:si>
  <x:si>
    <x:t>SAR</x:t>
  </x:si>
  <x:si>
    <x:t>RO</x:t>
  </x:si>
  <x:si>
    <x:t>NKr</x:t>
  </x:si>
  <x:si>
    <x:t>TWD</x:t>
  </x:si>
  <x:si>
    <x:t>ر.ق</x:t>
  </x:si>
  <x:si>
    <x:t>L</x:t>
  </x:si>
  <x:si>
    <x:t>WS$</x:t>
  </x:si>
  <x:si>
    <x:t>PKR</x:t>
  </x:si>
  <x:si>
    <x:t>NZD</x:t>
  </x:si>
  <x:si>
    <x:t>Rs</x:t>
  </x:si>
  <x:si>
    <x:t>MNT</x:t>
  </x:si>
  <x:si>
    <x:t>PLN</x:t>
  </x:si>
  <x:si>
    <x:t>RUB</x:t>
  </x:si>
  <x:si>
    <x:t>ILS</x:t>
  </x:si>
  <x:si>
    <x:t>NOK</x:t>
  </x:si>
  <x:si>
    <x:t>B</x:t>
  </x:si>
  <x:si>
    <x:t>RON</x:t>
  </x:si>
  <x:si>
    <x:t>SR</x:t>
  </x:si>
  <x:si>
    <x:t>NZ$</x:t>
  </x:si>
  <x:si>
    <x:t>NT$</x:t>
  </x:si>
  <x:si>
    <x:t>OMR</x:t>
  </x:si>
  <x:si>
    <x:t>WST</x:t>
  </x:si>
  <x:si>
    <x:t>H</x:t>
  </x:si>
  <x:si>
    <x:t>TL</x:t>
  </x:si>
  <x:si>
    <x:t>CHF</x:t>
  </x:si>
  <x:si>
    <x:t>د.ت</x:t>
  </x:si>
  <x:si>
    <x:t>UAH</x:t>
  </x:si>
  <x:si>
    <x:t>T</x:t>
  </x:si>
  <x:si>
    <x:t>₩</x:t>
  </x:si>
  <x:si>
    <x:t>VND</x:t>
  </x:si>
  <x:si>
    <x:t>₫</x:t>
  </x:si>
  <x:si>
    <x:t>S</x:t>
  </x:si>
  <x:si>
    <x:t>RSD</x:t>
  </x:si>
  <x:si>
    <x:t>R</x:t>
  </x:si>
  <x:si>
    <x:t>S$</x:t>
  </x:si>
  <x:si>
    <x:t>SGD</x:t>
  </x:si>
  <x:si>
    <x:t>TJR</x:t>
  </x:si>
  <x:si>
    <x:t>₨</x:t>
  </x:si>
  <x:si>
    <x:t>฿</x:t>
  </x:si>
  <x:si>
    <x:t>ZAR</x:t>
  </x:si>
  <x:si>
    <x:t>LKR</x:t>
  </x:si>
  <x:si>
    <x:t>TJS</x:t>
  </x:si>
  <x:si>
    <x:t>TND</x:t>
  </x:si>
  <x:si>
    <x:t>TRY</x:t>
  </x:si>
  <x:si>
    <x:t>TMT</x:t>
  </x:si>
  <x:si>
    <x:t>AED</x:t>
  </x:si>
  <x:si>
    <x:t>No</x:t>
  </x:si>
  <x:si>
    <x:t>SEK</x:t>
  </x:si>
  <x:si>
    <x:t>UZS</x:t>
  </x:si>
  <x:si>
    <x:t>VES</x:t>
  </x:si>
  <x:si>
    <x:t>KRW</x:t>
  </x:si>
  <x:si>
    <x:t>THB</x:t>
  </x:si>
  <x:si>
    <x:t>Total Amount to be Recognized Next Period</x:t>
  </x:si>
  <x:si>
    <x:t>IQ_OPEB_ASSETS_EMPLOYER_CONTRIBUTIONS_DOM</x:t>
  </x:si>
  <x:si>
    <x:t>IQ_OPEB_OBLIGATION_ACTUARIAL_GAIN_LOSS_DOM</x:t>
  </x:si>
  <x:si>
    <x:t>IQ_INTEREST_PENALTIES_RECOG_BS_AFTER_TAX</x:t>
  </x:si>
  <x:si>
    <x:t>IQ_IMPACT_UNRECOG_TAX_BENEFIT_EFFECTIVE_TAX</x:t>
  </x:si>
  <x:si>
    <x:t xml:space="preserve">Additions for Tax Positions - Prior Yrs </x:t>
  </x:si>
  <x:si>
    <x:t>Net Actuarial Loss/Gain Recog. Next Period</x:t>
  </x:si>
  <x:si>
    <x:t>Rate of PBO Compensation Increase - Max (%)</x:t>
  </x:si>
  <x:si>
    <x:t>Other Post-Retirement Benefit Related Items</x:t>
  </x:si>
  <x:si>
    <x:t>IQ_PENSION_PBO_RATE_COMP_INCREASE_MAX_DOM</x:t>
  </x:si>
  <x:si>
    <x:t>Wtd Avg Strike Price of Granted, Comm Stock</x:t>
  </x:si>
  <x:si>
    <x:t>IQ_OPEB_INCREASE_EFFECT_SERVICE_INT_COST</x:t>
  </x:si>
  <x:si>
    <x:t>Def. Benefit Total Cost Incl. Supple Plans</x:t>
  </x:si>
  <x:si>
    <x:t>IQ_PENSION_QUART_ADDL_CONTRIBUTIONS_EXP_DOM</x:t>
  </x:si>
  <x:si>
    <x:t>IQ_PENSION_OBLIGATION_ACTUARIAL_GAIN_LOSS</x:t>
  </x:si>
  <x:si>
    <x:t>IQ_PENSION_ASSETS_EMPLOYER_CONTRIBUTIONS</x:t>
  </x:si>
  <x:si>
    <x:t>Currency, Magnitude and Conversion Settings</x:t>
  </x:si>
  <x:si>
    <x:t>Transition Asset/Obligation – Compr. Inc.</x:t>
  </x:si>
  <x:si>
    <x:t>Rate of PBO Compensation Increase - Min (%)</x:t>
  </x:si>
  <x:si>
    <x:t>IQ_OPEB_OBLIGATION_EMPLOYEE_CONTRIBUTIONS</x:t>
  </x:si>
  <x:si>
    <x:t>IQ_OPEB_DECREASE_EFFECT_SERVICE_INT_COST</x:t>
  </x:si>
  <x:si>
    <x:t xml:space="preserve">Reductions for Tax Positions - Prior Yrs </x:t>
  </x:si>
  <x:si>
    <x:t>IQ_PENSION_ACCUMULATED_OBLIGATION_DOMESTIC</x:t>
  </x:si>
  <x:si>
    <x:t>Prior Service Cost/Benefit – Compr. Inc.</x:t>
  </x:si>
  <x:si>
    <x:t>IQ_OPEB_TOTAL_COST_INCL_SUPPLE_PLANS_DOM</x:t>
  </x:si>
  <x:si>
    <x:t>IQ_PENSION_OBLIGATION_OTHER_PLAN_ADJ_DOM</x:t>
  </x:si>
  <x:si>
    <x:t>Warrants Issued During the Period (actual)</x:t>
  </x:si>
  <x:si>
    <x:t>Quarterly Additional Contributions Expected</x:t>
  </x:si>
  <x:si>
    <x:t>IQ_INTEREST_PENALTIES_RECOG_IS_AFTER_TAX</x:t>
  </x:si>
  <x:si>
    <x:t>IQ_PENSION_QUART_EMPLOYER_CONTRIBUTIONS_DOM</x:t>
  </x:si>
  <x:si>
    <x:t>IQ_PENSION_ASSETS_PARTICIP_CONTRIBUTIONS</x:t>
  </x:si>
  <x:si>
    <x:t>IQ_PENSION_PBO_RATE_COMP_INCREASE_MIN_DOM</x:t>
  </x:si>
  <x:si>
    <x:t>IQ_OPEB_PBO_RATE_COMP_INCREASE_MAX_FOREIGN</x:t>
  </x:si>
  <x:si>
    <x:t>IQ_PENSION_EST_CONTRIBUTIONS_NEXTYR_FOREIGN</x:t>
  </x:si>
  <x:si>
    <x:t>IQ_OPEB_OBLIGATION_OTHER_PLAN_ADJ_FOREIGN</x:t>
  </x:si>
  <x:si>
    <x:t>IQ_OPEB_PBO_ASSUMED_RATE_RET_MIN_FOREIGN</x:t>
  </x:si>
  <x:si>
    <x:t>IQ_PENSION_ACCUMULATED_OBLIGATION_FOREIGN</x:t>
  </x:si>
  <x:si>
    <x:t>IQ_PENSION_RATE_COMP_INCREASE_MIN_FOREIGN</x:t>
  </x:si>
  <x:si>
    <x:t>IQ_OPEB_PBO_ASSUMED_RATE_RET_MAX_FOREIGN</x:t>
  </x:si>
  <x:si>
    <x:t>Health Care Cost Trend Rate, Ultimate (%)</x:t>
  </x:si>
  <x:si>
    <x:t>IQ_PENSION_OBLIGATION_SERVICE_COST_FOREIGN</x:t>
  </x:si>
  <x:si>
    <x:t>IQ_PENSION_OBLIGATION_INTEREST_COST_FOREIGN</x:t>
  </x:si>
  <x:si>
    <x:t>IQ_PENSION_PBO_ASSUMED_RATE_RET_MAX_FOREIGN</x:t>
  </x:si>
  <x:si>
    <x:t>IQ_OPEB_OBLIGATION_INTEREST_COST_FOREIGN</x:t>
  </x:si>
  <x:si>
    <x:t>IQ_OPEB_ASSETS_PARTICIP_CONTRIBUTIONS_DOM</x:t>
  </x:si>
  <x:si>
    <x:t>IQ_OPEB_HEALTH_COST_TREND_ULTIMATE_FOREIGN</x:t>
  </x:si>
  <x:si>
    <x:t>IQ_PENSION_UNFUNDED_ADDL_MIN_LIAB_FOREIGN</x:t>
  </x:si>
  <x:si>
    <x:t>3.375% Notes Due February 6, 2027 - EURO</x:t>
  </x:si>
  <x:si>
    <x:t>3.625% Notes Due February 6, 2031 - EURO</x:t>
  </x:si>
  <x:si>
    <x:t>IQ_PENSION_OBLIGATION_OTHER_COST_FOREIGN</x:t>
  </x:si>
  <x:si>
    <x:t>IQ_TOTAL_SR_SECURED_EBITDA_EXCL_OPER_LEASES</x:t>
  </x:si>
  <x:si>
    <x:t>IQ_PENSION_RATE_COMP_INCREASE_MAX_FOREIGN</x:t>
  </x:si>
  <x:si>
    <x:t>IQ_OPEB_PBO_RATE_COMP_INCREASE_MIN_FOREIGN</x:t>
  </x:si>
  <x:si>
    <x:t>Health Care Cost Trend Rate, Initial (%)</x:t>
  </x:si>
  <x:si>
    <x:t>IQ_PENSION_PBO_ASSUMED_RATE_RET_MIN_FOREIGN</x:t>
  </x:si>
  <x:si>
    <x:t>IQ_PENSION_ASSETS_OTHER_PLAN_ADJ_FOREIGN</x:t>
  </x:si>
  <x:si>
    <x:t>Unrecog. Tax Benefits, End of the Period</x:t>
  </x:si>
  <x:si>
    <x:t>International Business Machines Corporation</x:t>
  </x:si>
  <x:si>
    <x:t>EBITA (Incl. Equity Inc. from Affiliates)</x:t>
  </x:si>
  <x:si>
    <x:t>IQ_PENSION_OBLIGATION_TOTAL_COST_FOREIGN</x:t>
  </x:si>
  <x:si>
    <x:t>IQ_OPEB_HEALTH_COST_TREND_INITIAL_FOREIGN</x:t>
  </x:si>
  <x:si>
    <x:t>Gain on Bargain Acquisition - (CF)</x:t>
  </x:si>
  <x:si>
    <x:t>IQ_OPEB_INCREASE_EFFECT_PBO_FOREIGN</x:t>
  </x:si>
  <x:si>
    <x:t>IQ_OPEB_CI_NET_AMT_RECOG_FOREIGN</x:t>
  </x:si>
  <x:si>
    <x:t>0.300% Notes Due 2026 - Japnese Yen</x:t>
  </x:si>
  <x:si>
    <x:t>IQ_OPEB_CI_OTHER_MISC_ADJ_FOREIGN</x:t>
  </x:si>
  <x:si>
    <x:t>Depreciation on Right of Use Assets</x:t>
  </x:si>
  <x:si>
    <x:t>IQ_OPEB_PRIOR_SERVICE_NEXT_FOREIGN</x:t>
  </x:si>
  <x:si>
    <x:t>IQ_OPEB_DECREASE_EFFECT_PBO_FOREIGN</x:t>
  </x:si>
  <x:si>
    <x:t>IQ_CHANGE_OPER_LEASE_LIAB_NON_CASH</x:t>
  </x:si>
  <x:si>
    <x:t>IQ_OPEB_EST_BENEFIT_AFTER5_FOREIGN</x:t>
  </x:si>
  <x:si>
    <x:t>IQ_PENSION_EST_BENEFIT_AFTER5</x:t>
  </x:si>
  <x:si>
    <x:t xml:space="preserve">Sub-Lease Income, After 5 Yrs </x:t>
  </x:si>
  <x:si>
    <x:t xml:space="preserve">Sub-Lease Income, Next 5 Yrs </x:t>
  </x:si>
  <x:si>
    <x:t xml:space="preserve">Contractual Obligations Due +1 </x:t>
  </x:si>
  <x:si>
    <x:t>Average Interest Rate + 1 (%)</x:t>
  </x:si>
  <x:si>
    <x:t>Average Interest Rate + 2 (%)</x:t>
  </x:si>
  <x:si>
    <x:t>IQ_CONTRACT_OBLIGATION_TOTAL</x:t>
  </x:si>
  <x:si>
    <x:t>Total Contractual Obligations</x:t>
  </x:si>
  <x:si>
    <x:t>Average Interest Rate + 3 (%)</x:t>
  </x:si>
  <x:si>
    <x:t>Average Interest Rate + 4 (%)</x:t>
  </x:si>
  <x:si>
    <x:t>Average Interest Rate + 5 (%)</x:t>
  </x:si>
  <x:si>
    <x:t>Avg. Days Inventory Outstanding</x:t>
  </x:si>
  <x:si>
    <x:t>Avg. Days Payable Outstanding</x:t>
  </x:si>
  <x:si>
    <x:t>Capex as Percent of Revenues</x:t>
  </x:si>
  <x:si>
    <x:t>IQ_TOTAL_LIAB_TO_TOTAL_ASSETS</x:t>
  </x:si>
  <x:si>
    <x:t>EBITDA / Interest Expense (x)</x:t>
  </x:si>
  <x:si>
    <x:t>Total Debt / (EBITDA-CAPEX) (x)</x:t>
  </x:si>
  <x:si>
    <x:t>Net Debt / (EBITDA-CAPEX) (x)</x:t>
  </x:si>
  <x:si>
    <x:t>IQ_TOTAL_ASSETS_1YR_ANN_GROWTH</x:t>
  </x:si>
  <x:si>
    <x:t>IQ_EARNING_CO_1YR_ANN_GROWTH</x:t>
  </x:si>
  <x:si>
    <x:t>IQ_COMMON_EQUITY_1YR_ANN_GROWTH</x:t>
  </x:si>
  <x:si>
    <x:t>Unlevered Free Cash Flow (%)</x:t>
  </x:si>
  <x:si>
    <x:t>IQ_TOTAL_ASSETS_2YR_ANN_GROWTH</x:t>
  </x:si>
  <x:si>
    <x:t>IQ_EARNING_CO_2YR_ANN_GROWTH</x:t>
  </x:si>
  <x:si>
    <x:t>IQ_COMMON_EQUITY_2YR_ANN_GROWTH</x:t>
  </x:si>
  <x:si>
    <x:t>IQ_TOTAL_ASSETS_3YR_ANN_GROWTH</x:t>
  </x:si>
  <x:si>
    <x:t>IQ_COMMON_EQUITY_3YR_ANN_GROWTH</x:t>
  </x:si>
  <x:si>
    <x:t>IQ_EARNING_CO_5YR_ANN_GROWTH</x:t>
  </x:si>
  <x:si>
    <x:t>IQ_EARNING_CO_3YR_ANN_GROWTH</x:t>
  </x:si>
  <x:si>
    <x:t>IQ_TOTAL_ASSETS_5YR_ANN_GROWTH</x:t>
  </x:si>
  <x:si>
    <x:t>IQ_COMMON_EQUITY_5YR_ANN_GROWTH</x:t>
  </x:si>
  <x:si>
    <x:t>Assets Under Management - Other</x:t>
  </x:si>
  <x:si>
    <x:t>IQ_HIGH_NET_WORTH_CLIENTS_AUM</x:t>
  </x:si>
  <x:si>
    <x:t>High Net Worth Clients (AUM)</x:t>
  </x:si>
  <x:si>
    <x:t>Avg. Assets Under Management</x:t>
  </x:si>
  <x:si>
    <x:t>IQ_AUM_NET_INFLOWS_TO_OUTFLOWS</x:t>
  </x:si>
  <x:si>
    <x:t>IQ_AUM_MKT_APPRECIATION_TO_DEPR</x:t>
  </x:si>
  <x:si>
    <x:t>AUM Acquisitions and Transfers</x:t>
  </x:si>
  <x:si>
    <x:t>IQ_MUTUAL_FUND_END_OF_PERIOD</x:t>
  </x:si>
  <x:si>
    <x:t>Organic Growth Rate (AUM) (%)</x:t>
  </x:si>
  <x:si>
    <x:t>IQ_ASSETS_UNDER_ADMINISTRATION</x:t>
  </x:si>
  <x:si>
    <x:t>Asset Managed Growth Rate (%)</x:t>
  </x:si>
  <x:si>
    <x:t xml:space="preserve">NOL Carryforward, Current Year </x:t>
  </x:si>
  <x:si>
    <x:t>Interest Capitalized, Expensed</x:t>
  </x:si>
  <x:si>
    <x:t>IQ_MAX_YR_FOR_NOL_CARRY_FORWARD</x:t>
  </x:si>
  <x:si>
    <x:t xml:space="preserve">Total Tax Benefit Carryforward </x:t>
  </x:si>
  <x:si>
    <x:t>IQ_ADD_TAX_POSITIONS_CURRENT_YR</x:t>
  </x:si>
  <x:si>
    <x:t>IQ_LAPSE_STATUTE_LIMITATIONS</x:t>
  </x:si>
  <x:si>
    <x:t>IQ_TAX_BENEFIT_CF_AFTER_FIVE</x:t>
  </x:si>
  <x:si>
    <x:t>IQ_SETTLEMENTS_TAX_AUTHORITIES</x:t>
  </x:si>
  <x:si>
    <x:t>IQ_ADD_TAX_POSITIONS_PRIOR_YRS</x:t>
  </x:si>
  <x:si>
    <x:t>IQ_OPTIONS_STRIKE_PRICE_GRANTED</x:t>
  </x:si>
  <x:si>
    <x:t>IQ_WARRANTS_STRIKE_PRICE_ISSUED</x:t>
  </x:si>
  <x:si>
    <x:t>Def. Benefit Return on Assets</x:t>
  </x:si>
  <x:si>
    <x:t>Beg. Def. Benefit Obligation</x:t>
  </x:si>
  <x:si>
    <x:t>IQ_PENSION_OBLIGATION_CURTAIL</x:t>
  </x:si>
  <x:si>
    <x:t>IQ_PENSION_OBLIGATION_FX_ADJ</x:t>
  </x:si>
  <x:si>
    <x:t>IQ_PENSION_OBLIGATION_PROJECTED</x:t>
  </x:si>
  <x:si>
    <x:t>Actual Return on Plan Assets</x:t>
  </x:si>
  <x:si>
    <x:t>Foreign Exchange Adjustments</x:t>
  </x:si>
  <x:si>
    <x:t>IQ_PENSION_ASSETS_ACTUAL_RETURN</x:t>
  </x:si>
  <x:si>
    <x:t>IQ_PENSION_ASSETS_BENEFITS_PAID</x:t>
  </x:si>
  <x:si>
    <x:t>IQ_PENSION_EXP_RATE_RETURN_MIN</x:t>
  </x:si>
  <x:si>
    <x:t>IQ_PENSION_EXP_RATE_RETURN_MAX</x:t>
  </x:si>
  <x:si>
    <x:t>Plan Assets - Fixed Income (%)</x:t>
  </x:si>
  <x:si>
    <x:t>Plan Assets- Real Estate (%)</x:t>
  </x:si>
  <x:si>
    <x:t>IQ_PENSION_BREAKDOWN_PCT_OTHER</x:t>
  </x:si>
  <x:si>
    <x:t>Other Misc. Adj. – Compr. Inc.</x:t>
  </x:si>
  <x:si>
    <x:t>IQ_PENSION_CI_OTHER_MISC_ADJ</x:t>
  </x:si>
  <x:si>
    <x:t>IQ_PENSION_PRIOR_SERVICE_NEXT</x:t>
  </x:si>
  <x:si>
    <x:t>Estimated Future Benefits Paid</x:t>
  </x:si>
  <x:si>
    <x:t>Convertible</x:t>
  </x:si>
  <x:si>
    <x:t>Coupon Type</x:t>
  </x:si>
  <x:si>
    <x:t>Maturity</x:t>
  </x:si>
  <x:si>
    <x:t>Description</x:t>
  </x:si>
  <x:si>
    <x:t>Seniority</x:t>
  </x:si>
  <x:si>
    <x:t>U.S. GAAP</x:t>
  </x:si>
  <x:si>
    <x:t>Senior Debt</x:t>
  </x:si>
  <x:si>
    <x:t>IQ_GAAP_BS</x:t>
  </x:si>
  <x:si>
    <x:t>IQ_DEP_RUA</x:t>
  </x:si>
  <x:si>
    <x:t>IQ_GAAP_IS</x:t>
  </x:si>
  <x:si>
    <x:t>Historical</x:t>
  </x:si>
  <x:si>
    <x:t>NYSE:IBM</x:t>
  </x:si>
  <x:si>
    <x:t>IQ_GAAP_CF</x:t>
  </x:si>
  <x:si>
    <x:t>Recommended</x:t>
  </x:si>
  <x:si>
    <x:t>Feb-11-2028</x:t>
  </x:si>
  <x:si>
    <x:t>Feb-11-2032</x:t>
  </x:si>
  <x:si>
    <x:t>Nov-02-2026</x:t>
  </x:si>
  <x:si>
    <x:t>Feb-11-2040</x:t>
  </x:si>
  <x:si>
    <x:t>Jan-31-2031</x:t>
  </x:si>
  <x:si>
    <x:t>May-15-2040</x:t>
  </x:si>
  <x:si>
    <x:t>Jan-29-2027</x:t>
  </x:si>
  <x:si>
    <x:t>Feb-10-2037</x:t>
  </x:si>
  <x:si>
    <x:t>Feb-09-2034</x:t>
  </x:si>
  <x:si>
    <x:t>May-15-2050</x:t>
  </x:si>
  <x:si>
    <x:t>Feb-06-2031</x:t>
  </x:si>
  <x:si>
    <x:t>Feb-06-2035</x:t>
  </x:si>
  <x:si>
    <x:t>Feb-10-2045</x:t>
  </x:si>
  <x:si>
    <x:t>May-15-2029</x:t>
  </x:si>
  <x:si>
    <x:t>May-23-2029</x:t>
  </x:si>
  <x:si>
    <x:t>Feb-06-2027</x:t>
  </x:si>
  <x:si>
    <x:t>Feb-10-2033</x:t>
  </x:si>
  <x:si>
    <x:t>Mar-07-2028</x:t>
  </x:si>
  <x:si>
    <x:t>Feb-09-2030</x:t>
  </x:si>
  <x:si>
    <x:t>May-23-2025</x:t>
  </x:si>
  <x:si>
    <x:t>Feb-06-2043</x:t>
  </x:si>
  <x:si>
    <x:t>Preliminary</x:t>
  </x:si>
  <x:si>
    <x:t>Nov-07-2025</x:t>
  </x:si>
  <x:si>
    <x:t>Restated</x:t>
  </x:si>
  <x:si>
    <x:t>Jun-20-2042</x:t>
  </x:si>
  <x:si>
    <x:t>May-15-2049</x:t>
  </x:si>
  <x:si>
    <x:t>Jan-31-2025</x:t>
  </x:si>
  <x:si>
    <x:t>Plan Assets</x:t>
  </x:si>
  <x:si>
    <x:t>IQ_PREF_REP</x:t>
  </x:si>
  <x:si>
    <x:t>IQ_CASH_FX</x:t>
  </x:si>
  <x:si>
    <x:t>IQ_TEV_UFCF</x:t>
  </x:si>
  <x:si>
    <x:t>IQ_PE_NORM</x:t>
  </x:si>
  <x:si>
    <x:t>SP_PE_FWD</x:t>
  </x:si>
  <x:si>
    <x:t>PEG Ratio</x:t>
  </x:si>
  <x:si>
    <x:t>SP_PEG_FWD</x:t>
  </x:si>
  <x:si>
    <x:t xml:space="preserve">Total Debt </x:t>
  </x:si>
  <x:si>
    <x:t>Percentage</x:t>
  </x:si>
  <x:si>
    <x:t>IQ_CP_PCT</x:t>
  </x:si>
  <x:si>
    <x:t>IQ_RC_PCT</x:t>
  </x:si>
  <x:si>
    <x:t>IQ_DEBT_ADJ</x:t>
  </x:si>
  <x:si>
    <x:t>Sub. Debt</x:t>
  </x:si>
  <x:si>
    <x:t>IQ_CONVERT</x:t>
  </x:si>
  <x:si>
    <x:t>IQ_SR_DEBT</x:t>
  </x:si>
  <x:si>
    <x:t>IQ_SUB_DEBT</x:t>
  </x:si>
  <x:si>
    <x:t>IQ_AR_TURNS</x:t>
  </x:si>
  <x:si>
    <x:t>EBITDA (%)</x:t>
  </x:si>
  <x:si>
    <x:t>IQ_EBIT_INT</x:t>
  </x:si>
  <x:si>
    <x:t>EBIT (%)</x:t>
  </x:si>
  <x:si>
    <x:t>EBITA (%)</x:t>
  </x:si>
  <x:si>
    <x:t>Unqualified</x:t>
  </x:si>
  <x:si>
    <x:t>IQ_AUM_DOM</x:t>
  </x:si>
  <x:si>
    <x:t>IQ_AUM_FRGN</x:t>
  </x:si>
  <x:si>
    <x:t>AUM Inflows</x:t>
  </x:si>
  <x:si>
    <x:t>IQ_AVG_AUM</x:t>
  </x:si>
  <x:si>
    <x:t>ISO Code</x:t>
  </x:si>
  <x:si>
    <x:t>support.CapIQPro@spglobal.com</x:t>
  </x:si>
  <x:si>
    <x:r>
      <x:rPr>
        <x:rFont val="Arial"/>
        <x:sz val="8"/>
        <x:color rgb="ff000000"/>
        <x:b val="1"/>
      </x:rPr>
      <x:t>Step 3:</x:t>
    </x:r>
    <x:r>
      <x:rPr>
        <x:rFont val="Arial"/>
        <x:sz val="8"/>
        <x:color rgb="ff000000"/>
      </x:rPr>
      <x:t xml:space="preserve"> Enter Valuation Date.</x:t>
    </x:r>
  </x:si>
  <x:si>
    <x:r>
      <x:rPr>
        <x:rFont val="Arial"/>
        <x:sz val="8"/>
        <x:color rgb="ff000000"/>
        <x:b val="1"/>
      </x:rPr>
      <x:t>Step 5:</x:t>
    </x:r>
    <x:r>
      <x:rPr>
        <x:rFont val="Arial"/>
        <x:sz val="8"/>
        <x:color rgb="ff000000"/>
      </x:rPr>
      <x:t xml:space="preserve"> Hit "REFRESH" button.</x:t>
    </x:r>
  </x:si>
  <x:si>
    <x:t>Diluted EPS Excl. Extra Items</x:t>
  </x:si>
  <x:si>
    <x:t>= Total Enterprise Value (TEV)</x:t>
  </x:si>
  <x:si>
    <x:t>- Cash &amp; Short Term Investments</x:t>
  </x:si>
  <x:si>
    <x:t>Selling General &amp; Admin Exp.</x:t>
  </x:si>
  <x:si>
    <x:t>Insurance Div. Operating Exp.</x:t>
  </x:si>
  <x:si>
    <x:t>Gain (Loss) On Sale Of Assets</x:t>
  </x:si>
  <x:si>
    <x:t>Other Non-Operating Inc. (Exp.)</x:t>
  </x:si>
  <x:si>
    <x:t>Currency Exchange Gains (Loss)</x:t>
  </x:si>
  <x:si>
    <x:t>Income / (Loss) from Affiliates</x:t>
  </x:si>
  <x:si>
    <x:t>Gain (Loss) On Sale Of Invest.</x:t>
  </x:si>
  <x:si>
    <x:t>Pref. Dividends and Other Adj.</x:t>
  </x:si>
  <x:si>
    <x:t>NI to Common Incl Extra Items</x:t>
  </x:si>
  <x:si>
    <x:t>IQ_MINORITY_INTEREST_EARNINGS</x:t>
  </x:si>
  <x:si>
    <x:t>Earnings of Discontinued Ops.</x:t>
  </x:si>
  <x:si>
    <x:t>IQ_EARNINGS_DISCONTINUED_OPS</x:t>
  </x:si>
  <x:si>
    <x:t xml:space="preserve">Basic EPS Excl. Extra Items </x:t>
  </x:si>
  <x:si>
    <x:t xml:space="preserve">Diluted EPS Excl Extra Items </x:t>
  </x:si>
  <x:si>
    <x:t xml:space="preserve">Distributable Cash per Share </x:t>
  </x:si>
  <x:si>
    <x:t>NI to Common Excl Extra Items</x:t>
  </x:si>
  <x:si>
    <x:t>Total Same Store Sales Growth</x:t>
  </x:si>
  <x:si>
    <x:t>Dilued Net Income- U.S. GAAP</x:t>
  </x:si>
  <x:si>
    <x:t>Standardized Distributable Cash</x:t>
  </x:si>
  <x:si>
    <x:t>IQ_DISTRIBUTABLE_CASH_PAYOUT</x:t>
  </x:si>
  <x:si>
    <x:t>Selling and Marketing Expense</x:t>
  </x:si>
  <x:si>
    <x:t>Maintenance &amp; Repair Expenses</x:t>
  </x:si>
  <x:si>
    <x:t>Restructuring Charges (Supple)</x:t>
  </x:si>
  <x:si>
    <x:t>IQ_STOCK_OPTIONS_COMP_PRETAX</x:t>
  </x:si>
  <x:si>
    <x:t>Stock-Based Comp., After-Tax</x:t>
  </x:si>
  <x:si>
    <x:t>IQ_STOCK_BASED_EXPLORE_DRILL</x:t>
  </x:si>
  <x:si>
    <x:t>Stock-Based Comp., Unallocated</x:t>
  </x:si>
  <x:si>
    <x:t>Net Property, Plant &amp; Equipment</x:t>
  </x:si>
  <x:si>
    <x:t>Finance Div. Other Curr. Assets</x:t>
  </x:si>
  <x:si>
    <x:t>Finance Div. Other LT Assets</x:t>
  </x:si>
  <x:si>
    <x:t>Finance Div. Other Curr. Liab.</x:t>
  </x:si>
  <x:si>
    <x:t>Accounts Receivable Long-Term</x:t>
  </x:si>
  <x:si>
    <x:t>Def. Tax Liability, Non-Curr.</x:t>
  </x:si>
  <x:si>
    <x:t>Other Non-Current Liabilities</x:t>
  </x:si>
  <x:si>
    <x:t>Unearned Revenue, Non-Current</x:t>
  </x:si>
  <x:si>
    <x:t>Comprehensive Inc. and Other</x:t>
  </x:si>
  <x:si>
    <x:t>Total Liabilities And Equity</x:t>
  </x:si>
  <x:si>
    <x:t>IQ_RUA_CAPITAL_LEASE_ACCUM_DEP</x:t>
  </x:si>
  <x:si>
    <x:t>IQ_RUA_OPERATING_LEASE_GROSS</x:t>
  </x:si>
  <x:si>
    <x:t>IQ_TOTAL_DEBT_EXCL_OPER_LEASES</x:t>
  </x:si>
  <x:si>
    <x:t xml:space="preserve">Book Value/Share (Reported) </x:t>
  </x:si>
  <x:si>
    <x:t xml:space="preserve">Tangible Book Value Per Share </x:t>
  </x:si>
  <x:si>
    <x:t>Capitalized/Purchased Software</x:t>
  </x:si>
  <x:si>
    <x:t>Accounts Receivables Unbilled</x:t>
  </x:si>
  <x:si>
    <x:t>Part Time Employees (actual)</x:t>
  </x:si>
  <x:si>
    <x:t>Level 1 Assets - Quoted Prices</x:t>
  </x:si>
  <x:si>
    <x:t>Full Time Employees (actual)</x:t>
  </x:si>
  <x:si>
    <x:t>IQ_DERIVATIVE_TRADING_ASSETS</x:t>
  </x:si>
  <x:si>
    <x:t>Current Derivative Liabilities</x:t>
  </x:si>
  <x:si>
    <x:t>IQ_DERIVATIVE_LIAB_NON_CURRENT</x:t>
  </x:si>
  <x:si>
    <x:t>IQ_DERIVATIVE_ASSETS_CURRENT</x:t>
  </x:si>
  <x:si>
    <x:t xml:space="preserve">Debt Equivalent Oper. Leases </x:t>
  </x:si>
  <x:si>
    <x:t>Long Term Marketable Securities</x:t>
  </x:si>
  <x:si>
    <x:t>Total Debt Excl Fin Div Debt</x:t>
  </x:si>
  <x:si>
    <x:t>Intercompany Non-Current Assets</x:t>
  </x:si>
  <x:si>
    <x:t>Depreciation &amp; Amort., Total</x:t>
  </x:si>
  <x:si>
    <x:t>(Gain) Loss On Sale Of Invest.</x:t>
  </x:si>
  <x:si>
    <x:t>(Gain) Loss From Sale Of Asset</x:t>
  </x:si>
  <x:si>
    <x:t>(Income) Loss on Equity Invest.</x:t>
  </x:si>
  <x:si>
    <x:t>IQ_CHANGE_OTHER_NET_OPER_ASSETS</x:t>
  </x:si>
  <x:si>
    <x:t>Net Cash From Discontinued Ops.</x:t>
  </x:si>
  <x:si>
    <x:t>Tax Benefit from Stock Options</x:t>
  </x:si>
  <x:si>
    <x:t>Change in Net Working Capital</x:t>
  </x:si>
  <x:si>
    <x:t>IQ_CHANGE_NET_WORKING_CAPITAL</x:t>
  </x:si>
  <x:si>
    <x:t>IFRS 16 / ASC 842 Items</x:t>
  </x:si>
  <x:si>
    <x:t>Machinery</x:t>
  </x:si>
  <x:si>
    <x:t>Buildings</x:t>
  </x:si>
  <x:si>
    <x:t>IQ_SOFTWARE</x:t>
  </x:si>
  <x:si>
    <x:t>Disclaimer:</x:t>
  </x:si>
  <x:si>
    <x:t>Contact:</x:t>
  </x:si>
  <x:si>
    <x:t>Settings:</x:t>
  </x:si>
  <x:si>
    <x:t>Magnitude</x:t>
  </x:si>
  <x:si>
    <x:t>Previous</x:t>
  </x:si>
  <x:si>
    <x:t>Currency</x:t>
  </x:si>
  <x:si>
    <x:t>Fiscal Year</x:t>
  </x:si>
  <x:si>
    <x:t>U.S. Dollar</x:t>
  </x:si>
  <x:si>
    <x:t>Millions</x:t>
  </x:si>
  <x:si>
    <x:t>SP_EBIT_EST</x:t>
  </x:si>
  <x:si>
    <x:t>SP_REV_EST</x:t>
  </x:si>
  <x:si>
    <x:t>IQ_EBITDA</x:t>
  </x:si>
  <x:si>
    <x:t>Estimates</x:t>
  </x:si>
  <x:si>
    <x:t xml:space="preserve">  Margin %</x:t>
  </x:si>
  <x:si>
    <x:t>SP_NI_EST</x:t>
  </x:si>
  <x:si>
    <x:t>SP_EPS_EST</x:t>
  </x:si>
  <x:si>
    <x:t>IQ_NET_INC</x:t>
  </x:si>
  <x:si>
    <x:t>Net Income</x:t>
  </x:si>
  <x:si>
    <x:t>IQ_PTBV_X</x:t>
  </x:si>
  <x:si>
    <x:t>Graph Data</x:t>
  </x:si>
  <x:si>
    <x:t>IQ_TEV_EBIT</x:t>
  </x:si>
  <x:si>
    <x:t>Market Cap</x:t>
  </x:si>
  <x:si>
    <x:t>SP_PE_EST</x:t>
  </x:si>
  <x:si>
    <x:t>SP_PBV_FWD</x:t>
  </x:si>
  <x:si>
    <x:t>IQ_PBV_X</x:t>
  </x:si>
  <x:si>
    <x:t>IQ_OPER_INC</x:t>
  </x:si>
  <x:si>
    <x:t>R &amp; D Exp.</x:t>
  </x:si>
  <x:si>
    <x:t>IQ_RD_EXP</x:t>
  </x:si>
  <x:si>
    <x:t>IQ_INC_TAX</x:t>
  </x:si>
  <x:si>
    <x:t>IQ_EBT_EXCL</x:t>
  </x:si>
  <x:si>
    <x:t xml:space="preserve">Basic EPS </x:t>
  </x:si>
  <x:si>
    <x:t>IQ_EBITA</x:t>
  </x:si>
  <x:si>
    <x:t>IQ_NI_SFAS</x:t>
  </x:si>
  <x:si>
    <x:t>IQ_EBITDAR</x:t>
  </x:si>
  <x:si>
    <x:t>IQ_NI_NORM</x:t>
  </x:si>
  <x:si>
    <x:t>IQ_DILUT_NI</x:t>
  </x:si>
  <x:si>
    <x:t>R&amp;D Expense</x:t>
  </x:si>
  <x:si>
    <x:t>Original</x:t>
  </x:si>
  <x:si>
    <x:t>Period Date</x:t>
  </x:si>
  <x:si>
    <x:t>IQ_GA_EXP</x:t>
  </x:si>
  <x:si>
    <x:t>Filing Date</x:t>
  </x:si>
  <x:si>
    <x:t>Goodwill</x:t>
  </x:si>
  <x:si>
    <x:t>IQ_GOODWILL</x:t>
  </x:si>
  <x:si>
    <x:t>IQ_TOTAL_CA</x:t>
  </x:si>
  <x:si>
    <x:t>Inventory</x:t>
  </x:si>
  <x:si>
    <x:t>IQ_ST_DEBT</x:t>
  </x:si>
  <x:si>
    <x:t>IQ_AR_LT</x:t>
  </x:si>
  <x:si>
    <x:t>LIABILITIES</x:t>
  </x:si>
  <x:si>
    <x:t>IQ_PENSION</x:t>
  </x:si>
  <x:si>
    <x:t>IQ_LT_DEBT</x:t>
  </x:si>
  <x:si>
    <x:t>IQ_TOTAL_CL</x:t>
  </x:si>
  <x:si>
    <x:t>IQ_RUA_NET</x:t>
  </x:si>
  <x:si>
    <x:t>IQ_NET_DEBT</x:t>
  </x:si>
  <x:si>
    <x:t>Net Debt</x:t>
  </x:si>
  <x:si>
    <x:t>Total Debt</x:t>
  </x:si>
  <x:si>
    <x:t>IQ_GW_INTAN</x:t>
  </x:si>
  <x:si>
    <x:t>IQ_TBVPS</x:t>
  </x:si>
  <x:si>
    <x:t>IQ_LIFOR</x:t>
  </x:si>
  <x:si>
    <x:t>IQ_RAW_INV</x:t>
  </x:si>
  <x:si>
    <x:t>IQ_WIP_INV</x:t>
  </x:si>
  <x:si>
    <x:t>($)</x:t>
  </x:si>
  <x:si>
    <x:t>IQ_WTD_AVG_IR_CY</x:t>
  </x:si>
  <x:si>
    <x:t>IQ_WTD_AVG_IR_CY1</x:t>
  </x:si>
  <x:si>
    <x:t>EBITDA Margin (%)</x:t>
  </x:si>
  <x:si>
    <x:t>Current Ratio (x)</x:t>
  </x:si>
  <x:si>
    <x:t>IQ_WTD_AVG_IR_CY4</x:t>
  </x:si>
  <x:si>
    <x:t>IQ_DAYS_SALES_OUT</x:t>
  </x:si>
  <x:si>
    <x:t>IQ_CASH_CONVERSION</x:t>
  </x:si>
  <x:si>
    <x:t>IQ_WTD_AVG_IR_CY2</x:t>
  </x:si>
  <x:si>
    <x:t>IQ_SUB_LEASE_INC_CY</x:t>
  </x:si>
  <x:si>
    <x:t>INTEREST RATE DATA</x:t>
  </x:si>
  <x:si>
    <x:t>IQ_INVENTORY_TURNS</x:t>
  </x:si>
  <x:si>
    <x:t>IQ_DAYS_PAYABLE_OUT</x:t>
  </x:si>
  <x:si>
    <x:t>LONG-TERM SOLVENCY</x:t>
  </x:si>
  <x:si>
    <x:t>IQ_WTD_AVG_IR_CY3</x:t>
  </x:si>
  <x:si>
    <x:t>IQ_CFO_CURRENT_LIAB</x:t>
  </x:si>
  <x:si>
    <x:t>IQ_EBITDA_MARGIN</x:t>
  </x:si>
  <x:si>
    <x:t>IQ_CAPEX_PCT_REV</x:t>
  </x:si>
  <x:si>
    <x:t>EBITA Margin (%)</x:t>
  </x:si>
  <x:si>
    <x:t>IQ_NI_NORM_MARGIN</x:t>
  </x:si>
  <x:si>
    <x:t>IQ_CURRENT_RATIO</x:t>
  </x:si>
  <x:si>
    <x:t>IQ_DEBT_TO_EQUITY</x:t>
  </x:si>
  <x:si>
    <x:t>杂䅁权䉁䅁䅁兂䅁䅁䅁䍷浪䅑䅕䅁䅁䍁ぁ欵䭁乁䡍䅁䉁䅁䅁允䅁䅁䅕㕳䑬杕汴か䵁䅉䅅䅁䝁䅁䅁睁䵁䅁䅁权䡃杂䅁权啂杂䅁权䉁䅁䅁兂䅁䅁䅁䝷浈䅑䅯兗䅙䅁䅅䅁䉁䅁䅁兂千漵瀹坢歉䅑杷允䅁䅁䅣䅁䑁䅁䅷䅁䭁䥁䝣䅁䭁䝁䝍䅁䭁䅁䅅䅁䙁䅁䅁䅁杂畖䅚兂䅁䅁䅁䝷浈䅑䅯眰䅣䅁䅅䅁䉁䅁䅁兂佃䉂獰椶ぷ䅑杷允䅁䅁䅙䅁䑁䅁䅷䅁䭁䥁䝣䅁䭁䙁䜰䅁䭁䅁䅅䅁䙁䅁䅁䅁䅂敢䅚权婂杂䅁允䅁䅁䅅䅁䙁乁兄㡐䙈桡䅂䍄䉁䅁䅁睂䅁䅁䅍䅄䅁䅁䅯睨䅙䅁䅯杗䅙䅁䅯兕䅙䅁䅕䅁䅁䭁⽁欵䙁䅁䅁䅁杁⭓䅚权啄睂䅁允䅁䅁䅅䅁䙁䵁䡶橓夫呺䅒䍄䉁䅁䅁睂䅁䅁䅍䅄䅁䅁䅯睨䅙䅁䅯䅗䅙䅁䅯允䅁䅁䅕䅁䅁䝁坂欵䙁䅁䅁䅁䅄教䅚权剄睂䅁允䅁䅁䅅䅁䙁䕁破卍偐偙⽳䍄䉁䅁䅁睂䅁䅁䅍䅄䅁䅁䅯睨䅙䅁䅯兘䅙䅁䅯允䅁䅁䅕䅁䅁䍁ぁ欵䙁䅁䅁䅁权⭐䅚权呄睂䅁允䅁䅁䅅䅁䙁䝁䌫㕢⭯睵䅒䍄䉁䅁䅁睂䅁䅁䅍䅄䅁䅁䅯睨䅙䅁䅯䅕䅙䅁䅯兕䅙䅁䅕䅁䅁䍁ぁ欵䙁䅁䅁䅁权⭐䅚权呄睂䅁允䅁䅁䅅䅁䙁䥁啸漯㔴六䅬䍄䉁䅁䅁睂䅁䅁䅍䅄䅁䅁䅯睨䅙䅁䅯杙䅙䅁䅯兕䅙䅁䅕䅁䅁䝁坂欵䙁䅁䅁䅁䅄教䅚权兄睂䅁允䅁䅁䅅䅁䙁䩁渷䅁䕭䑲䅂䍄䉁䅁䅁睂䅁䅁䅍䅄䅁䅁䅯睨䅙䅁䅯䅚䅙䅁䅯允䅁䅁䅕䅁䅁䍁ぁ欵䙁䅁䅁䅁权⭐䅚权兄睂䅁允䅁䅁䅅䅁䭁䑁䅅䅁䵁䅉䅅䅁䡁䅁䅁睁䵁䅁䅁权䡃杂䅁权兂杂䅁权剂杂䅁兂䅁䅁䅁䍷浪䅑䅕䅁䅁䍁ぁ欵䭁乁䡍䅁䉁䅁䅁允䅁䅁䅕桂䙓㤫唶䕃䵁䅉䅅䅁䡁䅁䅁睁䵁䅁䅁权䡃杂䅁权時杂䅁权剂杂䅁兂䅁䅁䅁䑯洯䅑䅕䅁䅁䍁䱂欵䭁乁䡉䅁䉁䅁䅁允䅁䅁䅕㕴ㄲ㍗奣䕍䵁䅉䅅䅁䝁䅁䅁睁䵁䅁䅁权䡃杂䅁权橂杂䅁权䉁䅁䅁兂䅁䅁䅁䕉浶䅑䅯兗䅙䅁䅅䅁䉁䅁䅁兂⽁朵䍍奮穕䅑杷允䅁䅁䅣䅁䑁䅁䅷䅁䭁䥁䝣䅁䭁䙁䜰䅁䭁䅁䅅䅁䙁䅁䅁䅁杂畖䅚兂䅁䅁䅁䝷浈䅑䅯眰䅣䅁䅅䅁䉁䅁䅁兂䕁㉸捘䌱䭁䅑杷允䅁䅁䅙䅁䑁䅁䅷䅁䭁䥁䝣䅁䭁䝁䝉䅁䭁䙁䝅䅁䙁䅁䅁䅁杁低䅚权婂杂䅁允䅁䅁䅅䅁䙁䉁桮㝓䩏楙䅨䍄䉁䅁䅁杂䅁䅁䅍䅄䅁䅁䅯睨䅙䅁䅯䅡䅙䅁䅯兕䅙䅁䅕䅁䅁䭁⽁欵䭁䙁䝫䅁䉁䅁䅁允䅁䅁䅕噶獏⭇扮啎䵁䅉䅅䅁䡁䅁䅁睁䵁䅁䅁权䡃杂䅁权桂杂䅁权䉁䅁䅁兂䅁䅁䅁䝷浈䅑䅕䅁䅁䕁瑂欵䭁乁䡉䅁䉁䅁䅁允䅁䅁䅕婎扣䡄䵖啓䵁䅉䅅䅁䡁䅁䅁睁䵁䅁䅁权䡃杂䅁权楂杂䅁权剂杂䅁兂䅁䅁䅁䙙浢䅑䅕䅁䅁䵁桂欵䭁乁䡍䅁䉁䅁䅁允䅁䅁䅕橘⬲㝡䱡啌䵁䅉䅅䅁䡁䅁䅁睁䵁䅁䅁权䡃杂䅁权桂杂䅁权䉁䅁䅁兂䅁䅁䅁䑯洯䅑䅕䅁䅁䍁䱂欵䭁乁䡑䅁䉁䅁䅁允䅁䅁䅕潸慯䵔潍ぐ䵁䅉䅅䅁䡁䅁䅁睁䵁䅁䅁权䡃杂䅁权浂杂䅁权䉁䅁䅁兂䅁䅁䅁䙙浢䅑䅕䅁䅁䵁桂欵䭁乁䡑䅁䉁䅁䅁允䅁䅁䅕樰⭢䝒塘き䵁䅉䅅䅁䡁䅁䅁睁䵁䅁䅁权䡃杂䅁权慂杂䅁权剂杂䅁兂䅁䅁䅁䍷浪䅑䅕䅁䅁䍁ぁ欵䭁乁䡉䅁䉁䅁䅁允䅁䅁䅕渶敬扆䉧き䵁䅉䅅䅁䡁䅁䅁睁䵁䅁䅁权䡃杂䅁权煂杂䅁权㥁䅁䅁兂䅁䅁䅁䍷浪䅑䅕䅁䅁䍁ぁ欵䭁乁䡑䅁䉁䅁䅁允䅁䅁䅕䭧噖汮䝄う䵁䅉䅅䅁䡁䅁䅁睁䵁䅁䅁权䡃杂䅁权摂杂䅁权䉁䅁䅁兂䅁䅁䅁䙙浢䅑䅕䅁䅁䵁桂欵䭁乁䡑䅁䉁䅁䅁允䅁䅁䅕敢㝦晱升歄䵁䅉䅅䅁䡁䅁䅁睁䵁䅁䅁权䡃杂䅁权獂杂䅁权剂杂䅁兂䅁䅁䅁䝑洳䅑䅕䅁䅁䵁㑂欵䭁乁䡉䅁䉁䅁䅁允䅁䅁䅕慗歂癐㙌䕅䵁䅉䅅䅁䡁䅁䅁睁䵁䅁䅁权䡃杂䅁权時杂䅁权剂杂䅁兂䅁䅁䅁䕉浶䅑䅕䅁䅁䝁坂欵䭁乁䡉䅁䉁䅁䅁允䅁䅁䅕㕦䍷睃栳䕍䵁䅉䅅䅁䡁䅁䅁睁䵁䅁䅁权䡃杂䅁权啂杂䅁权䉁䅁䅁兂䅁䅁䅁䝑洳䅑䅕䅁䅁䵁㑂欵䭁乁䡍䅁䉁䅁䅁允䅁䅁䅕䅵㉡牓睃歉䵁䅉䅅䅁䡁䅁䅁睁䵁䅁䅁权䡃杂䅁权慂杂䅁权剂杂䅁兂䅁䅁䅁䍷浪䅑䅕䅁䅁䍁ぁ欵䭁乁䡑䅁䉁䅁䅁允䅁䅁䅕䙈猵电䱔䕍䵁䅉䅅䅁䡁䅁䅁睁䵁䅁䅁权䡃杂䅁权浂杂䅁权䉁䅁䅁兂䅁䅁䅁䑯洯䅑䅕䅁䅁䍁䱂欵䭁乁䡉䅁䉁䅁䅁允䅁䅁䅕扁眱㠵杊啍䵁䅉䅅䅁䡁䅁䅁睁䵁䅁䅁权䡃杂䅁权慂杂䅁权剂杂䅁兂䅁䅁䅁䑉浔䅑䅕䅁䅁䭁⽁欵䭁乁䡅䅁䉁䅁䅁允䅁䅁䅕䅎湰煒㑤稸䴸䅉䅅䅁䝁䅁䅁睁䵁䅁䅁权䡃杂䅁权獂杂䅁权剂杂䅁兂䅁䅁䅁䑉浔䅑䅯兗䅙䅁䅅䅁䉁䅁䅁兂䝁䠵⽉䉓䕁䅑杷允䅁䅁䅣䅁䑁䅁䅷䅁䭁䥁䝣䅁䭁䝁䝙䅁䭁䅁䅅䅁䙁䅁䅁䅁杂畖䅚兂䅁䅁䅁䝷浈䅑䅯眰䅣䅁䅅䅁䉁䅁䅁兂偄杔䡚她硣䅑杷允䅁䅁䅣䅁䑁䅁䅷䅁䭁䥁䝣䅁䭁䙁䝙䅁䭁䅁䅅䅁䙁䅁䅁䅁权⭐䅚兂䅁䅁䅁䕉浶䅑䅯儰䅣䅁䅅䅁䉁䅁䅁兂橂祡䬵㕚䉶睐杷允䅁䅁䅣䅁䑁䅁䅷䅁䭁䥁䝣䅁䭁䙁䝙䅁䭁䅁䅅䅁䙁䅁䅁䅁䅂敢䅚兂䅁䅁䅁䡷浪䅑䅯䄰䅣䅁䅅䅁䉁䅁䅁兂硃㝢祱汨唴䅑杷允䅁䅁䅣䅁䑁䅁䅷䅁䭁䥁䝣䅁䭁䝁䝉䅁䭁䙁䝅䅁䙁䅁䅁䅁䅄佥䅚兂䅁䅁䅁䡙洳䅑䅯眰䅣䅁䅅䅁䉁䅁䅁兂䭂奵硁啹眰䅑杷允䅁䅁䅣䅁䑁䅁䅷䅁䭁䥁䝣䅁䭁䝁䝍䅁䭁䅁䅅䅁䙁䅁䅁䅁杂畖䅚兂䅁䅁䅁䝷浈䅑䅯䄰䅣䅁䅅䅁䉁䅁䅁兂䅁㉌䑥噣㍣䅑杷允䅁䅁䅣䅁䑁䅁䅷䅁䭁䥁䝣䅁䭁䙁䝑䅁䭁䅁䅅䅁䙁䅁䅁䅁杁⭓䅚兂䅁䅁䅁䙙浢䅑䅯䄱䅣䅁䅅䅁䉁䅁䅁兂乃䙦砷倱杳䅑杷允䅁䅁䅣䅁䑁䅁䅷䅁䭁䥁䝣䅁䭁䙁䝕䅁䭁䅁䅅䅁䙁䅁䅁䅁权⭐䅚兂䅁䅁䅁䕉浶䅑䅯儰䅣䅁䅅䅁䉁䅁䅁兂䉁獕䑍楥㑪睐杷允䅁䅁䅣䅁䑁䅁䅷䅁䭁䥁䝣䅁䭁䙁䝷䅁䭁䅁䅅䅁䙁䅁䅁䅁杁低䅚兂䅁䅁䅁䑯洯䅑䅯朰䅣䅁䅅䅁䉁䅁䅁兂䡄瑅䝢䌲㝕䅑杷允䅁䅁䅣䅁䑁䅁䅷䅁䭁䥁䝣䅁䭁䝁䝍䅁䭁䅁䅅䅁䙁䅁䅁䅁䅄佥䅚兂䅁䅁䅁䡙洳䅑䅯䄰䅣䅁䅅䅁䉁䅁䅁兂畁攰婚啸㍉䅑杷允䅁䅁䅣䅁䑁䅁䅷䅁䭁䥁䝣䅁䭁䙁䜴䅁䭁䙁䝅䅁䙁䅁䅁䅁杁低䅚兂䅁䅁䅁䑯洯䅑䅯䄱䅣䅁䅅䅁䉁䅁䅁兂癄ㅓ獬焱倴䅑杷允䅁䅁䅣䅁䑁䅁䅷䅁䭁䥁䝣䅁䭁䝁䝙䅁䭁䅁䅅䅁䙁䅁䅁䅁䅄佋䅚兂䅁䅁䅁䑉浔䅑䅯䄰䅣䅁䅅䅁䉁䅁䅁兂坃㙏䅷穷牳䅑杷允䅁䅁䅣䅁䑁䅁䅷䅁䭁䥁䝣䅁䭁䙁䝧䅁䭁䅁䅅䅁䙁䅁䅁䅁权⭐䅚兂䅁䅁䅁䕉浶䅑䅯䄱䅣䅁䅅䅁䉁䅁䅁兂䕁慖塎㍁㕑䅑杷允䅁䅁䅣䅁䑁䅁䅷䅁䭁䥁䝣䅁䭁䙁䝯䅁䭁䙁䝅䅁䙁䅁䅁䅁杁⭓䅚兂䅁䅁䅁䙙浢䅑䅯䄰䅣䅁䅅䅁䉁䅁䅁兂婁噋啧公㈰䅑杷允䅁䅁䅙䅁䑁䅁䅷䅁䭁䥁䝣䅁䭁䙁䝑䅁䭁䅁䅅䅁䙁䅁䅁䅁杂敦䅚权婂杂䅁允䅁䅁䅅䅁䙁䙁儴婫㉰卯䅂䍄䉁䅁䅁杂䅁䅁䅍䅄䅁䅁䅯睨䅙䅁䅯䅢䅙䅁䅯兕䅙䅁䅕䅁䅁䝁坂欵䭁䙁䝫䅁䉁䅁䅁允䅁䅁䅕啚煯䙗汖䕄䵁䅉䅅䅁䡁䅁䅁睁䵁䅁䅁权䡃杂䅁权灂杂䅁权䉁䅁䅁兂䅁䅁䅁䑯洯䅑䅕䅁䅁䍁䱂欵䭁乁䡅䅁䉁䅁䅁允䅁䅁䅕元甲䱋湍樷䴸䅉䅅䅁䡁䅁䅁睁䵁䅁䅁权䡃杂䅁权兂杂䅁权剂杂䅁兂䅁䅁䅁䝷浈䅑䅕䅁䅁䕁瑂欵䭁乁䡑䅁䉁䅁䅁允䅁䅁䅕䉤栫䭷噅啅䵁䅉䅅䅁䡁䅁䅁睁䵁䅁䅁权䡃杂䅁权捂杂䅁权䉁䅁䅁兂䅁䅁䅁䍷浪䅑䅕䅁䅁䍁ぁ欵䭁乁䡉䅁䉁䅁䅁允䅁䅁䅕材䉧别⭋歍䵁䅉䅅䅁䝁䅁䅁睁䵁䅁䅁权䡃杂䅁权捂杂䅁权䉁䅁䅁兂䅁䅁䅁䝷浈䅑䅯兗䅙䅁䅅䅁䉁䅁䅁兂䵃塓瘸捨㝍䅑杷允䅁䅁䅣䅁䑁䅁䅷䅁䭁䥁䝣䅁䭁䙁䝕䅁䭁䅁䅅䅁䙁䅁䅁䅁杁⭓䅚兂䅁䅁䅁䙙浢䅑䅯眰䅣䅁䅅䅁䉁䅁䅁兂杄琱㠰搱䈱䅑杷允䅁䅁䅕䅁䑁䅁䅷䅁䭁䥁䝣䅁䭁䉁䅙䅁䙁䅁䅁䅁杁佣䅚权婂杂䅁允䅁䅁䅅䅁啁䝁瑢橴䅣䅁䅁䍄䉁䅁䅁杂䅁䅁䅍䅄䅁䅁䅯睨䅙䅁䅯杙䅙䅁䅯兕䅙䅁䅕䅁䅁䵁桂欵䭁䙁䝫䅁䉁䅁䅁允䅁䅁䅕呤䩓䨴⭈歍䵁䅉䅅䅁䡁䅁䅁睁䵁䅁䅁权䡃杂䅁权時杂䅁权剂杂䅁兂䅁䅁䅁䑯洯䅑䅕䅁䅁䍁䱂欵䭁乁䡅䅁䉁䅁䅁允䅁䅁䅕呎⼰䝢䘰䐶䴸䅉䅅䅁䝁䅁䅁睁䵁䅁䅁权䡃杂䅁权摂杂䅁权䉁䅁䅁兂䅁䅁䅁䑉浔䅑䅯兗䅙䅁䅅䅁䉁䅁䅁兂䝄ㅯ䍔㍅䕯䅑杷允䅁䅁䅙䅁䑁䅁䅷䅁䭁䥁䝣䅁䭁䝁䝷䅁䭁䙁䝅䅁䙁䅁䅁䅁杁⭓䅚权婂杂䅁允䅁䅁䅅䅁䙁䕁㕦㍹洸杍䅬䍄䉁䅁䅁睂䅁䅁䅍䅄䅁䅁䅯睨䅙䅁䅯䅢䅙䅁䅯兕䅙䅁䅕䅁䅁䝁坂欵䙁䅁䅁䅁䅄教䅚权啄睂䅁允䅁䅁䅅䅁䙁偁ㅊ㔲䍈睵䅸䍄䉁䅁䅁睂䅁䅁䅍䅄䅁䅁䅯睨䅙䅁䅯䅗䅙䅁䅯允䅁䅁䅕䅁䅁䵁潁欵䙁䅁䅁䅁杁低䅚权呄睂䅁允䅁䅁䅅䅁䙁䵁㙲捺げ呯䅎䍄䉁䅁䅁睂䅁䅁䅍䅄䅁䅁䅯睨䅙䅁䅯睘䅙䅁䅯兕䅙䅁䅕䅁䅁䝁坂欵䙁䅁䅁䅁䅄教䅚权呄睂䅁允䅁䅁䅅䅁䙁䑁特别晓半䄱䍄䉁䅁䅁杂䅁䅁䅍䅄䅁䅁䅯睨䅙䅁䅯䅘䅙䅁䅯允䅁䅁䅕䅁䅁䍁䱂欵䭁䙁䝫䅁䉁䅁䅁允䅁䅁䅕卐⭲㐷䝪啎䵁䅉䅅䅁䡁䅁䅁睁䵁䅁䅁权䡃杂䅁权浂杂䅁权䉁䅁䅁兂䅁䅁䅁䡷浪䅑䅕䅁䅁䝁㥂欵䭁乁䡍䅁䉁䅁䅁允䅁䅁䅕㑬㔴㥺㍩啍䵁䅉䅅䅁䡁䅁䅁睁䵁䅁䅁权䡃杂䅁权奂杂䅁权䉁䅁䅁兂䅁䅁䅁䝑洳䅑䅕䅁䅁䵁㑂欵䭁乁䡍䅁䉁䅁䅁允䅁䅁䅕奔㑖䙊攴く䵁䅉䅅䅁䡁䅁䅁睁䵁䅁䅁权䡃杂䅁权楂杂䅁权剂杂䅁兂䅁䅁䅁䑯洯䅑䅕䅁䅁䍁䱂欵䭁乁䡁䅁䉁䅁䅁允䅁䅁䅕浨佧奷晫が䵁䅉䅅䅁䡁䅁䅁睁䵁䅁䅁权䡃杂䅁权潂杂䅁权剂杂䅁兂䅁䅁䅁䝑洳䅑䅕䅁䅁䵁㑂欵䭁乁䡍䅁䉁䅁䅁允䅁䅁䅕稷据敷婋ぎ䵁䅉䅅䅁䝁䅁䅁睁䵁䅁䅁权䡃杂䅁权敂杂䅁权剂杂䅁兂䅁䅁䅁䕉浶䅑䅯兗䅙䅁䅅䅁䉁䅁䅁兂㙂䥒奁樰呁䅑杷允䅁䅁䅙䅁䑁䅁䅷䅁䭁䥁䝣䅁䭁䝁䝫䅁䭁䅁䅅䅁䙁䅁䅁䅁杂畖䅚权婂杂䅁允䅁䅁䅅䅁䙁䑁㑉汓搶穕䅬䍄䉁䅁䅁睂䅁䅁䅍䅄䅁䅁䅯睨䅙䅁䅯兘䅙䅁䅯允䅁䅁䅕䅁䅁䵁桂欵䙁䅁䅁䅁䅂敢䅚权呄睂䅁允䅁䅁䅅䅁䙁偁焱桄䵄兕䅴䍄䉁䅁䅁睂䅁䅁䅍䅄䅁䅁䅯睨䅙䅁䅯䅚䅙䅁䅯允䅁䅁䅕䅁䅁䍁ぁ欵䙁䅁䅁䅁权⭐䅚权啄睂䅁允䅁䅁䅅䅁䭁䑁䅅䅁䵁䅉䅅䅁䡁䅁䅁睁䵁䅁䅁权䡃杂䅁权潂杂䅁权剂杂䅁兂䅁䅁䅁䑯洯䅑䅕䅁䅁䍁䱂欵䭁乁䡍䅁䉁䅁䅁允䅁䅁䅕杹䵲桱畋き䵁䅉䅅䅁䝁䅁䅁睁䵁䅁䅁权䡃杂䅁权浂杂䅁权䉁䅁䅁兂䅁䅁䅁䙙浢䅑䅯兗䅙䅁䅅䅁䉁䅁䅁兂䭁癡坧氱穕䅑杷允䅁䅁䅙䅁䑁䅁䅷䅁䭁䥁䝣䅁䭁䙁䝙䅁䭁䅁䅅䅁䙁䅁䅁䅁䅂敢䅚权婂杂䅁允䅁䅁䅅䅁䙁䅁橷慶摪硲䅎䍄䉁䅁䅁杂䅁䅁䅍䅄䅁䅁䅯睨䅙䅁䅯杚䅙䅁䅯允䅁䅁䅕䅁䅁䭁⽁欵䭁䙁䝫䅁䉁䅁䅁允䅁䅁䅕偕男呈慖䕍䵁䅉䅅䅁䡁䅁䅁睁䵁䅁䅁权䡃杂䅁权獂杂䅁权剂杂䅁兂䅁䅁䅁䝷浈䅑䅕䅁䅁䕁瑂欵䭁乁䡍䅁䉁䅁䅁允䅁䅁䅕搯䭑歋奩啃䵁䅉䅅䅁䡁䅁䅁睁䵁䅁䅁权䡃杂䅁权獂杂䅁权剂杂䅁兂䅁䅁䅁䍷浪䅑䅕䅁䅁䍁ぁ欵䭁乁䡁䅁䉁䅁䅁允䅁䅁䅕䥔睊欱嘸䕂䵁䅉䅅䅁䝁䅁䅁睁䵁䅁䅁权䡃杂䅁权兂杂䅁权剂杂䅁兂䅁䅁䅁䝷浈䅑䅯兗䅙䅁䅅䅁䉁䅁䅁兂啁摈䉄い吴䅑杷允䅁䅁䅙䅁䑁䅁䅷䅁䭁䥁䝣䅁䭁䙁䝑䅁䭁䅁䅅䅁䙁䅁䅁䅁权⭐䅚权婂杂䅁允䅁䅁䅅䅁䙁䩁䵹獋㑏礸䅂䍄䉁䅁䅁杂䅁䅁䅍䅄䅁䅁䅯睨䅙䅁䅯杖䅙䅁䅯允䅁䅁䅕䅁䅁䝁㥂欵䭁䙁䝫䅁䉁䅁䅁允䅁䅁䅕书ぐ儲䡅ぅ䵁䅉䅅䅁䡁䅁䅁睁䵁䅁䅁权䡃杂䅁权煂杂䅁权㥁䅁䅁兂䅁䅁䅁䑉浔䅑䅕䅁䅁䭁⽁欵䭁乁䡁䅁䉁䅁䅁允䅁䅁䅕捸乔橁晁ぇ䵁䅉䅅䅁䡁䅁䅁睁䵁䅁䅁权䡃杂䅁权啂杂䅁权䉁䅁䅁兂䅁䅁䅁䍷浪䅑䅕䅁䅁䍁ぁ欵䭁乁䡍䅁䉁䅁䅁允䅁䅁䅕桂⭁䝬㕪啇䵁䅉䅅䅁䡁䅁䅁睁䵁䅁䅁权䡃杂䅁权噂杂䅁权䉁䅁䅁兂䅁䅁䅁䝷浈䅑䅕䅁䅁䕁瑂欵䭁乁䡑䅁䉁䅁䅁允䅁䅁䅕䙮敊㙋㥈け䵁䅉䅅䅁䡁䅁䅁睁䵁䅁䅁权䡃杂䅁权灂杂䅁权䉁䅁䅁兂䅁䅁䅁䝑洳䅑䅕䅁䅁䵁㑂欵䭁乁䡉䅁䉁䅁䅁允䅁䅁䅕猫愫㍈根䕐䵁䅉䅅䅁䡁䅁䅁睁䵁䅁䅁权䡃杂䅁权浂杂䅁权䉁䅁䅁兂䅁䅁䅁䑉浔䅑䅕䅁䅁䭁⽁欵䭁乁䡅䅁䉁䅁䅁允䅁䅁䅕䉢睊㡢夷吶䴸䅉䅅䅁䡁䅁䅁睁䵁䅁䅁权䡃杂䅁权煂杂䅁权㥁䅁䅁兂䅁䅁䅁䍷浪䅑䅕䅁䅁䍁ぁ欵䭁乁䡁䅁䉁䅁䅁允䅁䅁䅕慦剕桒⽅䕇䵁䅉䅅䅁䡁䅁䅁睁䵁䅁䅁权䡃杂䅁权楂杂䅁权剂杂䅁兂䅁䅁䅁䑉浔䅑䅕䅁䅁䭁⽁欵䭁乁䡅䅁䉁䅁䅁允䅁䅁䅕挱㑉止㑭樷䴸䅉䅅䅁䝁䅁䅁睁䵁䅁䅁权䡃杂䅁权浂杂䅁权䉁䅁䅁兂䅁䅁䅁䡷浪䅑䅯兗䅙䅁䅅䅁䉁䅁䅁兂呄煌婡样さ䅑杷允䅁䅁䅣䅁䑁䅁䅷䅁䭁䥁䝣䅁䭁䙁䜰䅁䭁䅁䅅䅁䙁䅁䅁䅁䅂敢䅚兂䅁䅁䅁䡷浪䅑䅯儰䅣䅁䅅䅁䉁䅁䅁兂䅁畂䙎啁䉐睐杷允䅁䅁䅣䅁䑁䅁䅷䅁䭁䥁䝣䅁䭁䝁䝅䅁䭁䅁䅅䅁䙁䅁䅁䅁䅄教䅚兂䅁䅁䅁䝑洳䅑䅯䄰䅣䅁䅅䅁䉁䅁䅁兂桂礶畲婩䙆䅑杷允䅁䅁䅙䅁䑁䅁䅷䅁䭁䥁䝣䅁䭁䙁䝧䅁䭁䅁䅅䅁䙁䅁䅁䅁䅄教䅚权婂杂䅁允䅁䅁䅅䅁䙁䱁㍏偬䙐樫䄹䍄䉁䅁䅁杂䅁䅁䅍䅄䅁䅁䅯睨䅙䅁䅯睘䅙䅁䅯兕䅙䅁䅕䅁䅁䵁㑂欵䭁䙁䝫䅁䉁䅁䅁允䅁䅁䅕汒㑯癈愸啍䵁䅉䅅䅁䡁䅁䅁睁䵁䅁䅁权䡃杂䅁权捂杂䅁权䉁䅁䅁兂䅁䅁䅁䍷浪䅑䅕䅁䅁䍁ぁ欵䭁乁䡑䅁䉁䅁䅁允䅁䅁䅕杬呕硦剓䕍䵁䅉䅅䅁䡁䅁䅁睁䵁䅁䅁权䡃杂䅁权桂杂䅁权䉁䅁䅁兂䅁䅁䅁䑯洯䅑䅕䅁䅁䍁䱂欵䭁乁䡁䅁䉁䅁䅁允䅁䅁䅕䩶兒䵥圱歐䵁䅉䅅䅁䙁䅁䅁睁䵁䅁䅁权䡃杂䅁权坁䅁䅁兂䅁䅁䅁䙉浌䅑䅯兗䅙䅁䅅䅁䉁䅁䅁䅆䵂欷㍑䅁䅁䅁杷允䅁䅁䅙䅁䑁䅁䅷䅁䭁䥁䝣䅁䭁䝁䝷䅁䭁䙁䝅䅁䙁䅁䅁䅁䅂敢䅚权婂杂䅁允䅁䅁䅅䅁䙁偁㍑歘佊睵䄵䍄䉁䅁䅁睂䅁䅁䅍䅄䅁䅁䅯睨䅙䅁䅯杘䅙䅁䅯兕䅙䅁䅕䅁䅁䵁㑂欵䙁䅁䅁䅁杂敦䅚权兄睂䅁允䅁䅁䅅䅁䙁䩁楥砲杅兣䅰䍄䉁䅁䅁睂䅁䅁䅍䅄䅁䅁䅯睨䅙䅁䅯杚䅙䅁䅯允䅁䅁䅕䅁䅁䵁桂欵䙁䅁䅁䅁䅂敢䅚权啄睂䅁允䅁䅁䅅䅁䙁佁攸偯祴樸䅊䍄䉁䅁䅁兂䅁䅁䅍䅄䅁䅁䅯睨䅙䅁䅯杆䅁䅁䅕䅁䅁䵁歂欵䭁䙁䝫䅁䉁䅁䅁允䅁䉁䅑瑃䙵睎䅁䅁䵁䅉䅅䅁䡁䅁䅁睁䵁䅁䅁权䡃杂䅁权煂杂䅁权㥁䅁䅁兂䅁䅁䅁䕉浶䅑䅕䅁䅁䝁坂欵䭁乁䡍䅁䉁䅁䅁允䅁䅁䅕楦㈳桥楯䕈䵁䅉䅅䅁䝁䅁䅁睁䵁䅁䅁权䡃杂䅁权坂杂䅁权䉁䅁䅁兂䅁䅁䅁䑯洯䅑䅯兗䅙䅁䅅䅁䉁䅁䅁兂湁晡夶朱兙䅑杷允䅁䅁䅙䅁䑁䅁䅷䅁䭁䥁䝣䅁䭁䙁䝯䅁䭁䙁䝅䅁䙁䅁䅁䅁䅂敢䅚权婂杂䅁允䅁䅁䅅䅁䙁乁㍶桒樷呮䅚䍄䉁䅁䅁睂䅁䅁䅍䅄䅁䅁䅯睨䅙䅁䅯杘䅙䅁䅯兕䅙䅁䅕䅁䅁䵁㑂欵䙁䅁䅁䅁杂敦䅚权呄睂䅁允䅁䅁䅅䅁䙁䡁䥉橬卯杸䅨䍄䉁䅁䅁睂䅁䅁䅍䅄䅁䅁䅯睨䅙䅁䅯睘䅙䅁䅯兕䅙䅁䅕䅁䅁䵁桂欵䙁䅁䅁䅁䅂敢䅚权兄睂䅁允䅁䅁䅅䅁䙁䱁㕸爲塄呇䅂䍄䉁䅁䅁睂䅁䅁䅍䅄䅁䅁䅯睨䅙䅁䅯杗䅙䅁䅯兕䅙䅁䅕䅁䅁䍁ぁ欵䙁䅁䅁䅁权⭐䅚权呄睂䅁允䅁䅁䅅䅁䙁䭁㕸兹橴穕䅆䍄䉁䅁䅁睂䅁䅁䅍䅄䅁䅁䅯睨䅙䅁䅯杖䅙䅁䅯允䅁䅁䅕䅁䅁䍁ぁ欵䙁䅁䅁䅁权⭐䅚权卄睂䅁允䅁䅁䅅䅁䙁䩁䩐婱栱桋䅂䍄䉁䅁䅁睂䅁䅁䅍䅄䅁䅁䅯睨䅙䅁䅯兙䅙䅁䅯允䅁䅁䅕䅁䅁䵁潁欵䙁䅁䅁䅁杁低䅚权卄睂䅁允䅁䅁䅅䅁䙁䝁晁扮祲呤䅤䍄䉁䅁䅁睂䅁䅁䅍䅄䅁䅁䅯睨䅙䅁䅯睙䅙䅁䅯允䅁䅁䅕䅁䅁䍁䱂欵䙁䅁䅁䅁杂畖䅚权剄睂䅁允䅁䅁䅅䅁䙁䵁䙣卐祱兔䅚䍄䉁䅁䅁睂䅁䅁䅍䅄䅁䅁䅯睨䅙䅁䅯睙䅙䅁䅯允䅁䅁䅕䅁䅁䵁桂欵䙁䅁䅁䅁䅂敢䅚权卄睂䅁允䅁䅁䅅䅁䙁佁㑣睴㍮樷䅬䍄䉁䅁䅁睂䅁䅁䅍䅄䅁䅁䅯睨䅙䅁䅯睙䅙䅁䅯允䅁䅁䅕䅁䅁䕁瑂欵䙁䅁䅁䅁䅄佥䅚权剄睂䅁允䅁䅁䅅䅁䙁䝁琯䭏⬲䅑䅊䍄䉁䅁䅁睂䅁䅁䅍䅄䅁䅁䅯睨䅙䅁䅯杗䅙䅁䅯兕䅙䅁䅕䅁䅁䍁䱂欵䙁䅁䅁䅁杂畖䅚权呄睂䅁允䅁䅁䅅䅁䙁䱁㡶欰湬告䅒䍄䉁䅁䅁睂䅁䅁䅍䅄䅁䅁䅯睨䅙䅁䅯杚䅙䅁䅯允䅁䅁䅕䅁䅁䍁ぁ欵䙁䅁䅁䅁权⭐䅚权啄睂䅁允䅁䅁䅅䅁䙁䵁䝸⼵啷祚䄱䍄䉁䅁䅁杂䅁䅁䅍䅄䅁䅁䅯睨䅙䅁䅯䅕䅙䅁䅯兕䅙䅁䅕䅁䅁䍁ぁ欵䭁䙁䝫䅁䉁䅁䅁允䅁䅁䅕䙪⭔橪婭啃䵁䅉䅅䅁䡁䅁䅁睁䵁䅁䅁权䡃杂䅁权灂杂䅁权䉁䅁䅁兂䅁䅁䅁䑉浔䅑䅕䅁䅁䭁⽁欵䭁乁䡅䅁䉁䅁䅁允䅁䅁䅕到え浊䰴吹䴸䅉䅅䅁䡁䅁䅁睁䵁䅁䅁权䡃杂䅁权啂杂䅁权䉁䅁䅁兂䅁䅁䅁䍷浪䅑䅕䅁䅁䍁ぁ欵䭁乁䡁䅁䉁䅁䅁允䅁䅁䅕䨲䬸剢物ぇ䵁䅉䅅䅁䝁䅁䅁睁䵁䅁䅁权䡃杂䅁权兂杂䅁权剂杂䅁兂䅁䅁䅁䕉浶䅑䅯兗䅙䅁䅅䅁䉁䅁䅁兂䡁⭈ㅢ昶何䅑杷允䅁䅁䅙䅁䑁䅁䅷䅁䭁䥁䝣䅁䭁䙁䝁䅁䭁䙁䝅䅁䙁䅁䅁䅁杂畖䅚权婂杂䅁允䅁䅁䅅䅁䙁䕁奰摦䰫栵䅂䍄䉁䅁䅁睂䅁䅁䅍䅄䅁䅁䅯睨䅙䅁䅯䅢䅙䅁䅯兕䅙䅁䅕䅁䅁䝁坂欵䙁䅁䅁䅁䅄教䅚权卄睂䅁允䅁䅁䅅䅁䙁䝁瀹䑆䥱桗䅂䍄䉁䅁䅁杂䅁䅁䅍䅄䅁䅁䅯睨䅙䅁䅯䅕䅙䅁䅯兕䅙䅁䅕䅁䅁䕁瑂欵䭁䙁䝫䅁䉁䅁䅁允䅁䅁䅕䩰摋楳瑒歅䵁䅉䅅䅁䝁䅁䅁睁䵁䅁䅁权䡃杂䅁权煂杂䅁权㥁䅁䅁兂䅁䅁䅁䑯洯䅑䅯儰䅣䅁䅅䅁䉁䅁䅁兂䥃摯歹婲湔睐杷允䅁䅁䅙䅁䑁䅁䅷䅁䭁䥁䝣䅁䭁䝁䝙䅁䭁䅁䅅䅁䙁䅁䅁䅁杁⭓䅚权婂杂䅁允䅁䅁䅅䅁䙁䅁圯稯䵮穒䅂䍄䉁䅁䅁睂䅁䅁䅍䅄䅁䅁䅯睨䅙䅁䅯䅕䅙䅁䅯兕䅙䅁䅕䅁䅁䍁ぁ欵䙁䅁䅁䅁权⭐䅚权啄睂䅁允䅁䅁䅅䅁䙁䭁獚䈯摏睂䅸䍄䉁䅁䅁杂䅁䅁䅍䅄䅁䅁䅯睨䅙䅁䅯兖䅙䅁䅯允䅁䅁䅕䅁䅁䍁ぁ欵䭁䙁䝫䅁䉁䅁䅁允䅁䅁䅕㘱扔牅公䕐䵁䅉䅅䅁䡁䅁䅁睁䵁䅁䅁权䡃杂䅁权橂杂䅁权䉁䅁䅁兂䅁䅁䅁䕉浶䅑䅕䅁䅁䝁坂欵䭁乁䡉䅁䉁䅁䅁允䅁䅁䅕䴹穒潴潁く䵁䅉䅅䅁䡁䅁䅁睁䵁䅁䅁权䡃杂䅁权啂杂䅁权䉁䅁䅁兂䅁䅁䅁䕉浶䅑䅕䅁䅁䝁坂欵䭁乁䡁䅁䉁䅁䅁允䅁䅁䅕㠷睉瑮呉啉䵁䅉䅅䅁䡁䅁䅁睁䵁䅁䅁权䡃杂䅁权潂杂䅁权剂杂䅁兂䅁䅁䅁䝷浈䅑䅕䅁䅁䕁瑂欵䭁乁䡁䅁䉁䅁䅁允䅁䅁䅕㤰攫䭤䡢歎䵁䅉䅅䅁䝁䅁䅁睁䵁䅁䅁权䡃杂䅁权浂杂䅁权䉁䅁䅁兂䅁䅁䅁䝑洳䅑䅯兗䅙䅁䅅䅁䉁䅁䅁兂牄坈䠶汨さ䅑杷允䅁䅁䅣䅁䑁䅁䅷䅁䭁䥁䝣䅁䭁䙁䝧䅁䭁䅁䅅䅁䙁䅁䅁䅁䅂敢䅚兂䅁䅁䅁䡷浪䅑䅯儰䅣䅁䅅䅁䉁䅁䅁兂⽁儶何䑓楌睐杷允䅁䅁䅣䅁䑁䅁䅷䅁䭁䥁䝣䅁䭁䝁䝍䅁䭁䅁䅅䅁䙁䅁䅁䅁杁低䅚兂䅁䅁䅁䑯洯䅑䅯䄰䅣䅁䅅䅁䉁䅁䅁兂㥂楁䝨煨ぉ䅑杷允䅁䅁䅙䅁䑁䅁䅷䅁䭁䥁䝣䅁䭁䙁䜸䅁䭁䙁䝅䅁䙁䅁䅁䅁杁低䅚权婂杂䅁允䅁䅁䅅䅁䙁䥁䱷睩䥹䌱䅨䍄䉁䅁䅁杂䅁䅁䅍䅄䅁䅁䅯睨䅙䅁䅯睘䅙䅁䅯兕䅙䅁䅕䅁䅁䭁⽁欵䭁䙁䝫䅁䉁䅁䅁允䅁䅁䅕穨扎㡍啇歌䵁䅉䅅䅁䝁䅁䅁睁䵁䅁䅁权䡃杂䅁权奂杂䅁权䉁䅁䅁兂䅁䅁䅁䙙浢䅑䅯兗䅙䅁䅅䅁䉁䅁䅁兂婄穲摶入㡯䅑杷允䅁䅁䅙䅁䑁䅁䅷䅁䭁䥁䝣䅁䭁䙁䝧䅁䭁䅁䅅䅁䙁䅁䅁䅁杁低䅚权婂杂䅁允䅁䅁䅅䅁䙁佁䑙灁䨱穡䅒䍄䉁䅁䅁杂䅁䅁䅍䅄䅁䅁䅯睨䅙䅁䅯䅗䅙䅁䅯允䅁䅁䅕䅁䅁䭁⽁欵䭁䙁䝫䅁䉁䅁䅁允䅁䅁䅕汓䤸敏⼯䕏䵁䅉䅅䅁䡁䅁䅁睁䵁䅁䅁权䡃杂䅁权坂杂䅁权䉁䅁䅁兂䅁䅁䅁䝷浈䅑䅕䅁䅁䕁瑂欵䭁乁䡁䅁䉁䅁䅁允䅁䅁䅕坥㉋䝌刲歅䵁䅉䅅䅁䝁䅁䅁睁䵁䅁䅁权䡃杂䅁权奂杂䅁权䉁䅁䅁兂䅁䅁䅁䝑洳䅑䅯兗䅙䅁䅅䅁䉁䅁䅁兂灂䡹啩癓㡷䅑杷允䅁䅁䅙䅁䑁䅁䅷䅁䭁䥁䝣䅁䭁䝁䝯䅁䭁䑁䄰䅁䙁䅁䅁䅁䅄佥䅚权剄睂䅁允䅁䅁䅅䅁䙁䥁が呓䕄⬳⽧䍄䉁䅁䅁睂䅁䅁䅍䅄䅁䅁䅯睨䅙䅁䅯兙䅙䅁䅯允䅁䅁䅕䅁䅁䍁ぁ欵䙁䅁䅁䅁权⭐䅚权卄睂䅁允䅁䅁䅅䅁䙁䩁䨴剔䱊橯䅨䍄䉁䅁䅁睂䅁䅁䅍䅄䅁䅁䅯睨䅙䅁䅯睙䅙䅁䅯允䅁䅁䅕䅁䅁䵁㑂欵䙁䅁䅁䅁杂敦䅚权剄睂䅁允䅁䅁䅅䅁䙁䵁䉰灭割癉⽁䍄䉁䅁䅁杂䅁䅁䅍䅄䅁䅁䅯睨䅙䅁䅯兖䅙䅁䅯允䅁䅁䅕䅁䅁䕁瑂欵䭁䙁䝫䅁䉁䅁䅁允䅁䅁䅕浇䄷㐵䙦啒䵁䅉䅅䅁䡁䅁䅁睁䵁䅁䅁权䡃杂䅁权兂杂䅁权剂杂䅁兂䅁䅁䅁䑉浔䅑䅕䅁䅁䭁⽁欵䭁乁䡅䅁䉁䅁䅁允䅁䅁䅕兏䡉㍙㝴呹䴸䅉䅅䅁䝁䅁䅁睁䵁䅁䅁权䡃杂䅁权桂杂䅁权䉁䅁䅁兂䅁䅁䅁䑉浔䅑䅯兗䅙䅁䅅䅁䉁䅁䅁兂㝃告杬㕖積䅑杷允䅁䅁䅣䅁䑁䅁䅷䅁䭁䥁䝣䅁䭁䙁䝑䅁䭁䅁䅅䅁䙁䅁䅁䅁杁低䅚兂䅁䅁䅁䑯洯䅑䅯朰䅣䅁䅅䅁䉁䅁䅁兂呁书ぐ匲桅䅑杷允䅁䅁䅣䅁䑁䅁䅷䅁䭁䥁䝣䅁䭁䝁䝷䅁䭁䙁䝅䅁䙁䅁䅁䅁权⭐䅚兂䅁䅁䅁䕉浶䅑䅯䄰䅣䅁䅅䅁䉁䅁䅁兂捂偧啌奤䩷䅑杷允䅁䅁䅙䅁䑁䅁䅷䅁䭁䥁䝣䅁䭁䝁䝅䅁䭁䅁䅅䅁䙁䅁䅁䅁杁⭓䅚权婂杂䅁允䅁䅁䅅䅁䙁䝁⭋䅶㝄歂䅂䍄䉁䅁䅁睂䅁䅁䅍䅄䅁䅁䅯睨䅙䅁䅯兙䅙䅁䅯允䅁䅁䅕䅁䅁䵁桂欵䙁䅁䅁䅁䅂敢䅚权剄睂䅁允䅁䅁䅅䅁䙁䩁偙㝰桋䉆䅂䍄䉁䅁䅁睂䅁䅁䅍䅄䅁䅁䅯睨䅙䅁䅯兡䅙䅁䅯允䅁䅁䅕䅁䅁䝁坂欵䙁䅁䅁䅁䅄教䅚权卄睂䅁允䅁䅁䅅䅁䙁䭁䥰扨䙇䑈䄱䍄䉁䅁䅁睂䅁䅁䅍䅄䅁䅁䅯睨䅙䅁䅯杘䅙䅁䅯兕䅙䅁䅕䅁䅁䍁ぁ欵䙁䅁䅁䅁权⭐䅚权兄睂䅁允䅁䅁䅅䅁䙁䥁浇塐㍒硄䅂䍄䉁䅁䅁杂䅁䅁䅍䅄䅁䅁䅯睨䅙䅁䅯兙䅙䅁䅯允䅁䅁䅕䅁䅁䵁桂欵䭁䙁䝫䅁䉁䅁䅁允䅁䅁䅕婎扣䡄䵖啓䵁䅉䅅䅁䡁䅁䅁睁䵁䅁䅁权䡃杂䅁权煂杂䅁权㥁䅁䅁兂䅁䅁䅁䕉浶䅑䅕䅁䅁䝁坂欵䭁乁䡁䅁䉁䅁䅁允䅁䅁䅕㉗含㡺浏歈䵁䅉䅅䅁䝁䅁䅁睁䵁䅁䅁权䡃杂䅁权桂杂䅁权䉁䅁䅁兂䅁䅁䅁䙙浢䅑䅯兗䅙䅁䅅䅁䉁䅁䅁兂䉁卩党䙸䑚䅑杷允䅁䅁䅙䅁䑁䅁䅷䅁䭁䥁䝣䅁䭁䝁䝧䅁䭁䙁䝅䅁䙁䅁䅁䅁杁⭓䅚权婂杂䅁允䅁䅁䅅䅁䙁䡁煄䕉兎橈䅖䍄䉁䅁䅁杂䅁䅁䅍䅄䅁䅁䅯睨䅙䅁䅯䅡䅙䅁䅯兕䅙䅁䅕䅁䅁䵁桂欵䭁䙁䝫䅁䉁䅁䅁允䅁䅁䅕㈹⽗潘橂歏䵁䅉䅅䅁䡁䅁䅁睁䵁䅁䅁权䡃杂䅁权浂杂䅁权䉁䅁䅁兂䅁䅁䅁䙙浢䅑䅕䅁䅁䵁桂欵䭁乁䡉䅁䉁䅁䅁允䅁䅁䅕稹啳時潯歎䵁䅉䅅䅁䡁䅁䅁睁䵁䅁䅁权䡃杂䅁权慂杂䅁权剂杂䅁兂䅁䅁䅁䙙浢䅑䅕䅁䅁䵁桂欵䭁乁䡅䅁䉁䅁䅁允䅁䅁䅕乺癤慂桘䐸䴸䅉䅅䅁䡁䅁䅁睁䵁䅁䅁权䡃杂䅁权煂杂䅁权㥁䅁䅁兂䅁䅁䅁䝑洳䅑䅕䅁䅁䵁㑂欵䭁乁䡍䅁䉁䅁䅁允䅁䅁䅕㥧睩氳晹䕉䵁䅉䅅䅁䡁䅁䅁睁䵁䅁䅁权䡃杂䅁权時杂䅁权剂杂䅁兂䅁䅁䅁䙙浢䅑䅕䅁䅁䵁桂欵䭁乁䡅䅁䉁䅁䅁允䅁䅁䅕佰䘳牘瑅䐷䴸䅉䅅䅁䡁䅁䅁睁䵁䅁䅁权䡃杂䅁权歂杂䅁权䉁䅁䅁兂䅁䅁䅁䙙浢䅑䅕䅁䅁䵁桂欵䭁乁䡑䅁䉁䅁䅁允䅁䅁䅯免䅁䅁杷允䅁䅁䅣䅁䑁䅁䅷䅁䭁䥁䝣䅁䭁䙁䝙䅁䭁䅁䅅䅁䙁䅁䅁䅁杁低䅚兂䅁䅁䅁䑯洯䅑䅯䄱䅣䅁䅅䅁䉁䅁䅁兂摂睷乹㡊䵉䅑杷允䅁䅁䅣䅁䑁䅁䅷䅁䭁䥁䝣䅁䭁䙁䝧䅁䭁䅁䅅䅁䙁䅁䅁䅁䅄佋䅚兂䅁䅁䅁䑉浔䅑䅯䄱䅣䅁䅅䅁䉁䅁䅁兂㕃䩪慳䍡〴䅑杷允䅁䅁䅣䅁䑁䅁䅷䅁䭁䥁䝣䅁䭁䙁䝷䅁䭁䅁䅅䅁䙁䅁䅁䅁杁低䅚兂䅁䅁䅁䑯洯䅑䅯儰䅣䅁䅅䅁䉁䅁䅁兂牃楊割㙧䱉䅑杷允䅁䅁䅙䅁䑁䅁䅷䅁䭁䥁䝣䅁䭁䙁䝕䅁䭁䅁䅅䅁䙁䅁䅁䅁杂畖䅚权婂杂䅁允䅁䅁䅅䅁䙁䍁敂礱夯啥䅒䍄䉁䅁䅁杂䅁䅁䅍䅄䅁䅁䅯睨䅙䅁䅯兖䅙䅁䅯允䅁䅁䅕䅁䅁䭁⽁欵䭁䙁䝫䅁䉁䅁䅁允䅁䅁䅕慹穴䵄杪啑䵁䅉䅅䅁䡁䅁䅁睁䵁䅁䅁权䡃杂䅁权捂杂䅁权䉁䅁䅁兂䅁䅁䅁䕉浶䅑䅕䅁䅁䝁坂欵䭁乁䡉䅁䉁䅁䅁允䅁䅁䅕乸煄䄵桹䕐䵁䅉䅅䅁䡁䅁䅁睁䵁䅁䅁权䡃杂䅁权歂杂䅁权䉁䅁䅁兂䅁䅁䅁䑉浔䅑䅕䅁䅁䭁⽁欵䭁乁䡍䅁䉁䅁䅁允䅁䅁䅯免䅁䅁杷允䅁䅁䅙䅁䑁䅁䅷䅁䭁䥁䝣䅁䭁䙁䝕䅁䭁䅁䅅䅁䙁䅁䅁䅁杁⭓䅚权婂杂䅁允䅁䅁䅅䅁䙁䉁ぅ桚ㅌ䕅䅊䍄䉁䅁䅁睂䅁䅁䅍䅄䅁䅁䅯睨䅙䅁䅯䅢䅙䅁䅯兕䅙䅁䅕䅁䅁䝁坂欵䙁䅁䅁䅁䅄教䅚权呄睂䅁允䅁䅁䅅䅁䙁䙁乷ㅗ䥒䅑䅬䍄䉁䅁䅁睂䅁䅁䅍䅄䅁䅁䅯睨䅙䅁䅯杖䅙䅁䅯允䅁䅁䅕䅁䅁䵁桂欵䙁䅁䅁䅁䅂敢䅚权呄睂䅁允䅁䅁䅅䅁䙁䱁䡱佨㤯刷䅂䍄䉁䅁䅁杂䅁䅁䅍䅄䅁䅁䅯睨䅙䅁䅯䅖䅙䅁䅯允䅁䅁䅕䅁䅁䝁坂欵䭁䙁䝫䅁䉁䅁䅁允䅁䅁䅕⽊汖慡敦䕉䵁䅉䅅䅁䝁䅁䅁睁䵁䅁䅁权䡃杂䅁权啂杂䅁权䉁䅁䅁兂䅁䅁䅁䝑洳䅑䅯兗䅙䅁䅅䅁䉁䅁䅁兂㕄樲䱎桁橷䅑杷允䅁䅁䅙䅁䑁䅁䅷䅁䭁䥁䝣䅁䭁䝁䝑䅁䭁䅁䅅䅁䙁䅁䅁䅁杁⭓䅚权婂杂䅁允䅁䅁䅅䅁䭁䝁䝕䅁䵁䅉䅅䅁䡁䅁䅁睁䵁䅁䅁权䡃杂䅁权奂杂䅁权䉁䅁䅁兂䅁䅁䅁䑉浔䅑䅕䅁䅁䭁⽁欵䭁乁䡍䅁䉁䅁䅁允䅁䅁䅕塍瘲呉敩䕎䵁䅉䅅䅁䡁䅁䅁睁䵁䅁䅁权䡃杂䅁权橂杂䅁权䉁䅁䅁兂䅁䅁䅁䝷浈䅑䅕䅁䅁䕁瑂欵䭁乁䡅䅁䉁䅁䅁允䅁䅁䅕㥎瘫㍧奍啄䵁䅉䅅䅁䝁䅁䅁睁䵁䅁䅁权䡃杂䅁权摂杂䅁权䉁䅁䅁兂䅁䅁䅁䕉浶䅑䅯兗䅙䅁䅅䅁䉁䅁䅁兂剂㐲剚偅䩷䅑杷允䅁䅁䅣䅁䑁䅁䅷䅁䭁䥁䝣䅁䭁䙁䝷䅁䭁䅁䅅䅁䙁䅁䅁䅁䅂敢䅚兂䅁䅁䅁䡷浪䅑䅯朰䅣䅁䅅䅁䉁䅁䅁兂慁潨䤫捋㙕䅑杷允䅁䅁䅣䅁䑁䅁䅷䅁䭁䥁䝣䅁䭁䝁䝍䅁䭁䅁䅅䅁䙁䅁䅁䅁䅄佋䅚兂䅁䅁䅁䑉浔䅑䅯䄰䅣䅁䅅䅁䉁䅁䅁兂㡁乙卄别瑫䅑杷允䅁䅁䅙䅁䑁䅁䅷䅁䭁䥁䝣䅁䭁䝁䝑䅁䭁䅁䅅䅁䙁䅁䅁䅁杁低䅚权婂杂䅁允䅁䅁䅅䅁䭁䝁䝕䅁䵁䅉䅅䅁䝁䅁䅁睁䵁䅁䅁权䡃杂䅁权歂杂䅁权䉁䅁䅁兂䅁䅁䅁䙙浢䅑䅯兗䅙䅁䅅䅁䉁䅁䅁权求杂䅁䍄䉁䅁䅁睂䅁䅁䅍䅄䅁䅁䅯睨䅙䅁䅯兘䅙䅁䅯允䅁䅁䅕䅁䅁䝁坂欵䙁䅁䅁䅁䅄教䅚权兄睂䅁允䅁䅁䅅䅁䙁䭁㙐䵌㕯杤䄵䍄䉁䅁䅁杂䅁䅁䅍䅄䅁䅁䅯睨䅙䅁䅯䅚䅙䅁䅯允䅁䅁䅕䅁䅁䵁桂欵䭁䙁䝫䅁䉁䅁䅁允䅁䅁䅯党䅙䅁杷允䅁䅁䅣䅁䑁䅁䅷䅁䭁䥁䝣䅁䭁䙁䜴䅁䭁䙁䝅䅁䙁䅁䅁䅁权⭐䅚兂䅁䅁䅁䕉浶䅑䅯朰䅣䅁䅅䅁䉁䅁䅁兂䩄䩡捃䵱啙䅑杷允䅁䅁䅙䅁䑁䅁䅷䅁䭁䥁䝣䅁䭁䝁䝉䅁䭁䙁䝅䅁䙁䅁䅁䅁权⭐䅚权婂杂䅁允䅁䅁䅅䅁䙁䍁䥈㥚噂祉䄹䍄䉁䅁䅁杂䅁䅁䅍䅄䅁䅁䅯睨䅙䅁䅯杙䅙䅁䅯兕䅙䅁䅕䅁䅁䝁坂欵䭁䙁䝫䅁䉁䅁䅁允䅁䅁䅕祭䙰灆敹䕍䵁䅉䅅䅁䡁䅁䅁睁䵁䅁䅁权䡃杂䅁权楂杂䅁权剂杂䅁兂䅁䅁䅁䝷浈䅑䅕䅁䅁䕁瑂欵䭁乁䡁䅁䉁䅁䅁允䅁䅁䅕歚佯畊す䕍䵁䅉䅅䅁䝁䅁䅁睁䵁䅁䅁权䡃杂䅁权楂杂䅁权剂杂䅁兂䅁䅁䅁䝑洳䅑䅯兗䅙䅁䅅䅁䉁䅁䅁兂㍃父砫䑘硕䅑杷允䅁䅁䅣䅁䑁䅁䅷䅁䭁䥁䝣䅁䭁䝁䝧䅁䭁䙁䝅䅁䙁䅁䅁䅁䅄佋䅚兂䅁䅁䅁䑉浔䅑䅯䄰䅣䅁䅅䅁䉁䅁䅁兂䅃䱦兪奇硍䅑杷允䅁䅁䅙䅁䑁䅁䅷䅁䭁䥁䝣䅁䭁䙁䜴䅁䭁䙁䝅䅁䙁䅁䅁䅁杂畖䅚权婂杂䅁允䅁䅁䅅䅁䙁䥁朸⬳乥睹䅨䍄䉁䅁䅁杂䅁䅁䅍䅄䅁䅁䅯睨䅙䅁䅯䅘䅙䅁䅯允䅁䅁䅕䅁䅁䍁ぁ欵䭁䙁䝫䅁䉁䅁䅁允䅁䅁䅕畇䍃䙢䭮䕍䵁䅉䅅䅁䡁䅁䅁睁䵁䅁䅁权䡃杂䅁权噂杂䅁权䉁䅁䅁兂䅁䅁䅁䍷浪䅑䅕䅁䅁䍁ぁ欵䭁乁䡉䅁䉁䅁䅁允䅁䅁䅕䡕䡋坔浔歐䵁䅉䅅䅁䝁䅁䅁睁䵁䅁䅁权䡃杂䅁权捂杂䅁权䉁䅁䅁兂䅁䅁䅁䑯洯䅑䅯兗䅙䅁䅅䅁䉁䅁䅁兂䅃敭术⭊㙯䅑杷允䅁䅁䅣䅁䑁䅁䅷䅁䭁䥁䝣䅁䭁䝁䝙䅁䭁䅁䅅䅁䙁䅁䅁䅁䅂敢䅚兂䅁䅁䅁䡷浪䅑䅯儰䅣䅁䅅䅁䉁䅁䅁兂癄䵘偱灶奌睐杷允䅁䅁䅙䅁䑁䅁䅷䅁䭁䥁䝣䅁䭁䙁䝷䅁䭁䅁䅅䅁䙁䅁䅁䅁杂畖䅚权婂杂䅁允䅁䅁䅅䅁䙁䝁祐灂㕪橚䅰䍄䉁䅁䅁睂䅁䅁䅍䅄䅁䅁䅯睨䅙䅁䅯杚䅙䅁䅯允䅁䅁䅕䅁䅁䵁潁欵䙁䅁䅁䅁杁低䅚权卄睂䅁允䅁䅁䅅䅁䙁䵁硺歃偒楳䄱䍄䉁䅁䅁睂䅁䅁䅍䅄䅁䅁䅯睨䅙䅁䅯兘䅙䅁䅯允䅁䅁䅕䅁䅁䍁ぁ欵䙁䅁䅁䅁权⭐䅚权卄睂䅁允䅁䅁䅅䅁䙁䕁摭䍧䍢杚䅰䍄䉁䅁䅁睂䅁䅁䅍䅄䅁䅁䅯睨䅙䅁䅯䅡䅙䅁䅯兕䅙䅁䅕䅁䅁䍁ぁ欵䙁䅁䅁䅁权⭐䅚权兄睂䅁允䅁䅁䅅䅁䙁䕁椴㑳獈呩䅎䍄䉁䅁䅁杂䅁䅁䅍䅄䅁䅁䅯睨䅙䅁䅯睙䅙䅁䅯允䅁䅁䅕䅁䅁䭁⽁欵䭁䙁䝫䅁䉁䅁䅁允䅁䅁䅕㉷䅡㝃㕋䕏䵁䅉䅅䅁䡁䅁䅁睁䵁䅁䅁权䡃杂䅁权捂杂䅁权䉁䅁䅁兂䅁䅁䅁䡷浪䅑䅕䅁䅁䝁㥂欵䭁乁䡉䅁䉁䅁䅁允䅁䅁䅕䵖灔䙊創歏䵁䅉䅅䅁䝁䅁䅁睁䵁䅁䅁权䡃杂䅁权橂杂䅁权䉁䅁䅁兂䅁䅁䅁䝑洳䅑䅯兗䅙䅁䅅䅁䉁䅁䅁兂婁䱹䱐⽴祙䅑杷允䅁䅁䅣䅁䑁䅁䅷䅁䭁䥁䝣䅁䭁䙁䜰䅁䭁䅁䅅䅁䙁䅁䅁䅁杁⭓䅚兂䅁䅁䅁䙙浢䅑䅯䄱䅣䅁䅅䅁䉁䅁䅁兂噁灱䱵㉶丰䅑杷允䅁䅁䅣䅁䑁䅁䅷䅁䭁䥁䝣䅁䭁䙁䝧䅁䭁䅁䅅䅁䙁䅁䅁䅁䅂敢䅚兂䅁䅁䅁䡷浪䅑䅯朰䅣䅁䅅䅁䉁䅁䅁兂硃㍡㝵兊⭕䅑杷允䅁䅁䅣䅁䑁䅁䅷䅁䭁䥁䝣䅁䭁䙁䜰䅁䭁䅁䅅䅁䙁䅁䅁䅁䅄佋䅚兂䅁䅁䅁䑉浔䅑䅯䄰䅣䅁䅅䅁䉁䅁䅁兂煄睧捷瀳䕍䅑杷允䅁䅁䅣䅁䑁䅁䅷䅁䭁䥁䝣䅁䭁䙁䜰䅁䭁䅁䅅䅁䙁䅁䅁䅁䅄佥䅚兂䅁䅁䅁䡙洳䅑䅯䄰䅣䅁䅅䅁䉁䅁䅁兂摁䕐䘱癲兑䅑杷允䅁䅁䅣䅁䑁䅁䅷䅁䭁䥁䝣䅁䭁䙁䝙䅁䭁䅁䅅䅁䙁䅁䅁䅁䅄佋䅚兂䅁䅁䅁䑉浔䅑䅯䄰䅣䅁䅅䅁䉁䅁䅁兂兂ㅚ杮ㄱ䭍䅑杷允䅁䅁䅣䅁䑁䅁䅷䅁䭁䥁䝣䅁䭁䙁䝁䅁䭁䙁䝅䅁䙁䅁䅁䅁䅄教䅚兂䅁䅁䅁䝑洳䅑䅯儰䅣䅁䅅䅁䉁䅁䅁兂佃硹㥦卯剄睐杷允䅁䅁䅣䅁䑁䅁䅷䅁䭁䥁䝣䅁䭁䝁䝙䅁䭁䅁䅅䅁䙁䅁䅁䅁杂畖䅚兂䅁䅁䅁䝷浈䅑䅯䄰䅣䅁䅅䅁䉁䅁䅁兂㉁偳䕨獋稸䅑杷允䅁䅁䅣䅁䑁䅁䅷䅁䭁䥁䝣䅁䭁䙁䝁䅁䭁䙁䝅䅁䙁䅁䅁䅁杂畖䅚兂䅁䅁䅁䝷浈䅑䅯䄱䅣䅁䅅䅁䉁䅁䅁兂䕃嘱慂汣剉䅑杷允䅁䅁䅣䅁䑁䅁䅷䅁䭁䥁䝣䅁䭁䙁䜸䅁䭁䙁䝅䅁䙁䅁䅁䅁䅄佋䅚兂䅁䅁䅁䑉浔䅑䅯眰䅣䅁䅅䅁䉁䅁䅁兂汄㉑眰摇游䅑杷允䅁䅁䅙䅁䑁䅁䅷䅁䭁䥁䝣䅁䭁䙁䜰䅁䭁䅁䅅䅁䙁䅁䅁䅁杂畖䅚权婂杂䅁允䅁䅁䅅䅁䙁佁䉺偰㑪䅚䄱䍄䉁䅁䅁睂䅁䅁䅍䅄䅁䅁䅯睨䅙䅁䅯䅗䅙䅁䅯允䅁䅁䅕䅁䅁䵁㑂欵䙁䅁䅁䅁杂敦䅚权呄睂䅁允䅁䅁䅅䅁䙁䱁⼶塑ㅶ呑䅴䍄䉁䅁䅁睂䅁䅁䅍䅄䅁䅁䅯睨䅙䅁䅯䅖䅙䅁䅯允䅁䅁䅕䅁䅁䍁䱂欵䙁䅁䅁䅁杂畖䅚权卄睂䅁允䅁䅁䅅䅁䙁䵁攰䅡䝗䌹䅆䍄䉁䅁䅁睂䅁䅁䅍䅄䅁䅁䅯睨䅙䅁䅯䅘䅙䅁䅯允䅁䅁䅕䅁䅁䝁坂欵䙁䅁䅁䅁䅄教䅚权兄睂䅁允䅁䅁䅅䅁䙁䩁䩆奊浉呗䅬䍄䉁䅁䅁杂䅁䅁䅍䅄䅁䅁䅯睨䅙䅁䅯杖䅙䅁䅯允䅁䅁䅕䅁䅁䵁㑂欵䭁䙁䝫䅁䉁䅁䅁允䅁䅁䅕畧摓硑慫䕆䵁䅉䅅䅁䝁䅁䅁睁䵁䅁䅁权䡃杂䅁权摂杂䅁权䉁䅁䅁兂䅁䅁䅁䑯洯䅑䅯兗䅙䅁䅅䅁䉁䅁䅁兂祂䌳摫䉲䬸䅑杷允䅁䅁䅣䅁䑁䅁䅷䅁䭁䥁䝣䅁䭁䙁䝁䅁䭁䙁䝅䅁䙁䅁䅁䅁杁低䅚兂䅁䅁䅁䑯洯䅑䅯䄰䅣䅁䅅䅁䉁䅁䅁兂穃䠳健䕭䵑䅑杷允䅁䅁䅙䅁䑁䅁䅷䅁䭁䥁䝣䅁䭁䙁䝕䅁䭁䅁䅅䅁䙁䅁䅁䅁䅄佥䅚权婂杂䅁允䅁䅁䅅䅁䙁䡁摢㕗奇䕮䅖䍄䉁䅁䅁杂䅁䅁䅍䅄䅁䅁䅯睨䅙䅁䅯䅢䅙䅁䅯兕䅙䅁䅕䅁䅁䭁⽁欵䭁䙁䝫䅁䉁䅁䅁允䅁䅁䅕癏剨㥢灎啃䵁䅉䅅䅁䡁䅁䅁睁䵁䅁䅁权䡃杂䅁权噂杂䅁权䉁䅁䅁兂䅁䅁䅁䑯洯䅑䅕䅁䅁䍁䱂欵䭁乁䡑䅁䉁䅁䅁允䅁䅁䅕灂汹䑚扬歑䵁䅉䅅䅁䡁䅁䅁睁䵁䅁䅁权䡃杂䅁权楂杂䅁权剂杂䅁兂䅁䅁䅁䑉浔䅑䅕䅁䅁䭁⽁欵䭁乁䡁䅁䉁䅁䅁允䅁䅁䅕桄硴刷㝸か䵁䅉䅅䅁䝁䅁䅁睁䵁䅁䅁权䡃杂䅁权灂杂䅁权䉁䅁䅁兂䅁䅁䅁䝷浈䅑䅯兗䅙䅁䅅䅁䉁䅁䅁兂煃䥓硗剨㥷䅑杷允䅁䅁䅣䅁䑁䅁䅷䅁䭁䥁䝣䅁䭁䙁䜸䅁䭁䙁䝅䅁䙁䅁䅁䅁䅄教䅚兂䅁䅁䅁䝑洳䅑䅯朰䅣䅁䅅䅁䉁䅁䅁兂䕂兒䈳剕祑䅑杷允䅁䅁䅙䅁䑁䅁䅷䅁䭁䥁䝣䅁䭁䝁䝫䅁䭁䅁䅅䅁䙁䅁䅁䅁杁低䅚权婂杂䅁允䅁䅁䅅䅁䙁䱁坂娷共橪䅆䍄䉁䅁䅁睂䅁䅁䅍䅄䅁䅁䅯睨䅙䅁䅯䅖䅙䅁䅯允䅁䅁䅕䅁䅁䵁潁欵䙁䅁䅁䅁杁低䅚权卄睂䅁允䅁䅁䅅䅁䙁䙁猱楗䕫桁䄹䍄䉁䅁䅁杂䅁䅁䅍䅄䅁䅁䅯睨䅙䅁䅯兡䅙䅁䅯允䅁䅁䅕䅁䅁䭁⽁欵䭁䙁䝫䅁䉁䅁䅁允䅁䅁䅕䐵䑅晬橅歎䵁䅉䅅䅁䡁䅁䅁睁䵁䅁䅁权䡃杂䅁权桂杂䅁权䉁䅁䅁兂䅁䅁䅁䕉浶䅑䅕䅁䅁䝁坂欵䭁乁䡍䅁䉁䅁䅁允䅁䅁䅕䥒䅦啫穃ぐ䵁䅉䅅䅁䝁䅁䅁睁䵁䅁䅁权䡃杂䅁权灂杂䅁权䉁䅁䅁兂䅁䅁䅁䕉浶䅑䅯兗䅙䅁䅅䅁䉁䅁䅁兂ㅃ华奉ㅂ㈸䅑杷允䅁䅁䅙䅁䑁䅁䅷䅁䭁䥁䝣䅁䭁䙁䜴䅁䭁䙁䝅䅁䙁䅁䅁䅁杁低䅚权婂杂䅁允䅁䅁䅅䅁䙁䕁㍚䥂兡睵䄵䍄䉁䅁䅁睂䅁䅁䅍䅄䅁䅁䅯睨䅙䅁䅯䅕䅙䅁䅯兕䅙䅁䅕䅁䅁䵁㑂欵䙁䅁䅁䅁杂敦䅚权呄睂䅁允䅁䅁䅅䅁䙁䥁戶㡓偉桁䅊䍄䉁䅁䅁睂䅁䅁䅍䅄䅁䅁䅯睨䅙䅁䅯䅘䅙䅁䅯允䅁䅁䅕䅁䅁䭁⽁欵䙁䅁䅁䅁杁⭓䅚权兄睂䅁允䅁䅁䅅䅁䙁䱁䌱癑椲穕䅤䍄䉁䅁䅁睂䅁䅁䅍䅄䅁䅁䅯睨䅙䅁䅯条䅙䅁䅯児䅁䅁䅕䅁䅁䵁桂欵䙁䅁䅁䅁䅂敢䅚权呄睂䅁允䅁䅁䅅䅁䙁䅁睲坄䑮桓䅸䍄䉁䅁䅁睂䅁䅁䅍䅄䅁䅁䅯睨䅙䅁䅯杗䅙䅁䅯兕䅙䅁䅕䅁䅁䍁ぁ欵䙁䅁䅁䅁权⭐䅚权啄睂䅁允䅁䅁䅅䅁䙁䉁临䱺捊橉䅎䍄䉁䅁䅁睂䅁䅁䅍䅄䅁䅁䅯睨䅙䅁䅯兡䅙䅁䅯允䅁䅁䅕䅁䅁䍁䱂欵䙁䅁䅁䅁杂畖䅚权呄睂䅁允䅁䅁䅅䅁䙁䙁摱䭮㑇穈䅚䍄䉁䅁䅁睂䅁䅁䅍䅄䅁䅁䅯睨䅙䅁䅯䅖䅙䅁䅯允䅁䅁䅕䅁䅁䍁ぁ欵䙁䅁䅁䅁权⭐䅚权啄睂䅁允䅁䅁䅅䅁䙁乁杩㝌㤳剱䄱䍄䉁䅁䅁睂䅁䅁䅍䅄䅁䅁䅯睨䅙䅁䅯䅡䅙䅁䅯兕䅙䅁䅕䅁䅁䵁潁欵䙁䅁䅁䅁杁低䅚权啄睂䅁允䅁䅁䅅䅁䙁䅁䩣刳甶䑔䅆䍄䉁䅁䅁杂䅁䅁䅍䅄䅁䅁䅯睨䅙䅁䅯兖䅙䅁䅯允䅁䅁䅕䅁䅁䝁㥂欵䭁䙁䝫䅁䉁䅁䅁允䅁䅁䅕䤴獊扗䴵啒䵁䅉䅅䅁䡁䅁䅁睁䵁䅁䅁权䡃杂䅁权敂杂䅁权剂杂䅁兂䅁䅁䅁䑉浔䅑䅕䅁䅁䭁⽁欵䭁乁䡉䅁䉁䅁䅁允䅁䅁䅕䵴灯か䥈啅䵁䅉䅅䅁䡁䅁䅁睁䵁䅁䅁权䡃杂䅁权潂杂䅁权剂杂䅁兂䅁䅁䅁䑯洯䅑䅕䅁䅁䍁䱂欵䭁乁䡅䅁䉁䅁䅁允䅁䅁䅕慑⽨啘㥥䐸䴸䅉䅅䅁䡁䅁䅁睁䵁䅁䅁权䡃杂䅁权兂杂䅁权剂杂䅁兂䅁䅁䅁䡷浪䅑䅕䅁䅁䝁㥂欵䭁乁䡅䅁䉁䅁䅁允䅁䅁䅕⼫晦牅つ橵䴸䅉䅅䅁䡁䅁䅁睁䵁䅁䅁权䡃杂䅁权灂杂䅁权䉁䅁䅁兂䅁䅁䅁䑯洯䅑䅕䅁䅁䍁䱂欵䭁乁䡁䅁䉁䅁䅁允䅁䅁䅕歺敨㉁䅗歎䵁䅉䅅䅁䡁䅁䅁睁䵁䅁䅁权䡃杂䅁权噂杂䅁权䉁䅁䅁兂䅁䅁䅁䝷浈䅑䅕䅁䅁䕁瑂欵䭁乁䡁䅁䉁䅁䅁允䅁䅁䅕婄䱍坭睰䕒䵁䅉䅅䅁䡁䅁䅁睁䵁䅁䅁权䡃杂䅁权奂杂䅁权䉁䅁䅁兂䅁䅁䅁䝑洳䅑䅕䅁䅁䵁㑂欵䭁乁䡁䅁䉁䅁䅁允䅁䅁䅕ㅉ余㉏楷啐䵁䅉䅅䅁䡁䅁䅁睁䵁䅁䅁权䡃杂䅁权噂杂䅁权䉁䅁䅁兂䅁䅁䅁䕉浶䅑䅕䅁䅁䝁坂欵䭁乁䡁䅁䉁䅁䅁允䅁䅁䅕硄䱆䨹⭫䕒䵁䅉䅅䅁䡁䅁䅁睁䵁䅁䅁权䡃杂䅁权浂杂䅁权䉁䅁䅁兂䅁䅁䅁䡷浪䅑䅕䅁䅁䝁㥂欵䭁乁䡁䅁䉁䅁䅁允䅁䅁䅕䭄歪牗硹き䵁䅉䅅䅁䡁䅁䅁睁䵁䅁䅁权䡃杂䅁权坂杂䅁权䉁䅁䅁兂䅁䅁䅁䑯洯䅑䅕䅁䅁䍁䱂欵䭁乁䡁䅁䉁䅁䅁允䅁䅁䅕水䅍䝪杣䕅䵁䅉䅅䅁䡁䅁䅁睁䵁䅁䅁权䡃杂䅁权慂杂䅁权剂杂䅁兂䅁䅁䅁䑯洯䅑䅕䅁䅁䍁䱂欵䭁乁䡁䅁䉁䅁䅁允䅁䅁䅕硕㑎㍍啲䕎䵁䅉䅅䅁䡁䅁䅁睁䵁䅁䅁权䡃杂䅁权兂杂䅁权剂杂䅁兂䅁䅁䅁䍷浪䅑䅕䅁䅁䍁ぁ欵䭁乁䡁䅁䉁䅁䅁允䅁䅁䅕剄畋挵祱啃䵁䅉䅅䅁䡁䅁䅁睁䵁䅁䅁权䡃杂䅁权煂杂䅁权㥁䅁䅁兂䅁䅁䅁䝷浈䅑䅕䅁䅁䕁瑂欵䭁乁䡁䅁䉁䅁䅁允䅁䅁䅕祅杤偤ㅂえ䵁䅉䅅䅁䝁䅁䅁睁䵁䅁䅁权䡃杂䅁权捂杂䅁权䉁䅁䅁兂䅁䅁䅁䡷浪䅑䅯兗䅙䅁䅅䅁䉁䅁䅁兂ぁ潧爳㈳㕫䅑杷允䅁䅁䅣䅁䑁䅁䅷䅁䭁䥁䝣䅁䭁䙁䝧䅁䭁䅁䅅䅁䙁䅁䅁䅁杁低䅚兂䅁䅁䅁䑯洯䅑䅯䄰䅣䅁䅅䅁䉁䅁䅁兂晄䕨䕉䭢㉫䅑杷允䅁䅁䅣䅁䑁䅁䅷䅁䭁䥁䝣䅁䭁䝁䝯䅁䭁䑁䄰䅁䙁䅁䅁䅁权⭐䅚兂䅁䅁䅁䕉浶䅑䅯䄰䅣䅁䅅䅁䉁䅁䅁兂䍄娶煐湖晑䅑杷允䅁䅁䅣䅁䑁䅁䅷䅁䭁䥁䝣䅁䭁䙁䝁䅁䭁䙁䝅䅁䙁䅁䅁䅁杂畖䅚兂䅁䅁䅁䝷浈䅑䅯䄰䅣䅁䅅䅁䉁䅁䅁兂呃湖橥歋剑䅑杷允䅁䅁䅣䅁䑁䅁䅷䅁䭁䥁䝣䅁䭁䝁䝙䅁䭁䅁䅅䅁䙁䅁䅁䅁䅄教䅚兂䅁䅁䅁䝑洳䅑䅯䄰䅣䅁䅅䅁䉁䅁䅁兂㉁䵧偅䝎穕䅑杷允䅁䅁䅣䅁䑁䅁䅷䅁䭁䥁䝣䅁䭁䙁䜸䅁䭁䙁䝅䅁䙁䅁䅁䅁权⭐䅚兂䅁䅁䅁䕉浶䅑䅯䄰䅣䅁䅅䅁䉁䅁䅁兂啂㥍瀴渰瑷䅑杷允䅁䅁䅣䅁䑁䅁䅷䅁䭁䥁䝣䅁䭁䝁䝷䅁䭁䙁䝅䅁䙁䅁䅁䅁䅂敢䅚兂䅁䅁䅁䡷浪䅑䅯䄱䅣䅁䅅䅁䉁䅁䅁兂灃慆捍䘹儸䅑杷允䅁䅁䅙䅁䑁䅁䅷䅁䭁䥁䝣䅁䭁䝁䝅䅁䭁䅁䅅䅁䙁䅁䅁䅁䅄佥䅚权婂杂䅁允䅁䅁䅅䅁䙁䑁㉳癁㙇歴䅆䍄䉁䅁䅁睂䅁䅁䅍䅄䅁䅁䅯睨䅙䅁䅯杖䅙䅁䅯允䅁䅁䅕䅁䅁䝁坂欵䙁䅁䅁䅁䅄教䅚权卄睂䅁允䅁䅁䅅䅁䙁䩁含樳⭥桬䅒䍄䉁䅁䅁睂䅁䅁䅍䅄䅁䅁䅯睨䅙䅁䅯杖䅙䅁䅯允䅁䅁䅕䅁䅁䵁桂欵䙁䅁䅁䅁䅂敢䅚权卄睂䅁允䅁䅁䅅䅁䙁䩁含樳⭥桬䅒䍄䉁䅁䅁睂䅁䅁䅍䅄䅁䅁䅯睨䅙䅁䅯杘䅙䅁䅯兕䅙䅁䅕䅁䅁䍁䱂欵䙁䅁䅁䅁杂畖䅚权啄睂䅁允䅁䅁䅅䅁䙁䩁奓㡶䙚杇䅰䍄䉁䅁䅁睂䅁䅁䅍䅄䅁䅁䅯睨䅙䅁䅯杗䅙䅁䅯兕䅙䅁䅕䅁䅁䵁桂欵䙁䅁䅁䅁䅂敢䅚权兄睂䅁允䅁䅁䅅䅁䙁䵁慇杕楤䑪䅖䍄䉁䅁䅁杂䅁䅁䅍䅄䅁䅁䅯睨䅙䅁䅯䅘䅙䅁䅯允䅁䅁䅕䅁䅁䝁㥂欵䭁䙁䝫䅁䉁䅁䅁允䅁䅁䅕䑰睍爸㙌歎䵁䅉䅅䅁䡁䅁䅁睁䵁䅁䅁权䡃杂䅁权歂杂䅁权䉁䅁䅁兂䅁䅁䅁䑯洯䅑䅕䅁䅁䍁䱂欵䭁乁䡉䅁䉁䅁䅁允䅁䅁䅯免䅁䅁杷允䅁䅁䅣䅁䑁䅁䅷䅁䭁䥁䝣䅁䭁䝁䝯䅁䭁䑁䄰䅁䙁䅁䅁䅁䅄佥䅚兂䅁䅁䅁䡙洳䅑䅯䄱䅣䅁䅅䅁䉁䅁䅁兂䍁牬㥖桱楣䅑杷允䅁䅁䅣䅁䑁䅁䅷䅁䭁䥁䝣䅁䭁䙁䝕䅁䭁䅁䅅䅁䙁䅁䅁䅁权⭐䅚兂䅁䅁䅁䕉浶䅑䅯䄰䅣䅁䅅䅁䉁䅁䅁兂硁潡楚祃䌱䅑杷允䅁䅁䅣䅁䑁䅁䅷䅁䭁䥁䝣䅁䭁䝁䝧䅁䭁䙁䝅䅁䙁䅁䅁䅁䅄佋䅚兂䅁䅁䅁䑉浔䅑䅯眰䅣䅁䅅䅁䉁䅁䅁兂䡄浏㝎䰰睅䅑杷允䅁䅁䅣䅁䑁䅁䅷䅁䭁䥁䝣䅁䭁䝁䝫䅁䭁䅁䅅䅁䙁䅁䅁䅁杁低䅚兂䅁䅁䅁䑯洯䅑䅯䄰䅣䅁䅅䅁䉁䅁䅁兂㡁䡊発㘷穷䅑杷允䅁䅁䅣䅁䑁䅁䅷䅁䭁䥁䝣䅁䭁䝁䝷䅁䭁䙁䝅䅁䙁䅁䅁䅁杁低䅚兂䅁䅁䅁䑯洯䅑䅯眰䅣䅁䅅䅁䉁䅁䅁兂䝁䠵⽉䉓䕁䅑杷允䅁䅁䅣䅁䑁䅁䅷䅁䭁䥁䝣䅁䭁䝁䝙䅁䭁䅁䅅䅁䙁䅁䅁䅁权⭐䅚兂䅁䅁䅁䕉浶䅑䅯眰䅣䅁䅅䅁䉁䅁䅁兂䑁䅳剅猴畉䅑杷允䅁䅁䅣䅁䑁䅁䅷䅁䭁䥁䝣䅁䭁䝁䝯䅁䭁䑁䄰䅁䙁䅁䅁䅁杂畖䅚兂䅁䅁䅁䝷浈䅑䅯䄰䅣䅁䅅䅁䉁䅁䅁兂佂は砰䨯散䅑杷允䅁䅁䅣䅁䑁䅁䅷䅁䭁䥁䝣䅁䭁䝁䝑䅁䭁䅁䅅䅁䙁䅁䅁䅁杁⭓䅚兂䅁䅁䅁䙙浢䅑䅯䄰䅣䅁䅅䅁䉁䅁䅁权硁䅁䅁䍄䉁䅁䅁睂䅁䅁䅍䅄䅁䅁䅯睨䅙䅁䅯䅚䅙䅁䅯允䅁䅁䅕䅁䅁䝁坂欵䙁䅁䅁䅁䅄教䅚权兄睂䅁允䅁䅁䅅䅁䭁䑁䅅䅁䵁䅉䅅䅁䡁䅁䅁睁䵁䅁䅁权䡃杂䅁权慂杂䅁权剂杂䅁兂䅁䅁䅁䡷浪䅑䅕䅁䅁䝁㥂欵䭁乁䡅䅁䉁䅁䅁允䅁䅁䅕晧㝢剰䭋䐴䴸䅉䅅䅁䡁䅁䅁睁䵁䅁䅁权䡃杂䅁权楂杂䅁权剂杂䅁兂䅁䅁䅁䍷浪䅑䅕䅁䅁䍁ぁ欵䭁乁䡁䅁䉁䅁䅁允䅁䅁䅕瑏硘爰婂䕋䵁䅉䅅䅁䡁䅁䅁睁䵁䅁䅁权䡃杂䅁权楂杂䅁权剂杂䅁兂䅁䅁䅁䙙浢䅑䅕䅁䅁䵁桂欵䭁乁䡅䅁䉁䅁䅁允䅁䅁䅕才煰杬摬樸䴸䅉䅅䅁䡁䅁䅁睁䵁䅁䅁权䡃杂䅁权橂杂䅁权䉁䅁䅁兂䅁䅁䅁䑯洯䅑䅕䅁䅁䍁䱂欵䭁乁䡁䅁䉁䅁䅁允䅁䅁䅕䅳爵扯敧啎䵁䅉䅅䅁䡁䅁䅁睁䵁䅁䅁权䡃杂䅁权摂杂䅁权䉁䅁䅁兂䅁䅁䅁䑉浔䅑䅕䅁䅁䭁⽁欵䭁乁䡁䅁䉁䅁䅁允䅁䅁䅕䔹䘴倳獍あ䵁䅉䅅䅁䡁䅁䅁睁䵁䅁䅁权䡃杂䅁权坂杂䅁权䉁䅁䅁兂䅁䅁䅁䡷浪䅑䅕䅁䅁䝁㥂欵䭁乁䡑䅁䉁䅁䅁允䅁䅁䅕畧摓硑慫䕆䵁䅉䅅䅁䡁䅁䅁睁䵁䅁䅁权䡃杂䅁权摂杂䅁权䉁䅁䅁兂䅁䅁䅁䝷浈䅑䅕䅁䅁䕁瑂欵䭁乁䡁䅁䉁䅁䅁允䅁䅁䅕潡䑏副潗歄䵁䅉䅅䅁䡁䅁䅁睁䵁䅁䅁权䡃杂䅁权獂杂䅁权剂杂䅁兂䅁䅁䅁䡷浪䅑䅕䅁䅁䝁㥂欵䭁乁䡅䅁䉁䅁䅁允䅁䅁䅕䕴扴奋佢䑵䴸䅉䅅䅁䡁䅁䅁睁䵁䅁䅁权䡃杂䅁权奂杂䅁权䉁䅁䅁兂䅁䅁䅁䡷浪䅑䅕䅁䅁䝁㥂欵䭁乁䡁䅁䉁䅁䅁允䅁䅁䅕浹敧确体䕐䵁䅉䅅䅁䡁䅁䅁睁䵁䅁䅁权䡃杂䅁权楂杂䅁权剂杂䅁兂䅁䅁䅁䡷浪䅑䅕䅁䅁䝁㥂欵䭁乁䡉䅁䉁䅁䅁允䅁䅁䅕䑡䥖䍴癬歍䵁䅉䅅䅁䡁䅁䅁睁䵁䅁䅁权䡃杂䅁权獂杂䅁权剂杂䅁兂䅁䅁䅁䑉浔䅑䅕䅁䅁䭁⽁欵䭁乁䡁䅁䉁䅁䅁允䅁䅁䅕䍗樹㙯偏歂䵁䅉䅅䅁䡁䅁䅁睁䵁䅁䅁权䡃杂䅁权獂杂䅁权剂杂䅁兂䅁䅁䅁䝷浈䅑䅕䅁䅁䕁瑂欵䭁乁䡁䅁䉁䅁䅁允䅁䅁䅕䕲婎欴硏䕄䵁䅉䅅䅁䡁䅁䅁睁䵁䅁䅁权䡃杂䅁权奂杂䅁权䉁䅁䅁兂䅁䅁䅁䡷浪䅑䅕䅁䅁䝁㥂欵䭁乁䡉䅁䉁䅁䅁允䅁䅁䅕䍵硉兑䰳啐䵁䅉䅅䅁䡁䅁䅁睁䵁䅁䅁权䡃杂䅁权敂杂䅁权剂杂䅁兂䅁䅁䅁䍷浪䅑䅕䅁䅁䍁ぁ欵䭁乁䡁䅁䉁䅁䅁允䅁䅁䅕㍲愫偦敬い䵁䅉䅅䅁䡁䅁䅁睁䵁䅁䅁权䡃杂䅁权時杂䅁权剂杂䅁兂䅁䅁䅁䝷浈䅑䅕䅁䅁䕁瑂欵䭁乁䡍䅁䉁䅁䅁允䅁䅁䅕婥㑢獤䉆啌䵁䅉䅅䅁䡁䅁䅁睁䵁䅁䅁权䡃杂䅁权坂杂䅁权䉁䅁䅁兂䅁䅁䅁䑉浔䅑䅕䅁䅁䭁⽁欵䭁乁䡍䅁䉁䅁䅁允䅁䅁䅕戴杔噒根歃䵁䅉䅅䅁䡁䅁䅁睁䵁䅁䅁权䡃杂䅁权坂杂䅁权䉁䅁䅁兂䅁䅁䅁䕉浶䅑䅕䅁䅁䝁坂欵䭁乁䡍䅁䉁䅁䅁允䅁䅁䅕晵硱塓欶い䵁䅉䅅䅁䡁䅁䅁睁䵁䅁䅁权䡃杂䅁权奂杂䅁权䉁䅁䅁兂䅁䅁䅁䕉浶䅑䅕䅁䅁䝁坂欵䭁乁䡅䅁䉁䅁䅁允䅁䅁䅕乚关啦卌歁䵁䅉䅅䅁䡁䅁䅁睁䵁䅁䅁权䡃杂䅁权敂杂䅁权剂杂䅁兂䅁䅁䅁䍷浪䅑䅕䅁䅁䍁ぁ欵䭁乁䡑䅁䉁䅁䅁允䅁䅁䅕湒䕣灨㝃歄䵁䅉䅅䅁䡁䅁䅁睁䵁䅁䅁权䡃杂䅁权坂杂䅁权䉁䅁䅁兂䅁䅁䅁䑯洯䅑䅕䅁䅁䍁䱂欵䭁乁䡉䅁䉁䅁䅁允䅁䅁䅕㥲祆䥯䭣啅䵁䅉䅅䅁䡁䅁䅁睁䵁䅁䅁权䡃杂䅁权潂杂䅁权剂杂䅁兂䅁䅁䅁䝷浈䅑䅕䅁䅁䕁瑂欵䭁乁䡑䅁䉁䅁䅁允䅁䅁䅕獰䠵䝂执歎䵁䅉䅅䅁䡁䅁䅁睁䵁䅁䅁权䡃杂䅁权啂杂䅁权䉁䅁䅁兂䅁䅁䅁䑉浔䅑䅕䅁䅁䭁⽁欵䭁乁䡍䅁䉁䅁䅁允䅁䅁䅕㝣塵⬫潓ぇ䵁䅉䅅䅁䡁䅁䅁睁䵁䅁䅁权䡃杂䅁权噂杂䅁权䉁䅁䅁兂䅁䅁䅁䑉浔䅑䅕䅁䅁䭁⽁欵䭁乁䡍䅁䉁䅁䅁允䅁䅁䅕佶噚摮煗䕐䵁䅉䅅䅁䡁䅁䅁睁䵁䅁䅁权䡃杂䅁权敂杂䅁权剂杂䅁兂䅁䅁䅁䡷浪䅑䅕䅁䅁䝁㥂欵䭁乁䡅䅁䉁䅁䅁允䅁䅁䅕㝗⼹扸ㅦ䑹䴸䅉䅅䅁䡁䅁䅁睁䵁䅁䅁权䡃杂䅁权橂杂䅁权䉁䅁䅁兂䅁䅁䅁䑉浔䅑䅕䅁䅁䭁⽁欵䭁乁䡍䅁䉁䅁䅁允䅁䅁䅕䵷㐫䍣獁啌䵁䅉䅅䅁䡁䅁䅁睁䵁䅁䅁权䡃杂䅁权獂杂䅁权剂杂䅁兂䅁䅁䅁䕉浶䅑䅕䅁䅁䝁坂欵䭁乁䡍䅁䉁䅁䅁允䅁䅁䅕䄱⭦啬ひ䕃䵁䅉䅅䅁䡁䅁䅁睁䵁䅁䅁权䡃杂䅁权敂杂䅁权剂杂䅁兂䅁䅁䅁䝷浈䅑䅕䅁䅁䕁瑂欵䭁乁䡉䅁䉁䅁䅁允䅁䅁䅕呪漶慂圫歄䵁䅉䅅䅁䡁䅁䅁睁䵁䅁䅁权䡃杂䅁权楂杂䅁权剂杂䅁兂䅁䅁䅁䝷浈䅑䅕䅁䅁䕁瑂欵䭁乁䡍䅁䉁䅁䅁允䅁䅁䅕兲汚敵楹䕌䵁䅉䅅䅁䡁䅁䅁睁䵁䅁䅁权䡃杂䅁权煂杂䅁权㥁䅁䅁兂䅁䅁䅁䡷浪䅑䅕䅁䅁䝁㥂欵䭁乁䡍䅁䉁䅁䅁允䅁䅁䅕套湗塏杒䕈䵁䅉䅅䅁䡁䅁䅁睁䵁䅁䅁权䡃杂䅁权奂杂䅁权䉁䅁䅁兂䅁䅁䅁䕉浶䅑䅕䅁䅁䝁坂欵䭁乁䡉䅁䉁䅁䅁允䅁䅁䅕慇乶㘯祶ぐ䵁䅉䅅䅁䡁䅁䅁睁䵁䅁䅁权䡃杂䅁权摂杂䅁权䉁䅁䅁兂䅁䅁䅁䍷浪䅑䅕䅁䅁䍁ぁ欵䭁乁䡍䅁䉁䅁䅁允䅁䅁䅕䩧慰瑴㍚ぁ䵁䅉䅅䅁䡁䅁䅁睁䵁䅁䅁权䡃杂䅁权坂杂䅁权䉁䅁䅁兂䅁䅁䅁䑯洯䅑䅕䅁䅁䍁䱂欵䭁乁䡍䅁䉁䅁䅁允䅁䅁䅕䩅扔樹焰歄䵁䅉䅅䅁䡁䅁䅁睁䵁䅁䅁权䡃杂䅁权摂杂䅁权䉁䅁䅁兂䅁䅁䅁䡷浪䅑䅕䅁䅁䝁㥂欵䭁乁䡍䅁䉁䅁䅁允䅁䅁䅕渷啶㙘䄸䕅䵁䅉䅅䅁䡁䅁䅁睁䵁䅁䅁权䡃杂䅁权摂杂䅁权䉁䅁䅁兂䅁䅁䅁䙙浢䅑䅕䅁䅁䵁桂欵䭁乁䡉䅁䉁䅁䅁允䅁䅁䅕愫潏⽍睤啅䵁䅉䅅䅁䡁䅁䅁睁䵁䅁䅁权䡃杂䅁权桂杂䅁权䉁䅁䅁兂䅁䅁䅁䝑洳䅑䅕䅁䅁䵁㑂欵䭁乁䡍䅁䉁䅁䅁允䅁䅁䅕桨挫硔䰰啑䵁䅉䅅䅁䡁䅁䅁睁䵁䅁䅁权䡃杂䅁权坂杂䅁权䉁䅁䅁兂䅁䅁䅁䝷浈䅑䅕䅁䅁䕁瑂欵䭁乁䡑䅁䉁䅁䅁允䅁䅁䅕煎焯䉲奚歅䵁䅉䅅䅁䡁䅁䅁睁䵁䅁䅁权䡃杂䅁权歂杂䅁权䉁䅁䅁兂䅁䅁䅁䝑洳䅑䅕䅁䅁䵁㑂欵䭁乁䡅䅁䉁䅁䅁允䅁䅁䅯免䅁䅁杷允䅁䅁䅣䅁䑁䅁䅷䅁䭁䥁䝣䅁䭁䙁䝁䅁䭁䙁䝅䅁䙁䅁䅁䅁权⭐䅚兂䅁䅁䅁䕉浶䅑䅯朰䅣䅁䅅䅁䉁䅁䅁兂㝁畸ㅮ䥍兙䅑杷允䅁䅁䅣䅁䑁䅁䅷䅁䭁䥁䝣䅁䭁䙁䝙䅁䭁䅁䅅䅁䙁䅁䅁䅁䅄佋䅚兂䅁䅁䅁䑉浔䅑䅯䄱䅣䅁䅅䅁䉁䅁䅁兂穄坣漲䵇䩣䅑杷允䅁䅁䅣䅁䑁䅁䅷䅁䭁䥁䝣䅁䭁䙁䝷䅁䭁䅁䅅䅁䙁䅁䅁䅁权⭐䅚兂䅁䅁䅁䕉浶䅑䅯䄱䅣䅁䅅䅁䉁䅁䅁兂慂扌䡄䙒㉉䅑杷允䅁䅁䅣䅁䑁䅁䅷䅁䭁䥁䝣䅁䭁䝁䝯䅁䭁䑁䄰䅁䙁䅁䅁䅁杂畖䅚兂䅁䅁䅁䝷浈䅑䅯眰䅣䅁䅅䅁䉁䅁䅁兂橁楧奏噗慧䅑杷允䅁䅁䅙䅁䑁䅁䅷䅁䭁䥁䝣䅁䭁䝁䝙䅁䭁䅁䅅䅁䙁䅁䅁䅁杂敦䅚权婂杂䅁允䅁䅁䅅䅁䙁偁塮猸ㅲ橷䅆䍄䉁䅁䅁睂䅁䅁䅍䅄䅁䅁䅯睨䅙䅁䅯杖䅙䅁䅯允䅁䅁䅕䅁䅁䭁⽁欵䙁䅁䅁䅁杁⭓䅚权啄睂䅁允䅁䅁䅅䅁䙁䉁穓杘決䉎䅂䍄䉁䅁䅁睂䅁䅁䅍䅄䅁䅁䅯睨䅙䅁䅯杖䅙䅁䅯允䅁䅁䅕䅁䅁䝁坂欵䙁䅁䅁䅁䅄教䅚权啄睂䅁允䅁䅁䅅䅁䙁䙁橺㥍⽫硢䅊䍄䉁䅁䅁睂䅁䅁䅍䅄䅁䅁䅯睨䅙䅁䅯睘䅙䅁䅯兕䅙䅁䅕䅁䅁䭁⽁欵䙁䅁䅁䅁杁⭓䅚权呄睂䅁允䅁䅁䅅䅁䙁䝁え坵㍏祉䅴䍄䉁䅁䅁兂䅁䅁䅍䅄䅁䅁䅯睨䅙䅁䅯兦䅙䅁䅯䅄䅁䅁䅕䅁䅁䝁㥂欵䉁䅁䅁允䅁䅁䅣䅁䅁䵁㑂欵䵁䅉䅅䅁䡁䅁䅁睁䵁䅁䅁权䡃杂䅁权兂杂䅁权剂杂䅁兂䅁䅁䅁䝷浈䅑䅕䅁䅁䕁瑂欵䭁乁䡉䅁䉁䅁䅁允䅁䅁䅕䉆儳具伹ぅ䵁䅉䅅䅁䡁䅁䅁睁䵁䅁䅁权䡃杂䅁权奂杂䅁权䉁䅁䅁兂䅁䅁䅁䙙浢䅑䅕䅁䅁䵁桂欵䭁乁䡍䅁䉁䅁䅁允䅁䅁䅕䍘䉂圸獎問䵁䅉䅅䅁䡁䅁䅁睁䵁䅁䅁权䡃杂䅁权煂杂䅁权㥁䅁䅁兂䅁䅁䅁䑉浔䅑䅕䅁䅁䭁⽁欵䭁乁䡍䅁䉁䅁䅁允䅁䅁䅕剡䅔乂潙䕇䵁䅉䅅䅁䡁䅁䅁睁䵁䅁䅁权䡃杂䅁权兂杂䅁权剂杂䅁兂䅁䅁䅁䑯洯䅑䅕䅁䅁䍁䱂欵䭁乁䡍䅁䉁䅁䅁允䅁䅁䅕桢䉳癕⽷啄䵁䅉䅅䅁䡁䅁䅁睁䵁䅁䅁权䡃杂䅁权兂杂䅁权剂杂䅁兂䅁䅁䅁䕉浶䅑䅕䅁䅁䝁坂欵䭁乁䡍䅁䉁䅁䅁允䅁䅁䅕睒卬橍㘲歄䵁䅉䅅䅁䡁䅁䅁睁䵁䅁䅁权䡃杂䅁权噂杂䅁权䉁䅁䅁兂䅁䅁䅁䙙浢䅑䅕䅁䅁䵁桂欵䭁乁䡉䅁䉁䅁䅁允䅁䅁䅕器焯〵倲げ䵁䅉䅅䅁䡁䅁䅁睁䵁䅁䅁权䡃杂䅁权歂杂䅁权䉁䅁䅁兂䅁䅁䅁䑯洯䅑䅕䅁䅁䍁䱂欵䭁乁䡑䅁䉁䅁䅁允䅁䅁䅯免䅁䅁杷允䅁䅁䅣䅁䑁䅁䅷䅁䭁䥁䝣䅁䭁䙁䜰䅁䭁䅁䅅䅁䙁䅁䅁䅁䅄佋䅚兂䅁䅁䅁䑉浔䅑䅯䄱䅣䅁䅅䅁䉁䅁䅁兂㝂獧㉒礹䕁䅑杷允䅁䅁䅣䅁䑁䅁䅷䅁䭁䥁䝣䅁䭁䙁䜰䅁䭁䅁䅅䅁䙁䅁䅁䅁䅄佥䅚兂䅁䅁䅁䡙洳䅑䅯儰䅣䅁䅅䅁䉁䅁䅁兂䝁灶㝵兘⭭睐杷允䅁䅁䅣䅁䑁䅁䅷䅁䭁䥁䝣䅁䭁䝁䝍䅁䭁䅁䅅䅁䙁䅁䅁䅁䅂敢䅚兂䅁䅁䅁䡷浪䅑䅯眰䅣䅁䅅䅁䉁䅁䅁兂㍁橢⽅㑎祷䅑杷允䅁䅁䅣䅁䑁䅁䅷䅁䭁䥁䝣䅁䭁䝁䝉䅁䭁䙁䝅䅁䙁䅁䅁䅁杁⭓䅚兂䅁䅁䅁䙙浢䅑䅯儰䅣䅁䅅䅁䉁䅁䅁兂䅂䔴杕啒灔睐杷允䅁䅁䅣䅁䑁䅁䅷䅁䭁䥁䝣䅁䭁䝁䝙䅁䭁䅁䅅䅁䙁䅁䅁䅁杁⭓䅚兂䅁䅁䅁䙙浢䅑䅯眰䅣䅁䅅䅁䉁䅁䅁兂⽂䅩地楔睉䅑杷允䅁䅁䅣䅁䑁䅁䅷䅁䭁䥁䝣䅁䭁䙁䝯䅁䭁䙁䝅䅁䙁䅁䅁䅁䅂敢䅚兂䅁䅁䅁䡷浪䅑䅯朰䅣䅁䅅䅁䉁䅁䅁兂穃橪慍㑏㐴䅑杷允䅁䅁䅣䅁䑁䅁䅷䅁䭁䥁䝣䅁䭁䝁䝙䅁䭁䅁䅅䅁䙁䅁䅁䅁杁低䅚兂䅁䅁䅁䑯洯䅑䅯朰䅣䅁䅅䅁䉁䅁䅁兂穁稫䝸塥眴䅑杷允䅁䅁䅣䅁䑁䅁䅷䅁䭁䥁䝣䅁䭁䝁䝧䅁䭁䙁䝅䅁䙁䅁䅁䅁䅄教䅚兂䅁䅁䅁䝑洳䅑䅯朰䅣䅁䅅䅁䉁䅁䅁兂㍄扚改䝧㙍䅑杷允䅁䅁䅣䅁䑁䅁䅷䅁䭁䥁䝣䅁䭁䝁䝍䅁䭁䅁䅅䅁䙁䅁䅁䅁杂畖䅚兂䅁䅁䅁䝷浈䅑䅯儰䅣䅁䅅䅁䉁䅁䅁兂乄剔䵑䈯㉢睐杷允䅁䅁䅣䅁䑁䅁䅷䅁䭁䥁䝣䅁䭁䝁䝉䅁䭁䙁䝅䅁䙁䅁䅁䅁权⭐䅚兂䅁䅁䅁䕉浶䅑䅯䄱䅣䅁䅅䅁䉁䅁䅁兂㉂硄㍚ぐ癅䅑杷允䅁䅁䅣䅁䑁䅁䅷䅁䭁䥁䝣䅁䭁䙁䝁䅁䭁䙁䝅䅁䙁䅁䅁䅁权⭐䅚兂䅁䅁䅁䕉浶䅑䅯䄱䅣䅁䅅䅁䉁䅁䅁兂睁婭㕏㈶倰䅑杷允䅁䅁䅣䅁䑁䅁䅷䅁䭁䥁䝣䅁䭁䙁䜰䅁䭁䅁䅅䅁䙁䅁䅁䅁权⭐䅚兂䅁䅁䅁䕉浶䅑䅯儰䅣䅁䅅䅁䉁䅁䅁兂塁穑㐵煂䉦睐杷允䅁䅁䅣䅁䑁䅁䅷䅁䭁䥁䝣䅁䭁䝁䝯䅁䭁䑁䄰䅁䙁䅁䅁䅁䅄佋䅚兂䅁䅁䅁䑉浔䅑䅯朰䅣䅁䅅䅁䉁䅁䅁兂䍄橐㉸䵅慣䅑杷允䅁䅁䅣䅁䑁䅁䅷䅁䭁䥁䝣䅁䭁䙁䝁䅁䭁䙁䝅䅁䙁䅁䅁䅁杁⭓䅚兂䅁䅁䅁䙙浢䅑䅯䄱䅣䅁䅅䅁䉁䅁䅁兂啃⽂穙⭭免䅑杷允䅁䅁䅣䅁䑁䅁䅷䅁䭁䥁䝣䅁䭁䙁䝁䅁䭁䙁䝅䅁䙁䅁䅁䅁权⭐䅚兂䅁䅁䅁䕉浶䅑䅯儰䅣䅁䅅䅁䉁䅁䅁兂睄㍩塵䙧䉺睐杷允䅁䅁䅣䅁䑁䅁䅷䅁䭁䥁䝣䅁䭁䝁䝉䅁䭁䙁䝅䅁䙁䅁䅁䅁䅄佋䅚兂䅁䅁䅁䑉浔䅑䅯眰䅣䅁䅅䅁䉁䅁䅁兂桄㝇坤祁游䅑杷允䅁䅁䅣䅁䑁䅁䅷䅁䭁䥁䝣䅁䭁䙁䝁䅁䭁䙁䝅䅁䙁䅁䅁䅁杂畖䅚兂䅁䅁䅁䝷浈䅑䅯儰䅣䅁䅅䅁䉁䅁䅁兂潂浄䵧塪兲睐杷允䅁䅁䅣䅁䑁䅁䅷䅁䭁䥁䝣䅁䭁䙁䜰䅁䭁䅁䅅䅁䙁䅁䅁䅁䅄佥䅚兂䅁䅁䅁䡙洳䅑䅯䄱䅣䅁䅅䅁䉁䅁䅁兂剁浈挰晳兙䅑杷允䅁䅁䅣䅁䑁䅁䅷䅁䭁䥁䝣䅁䭁䝁䝍䅁䭁䅁䅅䅁䙁䅁䅁䅁䅄教䅚兂䅁䅁䅁䝑洳䅑䅯䄱䅣䅁䅅䅁䉁䅁䅁兂䅃娱橅坮硫䅑杷允䅁䅁䅕䅁䑁䅁䅷䅁䭁䥁䝣䅁䭁䉁䅙䅁䙁䅁䅁䅁杂敦䅚权婂杂䅁允䅁䅁䅅䅁啁䝁瑢橴䅣䅁䅁䍄䉁䅁䅁睂䅁䅁䅍䅄䅁䅁䅯睨䅙䅁䅯睙䅙䅁䅯允䅁䅁䅕䅁䅁䍁ぁ欵䙁䅁䅁䅁权⭐䅚权啄睂䅁允䅁䅁䅅䅁䙁䕁权㉍呬穭䅖䍄䉁䅁䅁睂䅁䅁䅍䅄䅁䅁䅯睨䅙䅁䅯杚䅙䅁䅯允䅁䅁䅕䅁䅁䝁坂欵䙁䅁䅁䅁䅄教䅚权剄睂䅁允䅁䅁䅅䅁䙁䅁⭤灺慧偖⽍䍄䉁䅁䅁睂䅁䅁䅍䅄䅁䅁䅯睨䅙䅁䅯杚䅙䅁䅯允䅁䅁䅕䅁䅁䍁ぁ欵䙁䅁䅁䅁权⭐䅚权呄睂䅁允䅁䅁䅅䅁䙁䍁晹堵睬祐䅴䍄䉁䅁䅁睂䅁䅁䅍䅄䅁䅁䅯睨䅙䅁䅯睘䅙䅁䅯兕䅙䅁䅕䅁䅁䍁ぁ欵䙁䅁䅁䅁权⭐䅚权卄睂䅁允䅁䅁䅅䅁䙁䵁浰慌吲䌲䄵䍄䉁䅁䅁睂䅁䅁䅍䅄䅁䅁䅯睨䅙䅁䅯䅢䅙䅁䅯兕䅙䅁䅕䅁䅁䭁⽁欵䙁䅁䅁䅁杁⭓䅚权卄睂䅁允䅁䅁䅅䅁䙁䭁捋䘯塭䅓䅴䍄䉁䅁䅁睂䅁䅁䅍䅄䅁䅁䅯睨䅙䅁䅯睘䅙䅁䅯兕䅙䅁䅕䅁䅁䵁㑂欵䙁䅁䅁䅁杂敦䅚权剄睂䅁允䅁䅁䅅䅁䙁䱁㡮奯䑱㥵⽷䍄䉁䅁䅁睂䅁䅁䅍䅄䅁䅁䅯睨䅙䅁䅯杙䅙䅁䅯兕䅙䅁䅕䅁䅁䝁坂欵䙁䅁䅁䅁䅄教䅚权啄睂䅁允䅁䅁䅅䅁䙁佁㙭桓䉨橱䅂䍄䉁䅁䅁睂䅁䅁䅍䅄䅁䅁䅯睨䅙䅁䅯䅗䅙䅁䅯允䅁䅁䅕䅁䅁䭁⽁欵䙁䅁䅁䅁杁⭓䅚权剄睂䅁允䅁䅁䅅䅁䙁䵁䡱晓婮⭩⽯䍄䉁䅁䅁睂䅁䅁䅍䅄䅁䅁䅯睨䅙䅁䅯杘䅙䅁䅯兕䅙䅁䅕䅁䅁䕁瑂欵䙁䅁䅁䅁䅄佥䅚权兄睂䅁允䅁䅁䅅䅁䙁䥁䉚煵牓睧䅴䍄䉁䅁䅁睂䅁䅁䅍䅄䅁䅁䅯睨䅙䅁䅯兙䅙䅁䅯允䅁䅁䅕䅁䅁䵁潁欵䙁䅁䅁䅁杁低䅚权兄睂䅁允䅁䅁䅅䅁䙁䑁啧浫獅穊䅒䍄䉁䅁䅁睂䅁䅁䅍䅄䅁䅁䅯睨䅙䅁䅯杚䅙䅁䅯允䅁䅁䅕䅁䅁䵁桂欵䙁䅁䅁䅁䅂敢䅚权剄睂䅁允䅁䅁䅅䅁䙁偁浒䝐ひ倳⽣䍄䉁䅁䅁兂䅁䅁䅍䅄䅁䅁䅯睨䅙䅁䅯睬䅣䅁䅕䅁䅁䵁歂欵䭁䩁䥳䅁䉁䅁䅁允䅁䅁䅕䥘䌯匹䥨䕣䵁䅉䅅䅁䡁䅁䅁睁䵁䅁䅁权䡃杂䅁权楂杂䅁权剂杂䅁兂䅁䅁䅁䍷浪䅑䅕䅁䅁䍁ぁ欵䭁乁䡉䅁䉁䅁䅁允䅁䅁䅕㝘摸渹欲歋䵁䅉䅅䅁䡁䅁䅁睁䵁䅁䅁权䡃杂䅁权煂杂䅁权㥁䅁䅁兂䅁䅁䅁䕉浶䅑䅕䅁䅁䝁坂欵䭁乁䡉䅁䉁䅁䅁允䅁䅁䅕呴乎歫唴䕉䵁䅉䅅䅁䡁䅁䅁睁䵁䅁䅁权䡃杂䅁权時杂䅁权剂杂䅁兂䅁䅁䅁䕉浶䅑䅕䅁䅁䝁坂欵䭁乁䡍䅁䉁䅁䅁允䅁䅁䅕煅挹塊硧䕌䵁䅉䅅䅁䡁䅁䅁睁䵁䅁䅁权䡃杂䅁权灂杂䅁权䉁䅁䅁兂䅁䅁䅁䑉浔䅑䅕䅁䅁䭁⽁欵䭁乁䡉䅁䉁䅁䅁允䅁䅁䅕䥎楅橆杆歎䵁䅉䅅䅁䡁䅁䅁睁䵁䅁䅁权䡃杂䅁权捂杂䅁权䉁䅁䅁兂䅁䅁䅁䙙浢䅑䅕䅁䅁䵁桂欵䭁乁䡉䅁䉁䅁䅁允䅁䅁䅕䕪⽬㑌䑘く䵁䅉䅅䅁䡁䅁䅁睁䵁䅁䅁权䡃杂䅁权時杂䅁权剂杂䅁兂䅁䅁䅁䑉浔䅑䅕䅁䅁䭁⽁欵䭁乁䡑䅁䉁䅁䅁允䅁䅁䅕䍸㉪琸䅹か䵁䅉䅅䅁䡁䅁䅁睁䵁䅁䅁权䡃杂䅁权歂杂䅁权䉁䅁䅁兂䅁䅁䅁䝑洳䅑䅕䅁䅁䵁㑂欵䭁乁䡍䅁䉁䅁䅁允䅁䅁䅯免䅁䅁杷允䅁䅁䅣䅁䑁䅁䅷䅁䭁䥁䝣䅁䭁䙁䝙䅁䭁䅁䅅䅁䙁䅁䅁䅁䅂敢䅚兂䅁䅁䅁䡷浪䅑䅯眰䅣䅁䅅䅁䉁䅁䅁兂䉄扲㕴汱呍䅑杷允䅁䅁䅣䅁䑁䅁䅷䅁䭁䥁䝣䅁䭁䙁䜴䅁䭁䙁䝅䅁䙁䅁䅁䅁䅄佥䅚兂䅁䅁䅁䡙洳䅑䅯朰䅣䅁䅅䅁䉁䅁䅁兂䡁㝒婫奦佑䅑杷允䅁䅁䅣䅁䑁䅁䅷䅁䭁䥁䝣䅁䭁䙁䜸䅁䭁䙁䝅䅁䙁䅁䅁䅁权⭐䅚兂䅁䅁䅁䕉浶䅑䅯䄱䅣䅁䅅䅁䉁䅁䅁兂㥁塮啣䝴瑕䅑杷允䅁䅁䅣䅁䑁䅁䅷䅁䭁䥁䝣䅁䭁䝁䝑䅁䭁䅁䅅䅁䙁䅁䅁䅁䅂敢䅚兂䅁䅁䅁䡷浪䅑䅯䄰䅣䅁䅅䅁䉁䅁䅁权硁䅁䅁䍄䉁䅁䅁睂䅁䅁䅍䅄䅁䅁䅯睨䅙䅁䅯睘䅙䅁䅯兕䅙䅁䅕䅁䅁䵁桂欵䙁䅁䅁䅁䅂敢䅚权啄睂䅁允䅁䅁䅅䅁䙁䱁祪穣扊祩䄹䍄䉁䅁䅁睂䅁䅁䅍䅄䅁䅁䅯睨䅙䅁䅯睘䅙䅁䅯兕䅙䅁䅕䅁䅁䍁ぁ欵䙁䅁䅁䅁权⭐䅚权剄睂䅁允䅁䅁䅅䅁䙁䭁㤵晏䍑⭑⽯䍄䉁䅁䅁睂䅁䅁䅍䅄䅁䅁䅯睨䅙䅁䅯睘䅙䅁䅯兕䅙䅁䅕䅁䅁䍁䱂欵䙁䅁䅁䅁杂畖䅚权剄睂䅁允䅁䅁䅅䅁䙁佁婦夷慇⭢⼴䍄䉁䅁䅁睂䅁䅁䅍䅄䅁䅁䅯睨䅙䅁䅯兖䅙䅁䅯允䅁䅁䅕䅁䅁䍁䱂欵䙁䅁䅁䅁杂畖䅚权剄睂䅁允䅁䅁䅅䅁䙁䕁穉摙佗末䅚䍄䉁䅁䅁睂䅁䅁䅍䅄䅁䅁䅯睨䅙䅁䅯䅚䅙䅁䅯允䅁䅁䅕䅁䅁䵁桂欵䙁䅁䅁䅁䅂敢䅚权呄睂䅁允䅁䅁䅅䅁䭁䑁䅅䅁䵁䅉䅅䅁䡁䅁䅁睁䵁䅁䅁权䡃杂䅁权噂杂䅁权䉁䅁䅁兂䅁䅁䅁䑯洯䅑䅕䅁䅁䍁䱂欵䭁乁䡍䅁䉁䅁䅁允䅁䅁䅕剱㙈塭㍱䕑䵁䅉䅅䅁䡁䅁䅁睁䵁䅁䅁权䡃杂䅁权敂杂䅁权剂杂䅁兂䅁䅁䅁䝑洳䅑䅕䅁䅁䵁㑂欵䭁乁䡑䅁䉁䅁䅁允䅁䅁䅕慬䥓ㅍㅈ歃䵁䅉䅅䅁䡁䅁䅁睁䵁䅁䅁权䡃杂䅁权獂杂䅁权剂杂䅁兂䅁䅁䅁䍷浪䅑䅕䅁䅁䍁ぁ欵䭁乁䡍䅁䉁䅁䅁允䅁䅁䅕卂琹㕥乍ぁ䵁䅉䅅䅁䡁䅁䅁睁䵁䅁䅁权䡃杂䅁权慂杂䅁权剂杂䅁兂䅁䅁䅁䝷浈䅑䅕䅁䅁䕁瑂欵䭁乁䡍䅁䉁䅁䅁允䅁䅁䅕䕮䙩⽣祤き䵁䅉䅅䅁䡁䅁䅁睁䵁䅁䅁权䡃杂䅁权潂杂䅁权剂杂䅁兂䅁䅁䅁䙙浢䅑䅕䅁䅁䵁桂欵䭁乁䡉䅁䉁䅁䅁允䅁䅁䅕㈹⽗潘橂歏䵁䅉䅅䅁䡁䅁䅁睁䵁䅁䅁权䡃杂䅁权灂杂䅁权䉁䅁䅁兂䅁䅁䅁䝷浈䅑䅕䅁䅁䕁瑂欵䭁乁䡍䅁䉁䅁䅁允䅁䅁䅕捇穩㝹慤歎䵁䅉䅅䅁䡁䅁䅁睁䵁䅁䅁权䡃杂䅁权奂杂䅁权䉁䅁䅁兂䅁䅁䅁䝷浈䅑䅕䅁䅁䕁瑂欵䭁乁䡑䅁䉁䅁䅁允䅁䅁䅕〲䙹䍥䍑く䵁䅉䅅䅁䡁䅁䅁睁䵁䅁䅁权䡃杂䅁权奂杂䅁权䉁䅁䅁兂䅁䅁䅁䑉浔䅑䅕䅁䅁䭁⽁欵䭁乁䡅䅁䉁䅁䅁允䅁䅁䅕啩摢坲乮䐹䴸䅉䅅䅁䡁䅁䅁睁䵁䅁䅁权䡃杂䅁权楂杂䅁权剂杂䅁兂䅁䅁䅁䝷浈䅑䅕䅁䅁䕁瑂欵䭁乁䡉䅁䉁䅁䅁允䅁䅁䅕呤䩓䨴⭈歍䵁䅉䅅䅁䡁䅁䅁睁䵁䅁䅁权䡃杂䅁权潂杂䅁权剂杂䅁兂䅁䅁䅁䑉浔䅑䅕䅁䅁䭁⽁欵䭁乁䡉䅁䉁䅁䅁允䅁䅁䅕歬䕶浃啁歎䵁䅉䅅䅁䡁䅁䅁睁䵁䅁䅁权䡃杂䅁权慂杂䅁权剂杂䅁兂䅁䅁䅁䙙浢䅑䅕䅁䅁䵁桂欵䭁乁䡉䅁䉁䅁䅁允䅁䅁䅕積敖䱮祒䕏䵁䅉䅅䅁䡁䅁䅁睁䵁䅁䅁权䡃杂䅁权慂杂䅁权剂杂䅁兂䅁䅁䅁䡷浪䅑䅕䅁䅁䝁㥂欵䭁乁䡁䅁䉁䅁䅁允䅁䅁䅕硙䄴⭍䌹ぎ䵁䅉䅅䅁䡁䅁䅁睁䵁䅁䅁权䡃杂䅁权歂杂䅁权䉁䅁䅁兂䅁䅁䅁䡷浪䅑䅕䅁䅁䝁㥂欵䭁乁䡑䅁䉁䅁䅁允䅁䅁䅯免䅁䅁杷允䅁䅁䅣䅁䑁䅁䅷䅁䭁䥁䝣䅁䭁䝁䝉䅁䭁䙁䝅䅁䙁䅁䅁䅁䅂敢䅚兂䅁䅁䅁䡷浪䅑䅯儰䅣䅁䅅䅁䉁䅁䅁兂硂婫湰䉲摮睐杷允䅁䅁䅣䅁䑁䅁䅷䅁䭁䥁䝣䅁䭁䝁䝫䅁䭁䅁䅅䅁䙁䅁䅁䅁䅄佋䅚兂䅁䅁䅁䑉浔䅑䅯䄱䅣䅁䅅䅁䉁䅁䅁兂癃唶䉆啋硉䅑杷允䅁䅁䅣䅁䑁䅁䅷䅁䭁䥁䝣䅁䭁䙁䝯䅁䭁䙁䝅䅁䙁䅁䅁䅁䅄教䅚兂䅁䅁䅁䝑洳䅑䅯朰䅣䅁䅅䅁䉁䅁䅁兂穁噎挶䡴㑉䅑杷允䅁䅁䅣䅁䑁䅁䅷䅁䭁䥁䝣䅁䭁䙁䝯䅁䭁䙁䝅䅁䙁䅁䅁䅁䅄佋䅚兂䅁䅁䅁䑉浔䅑䅯眰䅣䅁䅅䅁䉁䅁䅁兂ぃ娹䥱汉睯䅑杷允䅁䅁䅣䅁䑁䅁䅷䅁䭁䥁䝣䅁䭁䙁䝯䅁䭁䙁䝅䅁䙁䅁䅁䅁权⭐䅚兂䅁䅁䅁䕉浶䅑䅯眰䅣䅁䅅䅁䉁䅁䅁兂䍁䕱甹䑬穑䅑杷允䅁䅁䅣䅁䑁䅁䅷䅁䭁䥁䝣䅁䭁䙁䝯䅁䭁䙁䝅䅁䙁䅁䅁䅁杂畖䅚兂䅁䅁䅁䝷浈䅑䅯眰䅣䅁䅅䅁䉁䅁䅁兂捁㌸䄰攴稰䅑杷允䅁䅁䅣䅁䑁䅁䅷䅁䭁䥁䝣䅁䭁䝁䝅䅁䭁䅁䅅䅁䙁䅁䅁䅁权⭐䅚兂䅁䅁䅁䕉浶䅑䅯朰䅣䅁䅅䅁䉁䅁䅁兂⭂丵歡ㄲ䉰䅑杷允䅁䅁䅣䅁䑁䅁䅷䅁䭁䥁䝣䅁䭁䝁䝅䅁䭁䅁䅅䅁䙁䅁䅁䅁杂畖䅚兂䅁䅁䅁䝷浈䅑䅯朰䅣䅁䅅䅁䉁䅁䅁兂ㅁ硬䵳啤䩸䅑杷允䅁䅁䅣䅁䑁䅁䅷䅁䭁䥁䝣䅁䭁䝁䝷䅁䭁䙁䝅䅁䙁䅁䅁䅁权⭐䅚兂䅁䅁䅁䕉浶䅑䅯儰䅣䅁䅅䅁䉁䅁䅁兂佄捕䭭噋䉶睐杷允䅁䅁䅣䅁䑁䅁䅷䅁䭁䥁䝣䅁䭁䙁䝯䅁䭁䙁䝅䅁䙁䅁䅁䅁䅄教䅚兂䅁䅁䅁䝑洳䅑䅯䄱䅣䅁䅅䅁䉁䅁䅁兂㕄桎橗晑で䅑杷允䅁䅁䅣䅁䑁䅁䅷䅁䭁䥁䝣䅁䭁䙁䝯䅁䭁䙁䝅䅁䙁䅁䅁䅁杁⭓䅚兂䅁䅁䅁䙙浢䅑䅯儰䅣䅁䅅䅁䉁䅁䅁兂䵃㄰啌圱硪睐杷允䅁䅁䅣䅁䑁䅁䅷䅁䭁䥁䝣䅁䭁䝁䝷䅁䭁䙁䝅䅁䙁䅁䅁䅁䅄教䅚兂䅁䅁䅁䝑洳䅑䅯儰䅣䅁䅅䅁䉁䅁䅁兂䍁奺⽌捃剢睐杷允䅁䅁䅣䅁䑁䅁䅷䅁䭁䥁䝣䅁䭁䝁䝫䅁䭁䅁䅅䅁䙁䅁䅁䅁杁⭓䅚兂䅁䅁䅁䙙浢䅑䅯儰䅣䅁䅅䅁䉁䅁䅁兂䝂㌴到㥬㜳睐杷允䅁䅁䅣䅁䑁䅁䅷䅁䭁䥁䝣䅁䭁䝁䝅䅁䭁䅁䅅䅁䙁䅁䅁䅁杁低䅚兂䅁䅁䅁䑯洯䅑䅯䄰䅣䅁䅅䅁䉁䅁䅁兂权穓な獆ㅁ䅑杷允䅁䅁䅣䅁䑁䅁䅷䅁䭁䥁䝣䅁䭁䝁䝅䅁䭁䅁䅅䅁䙁䅁䅁䅁杁⭓䅚兂䅁䅁䅁䙙浢䅑䅯䄰䅣䅁䅅䅁䉁䅁䅁兂敁橰杩慐䍸䅑杷允䅁䅁䅣䅁䑁䅁䅷䅁䭁䥁䝣䅁䭁䝁䝅䅁䭁䅁䅅䅁䙁䅁䅁䅁杂畖䅚兂䅁䅁䅁䝷浈䅑䅯䄰䅣䅁䅅䅁䉁䅁䅁兂䉃䝎䥷㔶䙸䅑杷允䅁䅁䅣䅁䑁䅁䅷䅁䭁䥁䝣䅁䭁䝁䝉䅁䭁䙁䝅䅁䙁䅁䅁䅁䅂敢䅚兂䅁䅁䅁䡷浪䅑䅯眰䅣䅁䅅䅁䉁䅁䅁兂橁欱䰷摓睑䅑杷允䅁䅁䅣䅁䑁䅁䅷䅁䭁䥁䝣䅁䭁䝁䝧䅁䭁䙁䝅䅁䙁䅁䅁䅁杁⭓䅚兂䅁䅁䅁䙙浢䅑䅯眰䅣䅁䅅䅁䉁䅁䅁兂慁坧敗支き䅑杷允䅁䅁䅣䅁䑁䅁䅷䅁䭁䥁䝣䅁䭁䝁䝧䅁䭁䙁䝅䅁䙁䅁䅁䅁杂畖䅚兂䅁䅁䅁䝷浈䅑䅯䄱䅣䅁䅅䅁䉁䅁䅁兂慄䕗⽆半㍷䅑杷允䅁䅁䅣䅁䑁䅁䅷䅁䭁䥁䝣䅁䭁䙁䜰䅁䭁䅁䅅䅁䙁䅁䅁䅁杁⭓䅚兂䅁䅁䅁䙙浢䅑䅯眰䅣䅁䅅䅁䉁䅁䅁兂㉄呦䥨䱩䩉䅑杷允䅁䅁䅣䅁䑁䅁䅷䅁䭁䥁䝣䅁䭁䙁䜰䅁䭁䅁䅅䅁䙁䅁䅁䅁䅂敢䅚兂䅁䅁䅁䡷浪䅑䅯䄱䅣䅁䅅䅁䉁䅁䅁兂睄焲乕ㅨ剕䅑杷允䅁䅁䅣䅁䑁䅁䅷䅁䭁䥁䝣䅁䭁䝁䝧䅁䭁䙁䝅䅁䙁䅁䅁䅁䅄教䅚兂䅁䅁䅁䝑洳䅑䅯儰䅣䅁䅅䅁䉁䅁䅁兂奂湨何㝖⽦睐杷允䅁䅁䅣䅁䑁䅁䅷䅁䭁䥁䝣䅁䭁䝁䝅䅁䭁䅁䅅䅁䙁䅁䅁䅁杁低䅚兂䅁䅁䅁䑯洯䅑䅯䄱䅣䅁䅅䅁䉁䅁䅁兂浃䥙稲唶ㅷ䅑杷允䅁䅁䅣䅁䑁䅁䅷䅁䭁䥁䝣䅁䭁䝁䝯䅁䭁䑁䄰䅁䙁䅁䅁䅁䅄佥䅚兂䅁䅁䅁䡙洳䅑䅯朰䅣䅁䅅䅁䉁䅁䅁兂穁敏癸椵橕䅑杷允䅁䅁䅣䅁䑁䅁䅷䅁䭁䥁䝣䅁䭁䝁䝷䅁䭁䙁䝅䅁䙁䅁䅁䅁杁低䅚兂䅁䅁䅁䑯洯䅑䅯儰䅣䅁䅅䅁䉁䅁䅁兂䱁牱呴坎䥘睐杷允䅁䅁䅣䅁䑁䅁䅷䅁䭁䥁䝣䅁䭁䝁䝅䅁䭁䅁䅅䅁䙁䅁䅁䅁杁⭓䅚兂䅁䅁䅁䙙浢䅑䅯䄱䅣䅁䅅䅁䉁䅁䅁兂呂杂漵圶䑊䅑杷允䅁䅁䅣䅁䑁䅁䅷䅁䭁䥁䝣䅁䭁䝁䝅䅁䭁䅁䅅䅁䙁䅁䅁䅁䅄教䅚兂䅁䅁䅁䝑洳䅑䅯䄱䅣䅁䅅䅁䉁䅁䅁兂乃䥮㥕昷䕚䅑杷允䅁䅁䅙䅁䑁䅁䅷䅁䭁䥁䝣䅁䭁䝁䝫䅁䭁䅁䅅䅁䙁䅁䅁䅁䅄佥䅚权婂杂䅁允䅁䅁䅅䅁䙁䙁卒㙊䩃䑳䅰䍄䉁䅁䅁睂䅁䅁䅍䅄䅁䅁䅯睨䅙䅁䅯兙䅙䅁䅯允䅁䅁䅕䅁䅁䍁ぁ欵䙁䅁䅁䅁权⭐䅚权剄睂䅁允䅁䅁䅅䅁䙁䭁敯坕慡昳⽕䍄䉁䅁䅁睂䅁䅁䅍䅄䅁䅁䅯睨䅙䅁䅯䅘䅙䅁䅯允䅁䅁䅕䅁䅁䝁坂欵䙁䅁䅁䅁䅄教䅚权呄睂䅁允䅁䅁䅅䅁䙁䥁⼴摕睭橩䅚䍄䉁䅁䅁睂䅁䅁䅍䅄䅁䅁䅯睨䅙䅁䅯兙䅙䅁䅯允䅁䅁䅕䅁䅁䭁⽁欵䙁䅁䅁䅁杁⭓䅚权剄睂䅁允䅁䅁䅅䅁䙁䉁䡘桥㡚睋䅰䍄䉁䅁䅁睂䅁䅁䅍䅄䅁䅁䅯睨䅙䅁䅯兘䅙䅁䅯允䅁䅁䅕䅁䅁䍁䱂欵䙁䅁䅁䅁杂畖䅚权卄睂䅁允䅁䅁䅅䅁䙁䕁㑇杁ㅲ䅎䄹䍄䉁䅁䅁睂䅁䅁䅍䅄䅁䅁䅯睨䅙䅁䅯睙䅙䅁䅯允䅁䅁䅕䅁䅁䍁䱂欵䙁䅁䅁䅁杂畖䅚权啄睂䅁允䅁䅁䅅䅁䙁䕁坎㍴佰樰䅨䍄䉁䅁䅁睂䅁䅁䅍䅄䅁䅁䅯睨䅙䅁䅯䅡䅙䅁䅯兕䅙䅁䅕䅁䅁䵁潁欵䙁䅁䅁䅁杁低䅚权卄睂䅁允䅁䅁䅅䅁䙁偁坫晉塦稵䅊䍄䉁䅁䅁睂䅁䅁䅍䅄䅁䅁䅯睨䅙䅁䅯䅡䅙䅁䅯兕䅙䅁䅕䅁䅁䍁䱂欵䙁䅁䅁䅁杂畖䅚权卄睂䅁允䅁䅁䅅䅁䙁乁奍䙕佤味䅨䍄䉁䅁䅁睂䅁䅁䅍䅄䅁䅁䅯睨䅙䅁䅯兘䅙䅁䅯允䅁䅁䅕䅁䅁䭁⽁欵䙁䅁䅁䅁杁⭓䅚权卄睂䅁允䅁䅁䅅䅁䙁䩁樯㡯婕睉䅸䍄䉁䅁䅁睂䅁䅁䅍䅄䅁䅁䅯睨䅙䅁䅯杚䅙䅁䅯允䅁䅁䅕䅁䅁䵁㑂欵䙁䅁䅁䅁杂敦䅚权卄睂䅁允䅁䅁䅅䅁䙁䉁睙噧㍴稯䅒䍄䉁䅁䅁睂䅁䅁䅍䅄䅁䅁䅯睨䅙䅁䅯䅡䅙䅁䅯兕䅙䅁䅕䅁䅁䍁䱂欵䙁䅁䅁䅁杂畖䅚权啄睂䅁允䅁䅁䅅䅁䙁䕁⭎牏匲積䅤䍄䉁䅁䅁睂䅁䅁䅍䅄䅁䅁䅯睨䅙䅁䅯䅡䅙䅁䅯兕䅙䅁䅕䅁䅁䍁ぁ欵䙁䅁䅁䅁权⭐䅚权剄睂䅁允䅁䅁䅅䅁䙁䝁乕晲扺⽂⽍䍄䉁䅁䅁睂䅁䅁䅍䅄䅁䅁䅯睨䅙䅁䅯䅡䅙䅁䅯兕䅙䅁䅕䅁䅁䍁䱂欵䙁䅁䅁䅁杂畖䅚权剄睂䅁允䅁䅁䅅䅁䙁䡁晗あ乂瘷⽉䍄䉁䅁䅁睂䅁䅁䅍䅄䅁䅁䅯睨䅙䅁䅯䅡䅙䅁䅯兕䅙䅁䅕䅁䅁䵁㑂欵䙁䅁䅁䅁杂敦䅚权卄睂䅁允䅁䅁䅅䅁䙁䩁⽌ㅊ⽅稰䅬䍄䉁䅁䅁睂䅁䅁䅍䅄䅁䅁䅯睨䅙䅁䅯杙䅙䅁䅯兕䅙䅁䅕䅁䅁䍁䱂欵䙁䅁䅁䅁杂畖䅚权啄睂䅁允䅁䅁䅅䅁䙁䩁硷塍昴穮䅂䍄䉁䅁䅁睂䅁䅁䅍䅄䅁䅁䅯睨䅙䅁䅯䅖䅙䅁䅯允䅁䅁䅕䅁䅁䵁桂欵䙁䅁䅁䅁䅂敢䅚权啄睂䅁允䅁䅁䅅䅁䙁䅁䰲摕慦祩䅆䍄䉁䅁䅁杂䅁䅁䅍䅄䅁䅁䅯睨䅙䅁䅯条䅙䅁䅯児䅁䅁䅕䅁䅁䵁㑂欵䭁䙁䝫䅁䉁䅁䅁允䅁䅁䅕杋䵧䌯牉歉䵁䅉䅅䅁䡁䅁䅁睁䵁䅁䅁权䡃杂䅁权噂杂䅁权䉁䅁䅁兂䅁䅁䅁䍷浪䅑䅕䅁䅁䍁ぁ欵䭁乁䡍䅁䉁䅁䅁允䅁䅁䅕穈㙆煢版歏䵁䅉䅅䅁䡁䅁䅁睁䵁䅁䅁权䡃杂䅁权啂杂䅁权䉁䅁䅁兂䅁䅁䅁䙙浢䅑䅕䅁䅁䵁桂欵䭁乁䡉䅁䉁䅁䅁允䅁䅁䅕畫偡坡椱䕊䵁䅉䅅䅁䡁䅁䅁睁䵁䅁䅁权䡃杂䅁权啂杂䅁权䉁䅁䅁兂䅁䅁䅁䑯洯䅑䅕䅁䅁䍁䱂欵䭁乁䡍䅁䉁䅁䅁允䅁䅁䅕塺婌䨶⽺歈䵁䅉䅅䅁䡁䅁䅁睁䵁䅁䅁权䡃杂䅁权啂杂䅁权䉁䅁䅁兂䅁䅁䅁䙙浢䅑䅕䅁䅁䵁桂欵䭁乁䡍䅁䉁䅁䅁允䅁䅁䅕䥰伶㕱㥈啈䵁䅉䅅䅁䡁䅁䅁睁䵁䅁䅁权䡃杂䅁权啂杂䅁权䉁䅁䅁兂䅁䅁䅁䝷浈䅑䅕䅁䅁䕁瑂欵䭁乁䡍䅁䉁䅁䅁允䅁䅁䅕橷㍖䰹䴯え䵁䅉䅅䅁䡁䅁䅁睁䵁䅁䅁权䡃杂䅁权獂杂䅁权剂杂䅁兂䅁䅁䅁䙙浢䅑䅕䅁䅁䵁桂欵䭁乁䡅䅁䉁䅁䅁允䅁䅁䅕䝈坔兦佑空䴸䅉䅅䅁䡁䅁䅁睁䵁䅁䅁权䡃杂䅁权敂杂䅁权剂杂䅁兂䅁䅁䅁䡷浪䅑䅕䅁䅁䝁㥂欵䭁乁䡑䅁䉁䅁䅁允䅁䅁䅕䭳啸㑴扢啃䵁䅉䅅䅁䡁䅁䅁睁䵁䅁䅁权䡃杂䅁权灂杂䅁权䉁䅁䅁兂䅁䅁䅁䙙浢䅑䅕䅁䅁䵁桂欵䭁乁䡅䅁䉁䅁䅁允䅁䅁䅕歪汐堹畩稫䴸䅉䅅䅁䡁䅁䅁睁䵁䅁䅁权䡃杂䅁权摂杂䅁权䉁䅁䅁兂䅁䅁䅁䑉浔䅑䅕䅁䅁䭁⽁欵䭁乁䡅䅁䉁䅁䅁允䅁䅁䅕匹剁匶獭呹䴸䅉䅅䅁䡁䅁䅁睁䵁䅁䅁权䡃杂䅁权敂杂䅁权剂杂䅁兂䅁䅁䅁䍷浪䅑䅕䅁䅁䍁ぁ欵䭁乁䡉䅁䉁䅁䅁允䅁䅁䅕敏畤䩮㍷歅䵁䅉䅅䅁䙁䅁䅁睁䵁䅁䅁权䡃杂䅁权㥂杂䅁权晁䅁䅁兂䅁䅁䅁䡙洳䅑䅅䅁䉁䅁䅁睂䅁䅁䅁䕉浶䅑杷允䅁䅁䅣䅁䑁䅁䅷䅁䭁䥁䝣䅁䭁䝁䝍䅁䭁䅁䅅䅁䙁䅁䅁䅁杂畖䅚兂䅁䅁䅁䝷浈䅑䅯朰䅣䅁䅅䅁䉁䅁䅁兂湄䱏䩣⬹㔴䅑杷允䅁䅁䅣䅁䑁䅁䅷䅁䭁䥁䝣䅁䭁䙁䝑䅁䭁䅁䅅䅁䙁䅁䅁䅁权⭐䅚兂䅁䅁䅁䕉浶䅑䅯䄱䅣䅁䅅䅁䉁䅁䅁兂ㅂ祗塉偮杫䅑杷允䅁䅁䅣䅁䑁䅁䅷䅁䭁䥁䝣䅁䭁䝁䝷䅁䭁䙁䝅䅁䙁䅁䅁䅁䅂敢䅚兂䅁䅁䅁䡷浪䅑䅯儰䅣䅁䅅䅁䉁䅁䅁兂权渵⭣䱁䅘睐杷允䅁䅁䅣䅁䑁䅁䅷䅁䭁䥁䝣䅁䭁䝁䝍䅁䭁䅁䅅䅁䙁䅁䅁䅁权⭐䅚兂䅁䅁䅁䕉浶䅑䅯朰䅣䅁䅅䅁䉁䅁䅁兂䥂場啯歲㘸䅑杷允䅁䅁䅣䅁䑁䅁䅷䅁䭁䥁䝣䅁䭁䙁䝑䅁䭁䅁䅅䅁䙁䅁䅁䅁杁⭓䅚兂䅁䅁䅁䙙浢䅑䅯儰䅣䅁䅅䅁䉁䅁䅁兂婂䙩杸橅乪睐杷允䅁䅁䅣䅁䑁䅁䅷䅁䭁䥁䝣䅁䭁䙁䝑䅁䭁䅁䅅䅁䙁䅁䅁䅁杂畖䅚兂䅁䅁䅁䝷浈䅑䅯儰䅣䅁䅅䅁䉁䅁䅁兂权ㅑ穳獱浌睐杷允䅁䅁䅣䅁䑁䅁䅷䅁䭁䥁䝣䅁䭁䝁䝯䅁䭁䑁䄰䅁䙁䅁䅁䅁权⭐䅚兂䅁䅁䅁䕉浶䅑䅯朰䅣䅁䅅䅁䉁䅁䅁兂㕂奂䥓⭡朴䅑杷允䅁䅁䅣䅁䑁䅁䅷䅁䭁䥁䝣䅁䭁䝁䝯䅁䭁䑁䄰䅁䙁䅁䅁䅁杂畖䅚兂䅁䅁䅁䝷浈䅑䅯朰䅣䅁䅅䅁䉁䅁䅁兂剂〵䉹奚桫䅑杷允䅁䅁䅣䅁䑁䅁䅷䅁䭁䥁䝣䅁䭁䙁䜰䅁䭁䅁䅅䅁䙁䅁䅁䅁䅂敢䅚兂䅁䅁䅁䡷浪䅑䅯朰䅣䅁䅅䅁䉁䅁䅁兂噄㑐歨䅹卅䅑杷允䅁䅁䅣䅁䑁䅁䅷䅁䭁䥁䝣䅁䭁䝁䝯䅁䭁䑁䄰䅁䙁䅁䅁䅁权⭐䅚兂䅁䅁䅁䕉浶䅑䅯眰䅣䅁䅅䅁䉁䅁䅁兂䵁乕煷椹摕䅑杷允䅁䅁䅣䅁䑁䅁䅷䅁䭁䥁䝣䅁䭁䝁䝯䅁䭁䑁䄰䅁䙁䅁䅁䅁䅄教䅚兂䅁䅁䅁䝑洳䅑䅯䄱䅣䅁䅅䅁䉁䅁䅁兂浄䥶䍱䅮晧䅑杷允䅁䅁䅙䅁䑁䅁䅷䅁䭁䥁䝣䅁䭁䝁䝯䅁䭁䑁䄰䅁䙁䅁䅁䅁杁⭓䅚权剄睂䅁允䅁䅁䅅䅁䙁䭁て䥰漫敢⽫䍄䉁䅁䅁杂䅁䅁䅍䅄䅁䅁䅯睨䅙䅁䅯条䅙䅁䅯児䅁䅁䅕䅁䅁䵁桂欵䭁乁䡅䅁䉁䅁䅁允䅁䅁䅕㝑䴱㠶㘱吶䴸䅉䅅䅁䝁䅁䅁睁䵁䅁䅁权䡃杂䅁权煂杂䅁权㥁䅁䅁兂䅁䅁䅁䝑洳䅑䅯儰䅣䅁䅅䅁䉁䅁䅁兂煃䤰呙乃栯睐杷允䅁䅁䅣䅁䑁䅁䅷䅁䭁䥁䝣䅁䭁䝁䝫䅁䭁䅁䅅䅁䙁䅁䅁䅁䅄佋䅚兂䅁䅁䅁䑉浔䅑䅯眰䅣䅁䅅䅁䉁䅁䅁兂㑄う橆牊睅䅑杷允䅁䅁䅣䅁䑁䅁䅷䅁䭁䥁䝣䅁䭁䝁䝑䅁䭁䅁䅅䅁䙁䅁䅁䅁䅄教䅚兂䅁䅁䅁䝑洳䅑䅯朰䅣䅁䅅䅁䉁䅁䅁权硁䅁䅁䍄䉁䅁䅁睂䅁䅁䅍䅄䅁䅁䅯睨䅙䅁䅯杘䅙䅁䅯兕䅙䅁䅕䅁䅁䭁⽁欵䙁䅁䅁䅁杁⭓䅚权剄睂䅁允䅁䅁䅅䅁䙁䑁楋楒䵦摪⽙䍄䉁䅁䅁睂䅁䅁䅍䅄䅁䅁䅯睨䅙䅁䅯䅚䅙䅁䅯允䅁䅁䅕䅁䅁䍁ぁ欵䙁䅁䅁䅁权⭐䅚权卄睂䅁允䅁䅁䅅䅁䭁䑁䅅䅁䵁䅉䅅䅁䡁䅁䅁睁䵁䅁䅁权䡃杂䅁权歂杂䅁权䉁䅁䅁兂䅁䅁䅁䕉浶䅑䅕䅁䅁䝁坂欵䭁乁䡉䅁䉁䅁䅁允䅁䅁䅯免䅁䅁杷允䅁䅁䅣䅁䑁䅁䅷䅁䭁䥁䝣䅁䭁䝁䝑䅁䭁䅁䅅䅁䙁䅁䅁䅁䅄佋䅚兂䅁䅁䅁䑉浔䅑䅯眰䅣䅁䅅䅁䉁䅁䅁权硁䅁䅁䍄䉁䅁䅁睂䅁䅁䅍䅄䅁䅁䅯睨䅙䅁䅯䅚䅙䅁䅯允䅁䅁䅕䅁䅁䝁坂欵䙁䅁䅁䅁䅄教䅚权呄睂䅁允䅁䅁䅅䅁䭁䑁䅅䅁䵁䅉䅅䅁䡁䅁䅁睁䵁䅁䅁权䡃杂䅁权歂杂䅁权䉁䅁䅁兂䅁䅁䅁䕉浶䅑䅕䅁䅁䝁坂欵䭁乁䡅䅁䉁䅁䅁允䅁䅁䅯免䅁䅁杷允䅁䅁䅣䅁䑁䅁䅷䅁䭁䥁䝣䅁䭁䝁䝑䅁䭁䅁䅅䅁䙁䅁䅁䅁䅄教䅚兂䅁䅁䅁䝑洳䅑䅯儰䅣䅁䅅䅁䉁䅁䅁权硁䅁䅁䍄䉁䅁䅁睂䅁䅁䅍䅄䅁䅁䅯睨䅙䅁䅯睙䅙䅁䅯允䅁䅁䅕䅁䅁䵁桂欵䙁䅁䅁䅁䅂敢䅚权呄睂䅁允䅁䅁䅅䅁䙁䉁扢䭰硋楪䄹䍄䉁䅁䅁睂䅁䅁䅍䅄䅁䅁䅯睨䅙䅁䅯杙䅙䅁䅯兕䅙䅁䅕䅁䅁䵁潁欵䙁䅁䅁䅁杁低䅚权啄睂䅁允䅁䅁䅅䅁䙁偁㡳⼰头礯䅤䍄䉁䅁䅁睂䅁䅁䅍䅄䅁䅁䅯睨䅙䅁䅯杙䅙䅁䅯兕䅙䅁䅕䅁䅁䵁桂欵䙁䅁䅁䅁䅂敢䅚权啄睂䅁允䅁䅁䅅䅁䙁䩁㕱摲儱卡䄹䍄䉁䅁䅁睂䅁䅁䅍䅄䅁䅁䅯睨䅙䅁䅯䅢䅙䅁䅯兕䅙䅁䅕䅁䅁䵁桂欵䙁䅁䅁䅁䅂敢䅚权卄睂䅁允䅁䅁䅅䅁䙁䝁瀹䑆䥱桗䅂䍄䉁䅁䅁睂䅁䅁䅍䅄䅁䅁䅯睨䅙䅁䅯䅘䅙䅁䅯允䅁䅁䅕䅁䅁䭁⽁欵䙁䅁䅁䅁杁⭓䅚权卄睂䅁允䅁䅁䅅䅁䙁䥁瘳ど噴橕䅸䍄䉁䅁䅁睂䅁䅁䅍䅄䅁䅁䅯睨䅙䅁䅯䅘䅙䅁䅯允䅁䅁䅕䅁䅁䵁潁欵䙁䅁䅁䅁杁低䅚权呄睂䅁允䅁䅁䅅䅁䙁䍁儳瀷楂䑊䅂䍄䉁䅁䅁睂䅁䅁䅍䅄䅁䅁䅯睨䅙䅁䅯䅘䅙䅁䅯允䅁䅁䅕䅁䅁䍁ぁ欵䙁䅁䅁䅁权⭐䅚权呄睂䅁允䅁䅁䅅䅁䙁䱁栶丸㙫䐹䅂䍄䉁䅁䅁睂䅁䅁䅍䅄䅁䅁䅯睨䅙䅁䅯䅘䅙䅁䅯允䅁䅁䅕䅁䅁䭁⽁欵䙁䅁䅁䅁杁⭓䅚权呄睂䅁允䅁䅁䅅䅁䙁佁框樲㍦穪䅒䍄䉁䅁䅁睂䅁䅁䅍䅄䅁䅁䅯睨䅙䅁䅯䅘䅙䅁䅯允䅁䅁䅕䅁䅁䍁䱂欵䙁䅁䅁䅁杂畖䅚权呄睂䅁允䅁䅁䅅䅁䙁䡁㡒䑴橨䑬䅖䍄䉁䅁䅁睂䅁䅁䅍䅄䅁䅁䅯睨䅙䅁䅯兘䅙䅁䅯允䅁䅁䅕䅁䅁䵁桂欵䙁䅁䅁䅁䅂敢䅚权剄睂䅁允䅁䅁䅅䅁䙁䙁䴶當噫丰⽉䍄䉁䅁䅁睂䅁䅁䅍䅄䅁䅁䅯睨䅙䅁䅯杘䅙䅁䅯兕䅙䅁䅕䅁䅁䍁ぁ欵䙁䅁䅁䅁权⭐䅚权剄睂䅁允䅁䅁䅅䅁䙁䥁器堵煭捶⽧䍄䉁䅁䅁睂䅁䅁䅍䅄䅁䅁䅯睨䅙䅁䅯䅘䅙䅁䅯允䅁䅁䅕䅁䅁䭁⽁欵䙁䅁䅁䅁杁⭓䅚权剄睂䅁允䅁䅁䅅䅁䙁䥁橙⽳䝷儲䅖䍄䉁䅁䅁睂䅁䅁䅍䅄䅁䅁䅯睨䅙䅁䅯䅘䅙䅁䅯允䅁䅁䅕䅁䅁䵁桂欵䙁䅁䅁䅁䅂敢䅚权剄睂䅁允䅁䅁䅅䅁䙁䩁併婉灧朹䅴䍄䉁䅁䅁睂䅁䅁䅍䅄䅁䅁䅯睨䅙䅁䅯睙䅙䅁䅯允䅁䅁䅕䅁䅁䝁坂欵䙁䅁䅁䅁䅄教䅚权啄睂䅁允䅁䅁䅅䅁䙁䩁琰䱉救橡䅤䍄䉁䅁䅁睂䅁䅁䅍䅄䅁䅁䅯睨䅙䅁䅯睙䅙䅁䅯允䅁䅁䅕䅁䅁䍁ぁ欵䙁䅁䅁䅁权⭐䅚权剄睂䅁允䅁䅁䅅䅁䙁䩁䥳敇琫公䅴䍄䉁䅁䅁睂䅁䅁䅍䅄䅁䅁䅯睨䅙䅁䅯睙䅙䅁䅯允䅁䅁䅕䅁䅁䭁⽁欵䙁䅁䅁䅁杁⭓䅚权剄睂䅁允䅁䅁䅅䅁䙁䕁剤湊䍧睪䅚䍄䉁䅁䅁睂䅁䅁䅍䅄䅁䅁䅯睨䅙䅁䅯兘䅙䅁䅯允䅁䅁䅕䅁䅁䵁桂欵䙁䅁䅁䅁䅂敢䅚权卄睂䅁允䅁䅁䅅䅁䙁偁橭䑱㍐䉣䅆䍄䉁䅁䅁睂䅁䅁䅍䅄䅁䅁䅯睨䅙䅁䅯兘䅙䅁䅯允䅁䅁䅕䅁䅁䝁坂欵䙁䅁䅁䅁䅄教䅚权剄睂䅁允䅁䅁䅅䅁䙁䕁潺嘴敊摘⽉䍄䉁䅁䅁睂䅁䅁䅍䅄䅁䅁䅯睨䅙䅁䅯䅢䅙䅁䅯兕䅙䅁䅕䅁䅁䍁䱂欵䙁䅁䅁䅁杂畖䅚权卄睂䅁允䅁䅁䅅䅁䙁䱁汈䙵⭂睇䄵䍄䉁䅁䅁睂䅁䅁䅍䅄䅁䅁䅯睨䅙䅁䅯䅢䅙䅁䅯兕䅙䅁䅕䅁䅁䍁ぁ欵䙁䅁䅁䅁权⭐䅚权啄睂䅁允䅁䅁䅅䅁䙁䥁婲獂敵睑䅚䍄䉁䅁䅁睂䅁䅁䅍䅄䅁䅁䅯睨䅙䅁䅯䅢䅙䅁䅯兕䅙䅁䅕䅁䅁䍁䱂欵䙁䅁䅁䅁杂畖䅚权啄睂䅁允䅁䅁䅅䅁䙁䵁䩖浶灖睘䅸䍄䉁䅁䅁睂䅁䅁䅍䅄䅁䅁䅯睨䅙䅁䅯兡䅙䅁䅯允䅁䅁䅕䅁䅁䍁䱂欵䙁䅁䅁䅁杂畖䅚权卄睂䅁允䅁䅁䅅䅁䙁䵁牗䝲䬲穧䅴䍄䉁䅁䅁睂䅁䅁䅍䅄䅁䅁䅯睨䅙䅁䅯兡䅙䅁䅯允䅁䅁䅕䅁䅁䍁ぁ欵䙁䅁䅁䅁权⭐䅚权啄睂䅁允䅁䅁䅅䅁䙁偁㕰㕕䭅呗䅎䍄䉁䅁䅁睂䅁䅁䅍䅄䅁䅁䅯睨䅙䅁䅯兡䅙䅁䅯允䅁䅁䅕䅁䅁䍁䱂欵䙁䅁䅁䅁杂畖䅚权啄睂䅁允䅁䅁䅅䅁䙁䩁灕椵潄䑢䅬䍄䉁䅁䅁睂䅁䅁䅍䅄䅁䅁䅯睨䅙䅁䅯兡䅙䅁䅯允䅁䅁䅕䅁䅁䵁桂欵䙁䅁䅁䅁䅂敢䅚权剄睂䅁允䅁䅁䅅䅁䙁䩁㡶㡷癷睄䅆䍄䉁䅁䅁睂䅁䅁䅍䅄䅁䅁䅯睨䅙䅁䅯杘䅙䅁䅯兕䅙䅁䅕䅁䅁䍁䱂欵䙁䅁䅁䅁杂畖䅚权卄睂䅁允䅁䅁䅅䅁䙁䉁晦䕖硄䉖䅒䍄䉁䅁䅁睂䅁䅁䅍䅄䅁䅁䅯睨䅙䅁䅯杘䅙䅁䅯兕䅙䅁䅕䅁䅁䵁潁欵䙁䅁䅁䅁杁低䅚权呄睂䅁允䅁䅁䅅䅁䙁䱁㍳㙉〵睕䅸䍄䉁䅁䅁睂䅁䅁䅍䅄䅁䅁䅯睨䅙䅁䅯杘䅙䅁䅯兕䅙䅁䅕䅁䅁䍁䱂欵䙁䅁䅁䅁杂畖䅚权呄睂䅁允䅁䅁䅅䅁䙁䑁呩灢䡱睑䅨䍄䉁䅁䅁睂䅁䅁䅍䅄䅁䅁䅯睨䅙䅁䅯䅘䅙䅁䅯允䅁䅁䅕䅁䅁䵁㑂欵䙁䅁䅁䅁杂敦䅚权剄睂䅁允䅁䅁䅅䅁䙁偁硶䉄㕃癯⽁䍄䉁䅁䅁睂䅁䅁䅍䅄䅁䅁䅯睨䅙䅁䅯杘䅙䅁䅯兕䅙䅁䅕䅁䅁䝁坂欵䙁䅁䅁䅁䅄教䅚权呄睂䅁允䅁䅁䅅䅁䙁䵁瘹䩑瑋杅䅚䍄䉁䅁䅁睂䅁䅁䅍䅄䅁䅁䅯睨䅙䅁䅯杘䅙䅁䅯兕䅙䅁䅕䅁䅁䵁桂欵䙁䅁䅁䅁䅂敢䅚权呄睂䅁允䅁䅁䅅䅁䙁䑁䔶失浵兗䅖䍄䉁䅁䅁睂䅁䅁䅍䅄䅁䅁䅯睨䅙䅁䅯杘䅙䅁䅯兕䅙䅁䅕䅁䅁䝁坂欵䙁䅁䅁䅁䅄教䅚权啄睂䅁允䅁䅁䅅䅁䙁䍁䙙睡㑹眵䅰䍄䉁䅁䅁睂䅁䅁䅍䅄䅁䅁䅯睨䅙䅁䅯䅕䅙䅁䅯兕䅙䅁䅕䅁䅁䕁瑂欵䙁䅁䅁䅁䅄佥䅚权啄睂䅁允䅁䅁䅅䅁䙁䥁䝃晋䰳硗䅎䍄䉁䅁䅁睂䅁䅁䅍䅄䅁䅁䅯睨䅙䅁䅯杖䅙䅁䅯允䅁䅁䅕䅁䅁䕁瑂欵䙁䅁䅁䅁䅄佥䅚权卄睂䅁允䅁䅁䅅䅁䙁䙁牃䄶丯䉌䅖䍄䉁䅁䅁睂䅁䅁䅍䅄䅁䅁䅯睨䅙䅁䅯䅚䅙䅁䅯允䅁䅁䅕䅁䅁䕁瑂欵䙁䅁䅁䅁䅄佥䅚权卄睂䅁允䅁䅁䅅䅁䭁䑁䅅䅁䵁䅉䅅䅁䡁䅁䅁睁䵁䅁䅁权䡃杂䅁权潂杂䅁权剂杂䅁兂䅁䅁䅁䝑洳䅑䅕䅁䅁䵁㑂欵䭁乁䡉䅁䉁䅁䅁允䅁䅁䅕祪䑒敵愰歏䵁䅉䅅䅁䡁䅁䅁睁䵁䅁䅁权䡃杂䅁权捂杂䅁权䉁䅁䅁兂䅁䅁䅁䝑洳䅑䅕䅁䅁䵁㑂欵䭁乁䡅䅁䉁䅁䅁允䅁䅁䅕楯䭹偦戵啁䵁䅉䅅䅁䝁䅁䅁睁䵁䅁䅁权䡃杂䅁权煂杂䅁权㥁䅁䅁兂䅁䅁䅁䡙洳䅑䅯儰䅣䅁䅅䅁䉁䅁䅁权硁䅁䅁䍄䉁䅁䅁睂䅁䅁䅍䅄䅁䅁䅯睨䅙䅁䅯杚䅙䅁䅯允䅁䅁䅕䅁䅁䕁瑂欵䙁䅁䅁䅁䅄佥䅚权啄睂䅁允䅁䅁䅅䅁䙁偁晪湓獚䑬䅒䍄䉁䅁䅁杂䅁䅁䅍䅄䅁䅁䅯睨䅙䅁䅯杙䅙䅁䅯兕䅙䅁䅕䅁䅁䵁㑂欵䭁䙁䝫䅁䉁䅁䅁允䅁䅁䅕㈴⭰牙㤹啍䵁䅉䅅䅁䡁䅁䅁睁䵁䅁䅁权䡃杂䅁权坂杂䅁权䉁䅁䅁兂䅁䅁䅁䝑洳䅑䅕䅁䅁䵁㑂欵䭁乁䡅䅁䉁䅁䅁允䅁䅁䅕䵉硩㌵䥎䑷䴸䅉䅅䅁䡁䅁䅁睁䵁䅁䅁权䡃杂䅁权時杂䅁权剂杂䅁兂䅁䅁䅁䝑洳䅑䅕䅁䅁䵁㑂欵䭁乁䡅䅁䉁䅁䅁允䅁䅁䅕猶昷晏儴樱䴸䅉䅅䅁䡁䅁䅁睁䵁䅁䅁权䡃杂䅁权啂杂䅁权䉁䅁䅁兂䅁䅁䅁䝑洳䅑䅕䅁䅁䵁㑂欵䭁乁䡁䅁䉁䅁䅁允䅁䅁䅕偈䥎乮夰䕊䵁䅉䅅䅁䡁䅁䅁睁䵁䅁䅁权䡃杂䅁权兂杂䅁权剂杂䅁兂䅁䅁䅁䝑洳䅑䅕䅁䅁䵁㑂欵䭁乁䡁䅁䉁䅁䅁允䅁䅁䅕慬慙圶癑ぅ䵁䅉䅅䅁䡁䅁䅁睁䵁䅁䅁权䡃杂䅁权時杂䅁权剂杂䅁兂䅁䅁䅁䝑洳䅑䅕䅁䅁䵁㑂欵䭁乁䡁䅁䉁䅁䅁允䅁䅁䅕久捌呶灒啍䵁䅉䅅䅁䡁䅁䅁睁䵁䅁䅁权䡃杂䅁权兂杂䅁权剂杂䅁兂䅁䅁䅁䝑洳䅑䅕䅁䅁䵁㑂欵䭁乁䡍䅁䉁䅁䅁允䅁䅁䅕稳氹䠳婫歅䵁䅉䅅䅁䡁䅁䅁睁䵁䅁䅁权䡃杂䅁权橂杂䅁权䉁䅁䅁兂䅁䅁䅁䡷浪䅑䅕䅁䅁䝁㥂欵䭁乁䡉䅁䉁䅁䅁允䅁䅁䅕摓㑶㕅剘䕏䵁䅉䅅䅁䡁䅁䅁睁䵁䅁䅁权䡃杂䅁权捂杂䅁权䉁䅁䅁兂䅁䅁䅁䝑洳䅑䅕䅁䅁䵁㑂欵䭁乁䡑䅁䉁䅁䅁允䅁䅁䅕乒礵圹牐問䵁䅉䅅䅁䡁䅁䅁睁䵁䅁䅁权䡃杂䅁权兂杂䅁权剂杂䅁兂䅁䅁䅁䝑洳䅑䅕䅁䅁䵁㑂欵䭁乁䡅䅁䉁䅁䅁允䅁䅁䅕瑡爫坸䑶究䴸䅉䅅䅁䝁䅁䅁睁䵁䅁䅁权䡃杂䅁权歂杂䅁权䉁䅁䅁兂䅁䅁䅁䡷浪䅑䅯兗䅙䅁䅅䅁䉁䅁䅁权求杂䅁䍄䉁䅁䅁睂䅁䅁䅍䅄䅁䅁䅯睨䅙䅁䅯䅡䅙䅁䅯兕䅙䅁䅕䅁䅁䵁㑂欵䙁䅁䅁䅁杂敦䅚权兄睂䅁允䅁䅁䅅䅁䙁䡁䬹硬椹橭䅨䍄䉁䅁䅁睂䅁䅁䅍䅄䅁䅁䅯睨䅙䅁䅯杚䅙䅁䅯允䅁䅁䅕䅁䅁䕁瑂欵䙁䅁䅁䅁䅄佥䅚权兄睂䅁允䅁䅁䅅䅁䙁䱁㥚塅㕁䑨䅒䍄䉁䅁䅁睂䅁䅁䅍䅄䅁䅁䅯睨䅙䅁䅯兖䅙䅁䅯允䅁䅁䅕䅁䅁䕁瑂欵䙁䅁䅁䅁䅄佥䅚权剄睂䅁允䅁䅁䅅䅁䙁䱁灷䑩䑱⬯⼴䍄䉁䅁䅁睂䅁䅁䅍䅄䅁䅁䅯睨䅙䅁䅯䅘䅙䅁䅯允䅁䅁䅕䅁䅁䕁瑂欵䙁䅁䅁䅁䅄佥䅚权呄睂䅁允䅁䅁䅅䅁䙁䩁䥙偖朸橯䅒䍄䉁䅁䅁睂䅁䅁䅍䅄䅁䅁䅯睨䅙䅁䅯䅖䅙䅁䅯允䅁䅁䅕䅁䅁䕁瑂欵䙁䅁䅁䅁䅄佥䅚权啄睂䅁允䅁䅁䅅䅁䙁䝁敁畍䑖䍕䅒䍄䉁䅁䅁睂䅁䅁䅍䅄䅁䅁䅯睨䅙䅁䅯条䅙䅁䅯児䅁䅁䅕䅁䅁䕁瑂欵䙁䅁䅁䅁䅄佥䅚权卄睂䅁允䅁䅁䅅䅁䙁䑁奎婲䨸䍕䅎䍄䉁䅁䅁睂䅁䅁䅍䅄䅁䅁䅯睨䅙䅁䅯条䅙䅁䅯児䅁䅁䅕䅁䅁䵁潁欵䙁䅁䅁䅁杁低䅚权剄睂䅁允䅁䅁䅅䅁䙁䕁啁は㥋瑰⽉䍄䉁䅁䅁睂䅁䅁䅍䅄䅁䅁䅯睨䅙䅁䅯睘䅙䅁䅯兕䅙䅁䅕䅁䅁䕁瑂欵䙁䅁䅁䅁䅄佥䅚权呄睂䅁允䅁䅁䅅䅁䙁佁桅畫䭩呩䅂䍄䉁䅁䅁睂䅁䅁䅍䅄䅁䅁䅯睨䅙䅁䅯兡䅙䅁䅯允䅁䅁䅕䅁䅁䕁瑂欵䙁䅁䅁䅁䅄佥䅚权呄睂䅁允䅁䅁䅅䅁䙁䕁扚啬㉔呲䅬䍄䉁䅁䅁睂䅁䅁䅍䅄䅁䅁䅯睨䅙䅁䅯睘䅙䅁䅯兕䅙䅁䅕䅁䅁䕁瑂欵䙁䅁䅁䅁䅄佥䅚权啄睂䅁允䅁䅁䅅䅁䙁䉁⭪㥄㡔呧䅆䍄䉁䅁䅁睂䅁䅁䅍䅄䅁䅁䅯睨䅙䅁䅯兙䅙䅁䅯允䅁䅁䅕䅁䅁䕁瑂欵䙁䅁䅁䅁䅄佥䅚权剄睂䅁允䅁䅁䅅䅁䙁䡁塶㕬䑹砳䅂䍄䉁䅁䅁杂䅁䅁䅍䅄䅁䅁䅯睨䅙䅁䅯䅗䅙䅁䅯允䅁䅁䅕䅁䅁䵁㑂欵䭁䙁䝫䅁䉁䅁䅁允䅁䅁䅕㑥睚䱺⽊䕐䵁䅉䅅䅁䝁䅁䅁睁䵁䅁䅁权䡃杂䅁权敂杂䅁权剂杂䅁兂䅁䅁䅁䡷浪䅑䅯兗䅙䅁䅅䅁䉁䅁䅁兂乂畔䅥橸䩯䅑杷允䅁䅁䅣䅁䑁䅁䅷䅁䭁䥁䝣䅁䭁䙁䝯䅁䭁䙁䝅䅁䙁䅁䅁䅁䅂敢䅚兂䅁䅁䅁䡷浪䅑䅯䄰䅣䅁䅅䅁䉁䅁䅁兂䕁整獂奋㍯䅑杷允䅁䅁䅣䅁䑁䅁䅷䅁䭁䥁䝣䅁䭁䙁䜴䅁䭁䙁䝅䅁䙁䅁䅁䅁䅂敢䅚兂䅁䅁䅁䡷浪䅑䅯儰䅣䅁䅅䅁䉁䅁䅁兂敃癙晇位䩌睐杷允䅁䅁䅣䅁䑁䅁䅷䅁䭁䥁䝣䅁䭁䙁䝯䅁䭁䙁䝅䅁䙁䅁䅁䅁䅂敢䅚兂䅁䅁䅁䡷浪䅑䅯䄱䅣䅁䅅䅁䉁䅁䅁兂楁穗塡䭉㍕䅑杷允䅁䅁䅣䅁䑁䅁䅷䅁䭁䥁䝣䅁䭁䙁䝕䅁䭁䅁䅅䅁䙁䅁䅁䅁䅂敢䅚兂䅁䅁䅁䡷浪䅑䅯朰䅣䅁䅅䅁䉁䅁䅁兂⽃煮娹癌䝴䅑杷允䅁䅁䅣䅁䑁䅁䅷䅁䭁䥁䝣䅁䭁䝁䝷䅁䭁䙁䝅䅁䙁䅁䅁䅁䅂敢䅚兂䅁䅁䅁䡷浪䅑䅯眰䅣䅁䅅䅁䉁䅁䅁兂偃噕䄵样位䅑杷允䅁䅁䅙䅁䑁䅁䅷䅁䭁䥁䝣䅁䭁䙁䝯䅁䭁䙁䝅䅁䙁䅁䅁䅁䅄佥䅚权婂杂䅁允䅁䅁䅅䅁䙁䍁楸塷ぐ穈䅤䍄䉁䅁䅁睂䅁䅁䅍䅄䅁䅁䅯睨䅙䅁䅯䅖䅙䅁䅯允䅁䅁䅕䅁䅁䵁㑂欵䙁䅁䅁䅁杂敦䅚权呄睂䅁允䅁䅁䅅䅁䙁乁剧㉨杷卬䅂䍄䉁䅁䅁睂䅁䅁䅍䅄䅁䅁䅯睨䅙䅁䅯䅡䅙䅁䅯兕䅙䅁䅕䅁䅁䕁瑂欵䙁䅁䅁䅁䅄佥䅚权剄睂䅁允䅁䅁䅅䅁䙁䩁兴䝋慂敊⽑䍄䉁䅁䅁睂䅁䅁䅍䅄䅁䅁䅯睨䅙䅁䅯兙䅙䅁䅯允䅁䅁䅕䅁䅁䕁瑂欵䙁䅁䅁䅁䅄佥䅚权卄睂䅁允䅁䅁䅅䅁䙁䵁礱攲捩へ䅤䍄䉁䅁䅁睂䅁䅁䅍䅄䅁䅁䅯睨䅙䅁䅯兙䅙䅁䅯允䅁䅁䅕䅁䅁䕁瑂欵䙁䅁䅁䅁䅄佥䅚权啄睂䅁允䅁䅁䅅䅁䙁䱁䩔娴低歡䅊䍄䉁䅁䅁睂䅁䅁䅍䅄䅁䅁䅯睨䅙䅁䅯䅡䅙䅁䅯兕䅙䅁䅕䅁䅁䕁瑂欵䙁䅁䅁䅁䅄佥䅚权兄睂䅁允䅁䅁䅅䅁䙁䅁䱍浣づ樯䅨䍄䉁䅁䅁杂䅁䅁䅍䅄䅁䅁䅯睨䅙䅁䅯䅡䅙䅁䅯兕䅙䅁䅕䅁䅁䵁㑂欵䭁䙁䝫䅁䉁䅁䅁允䅁䅁䅕橱䉚卆⽸䕏䵁䅉䅅䅁䡁䅁䅁睁䵁䅁䅁权䡃杂䅁权灂杂䅁权䉁䅁䅁兂䅁䅁䅁䝑洳䅑䅕䅁䅁䵁㑂欵䭁乁䡑䅁䉁䅁䅁允䅁䅁䅕癰䱅祲硒く䵁䅉䅅䅁䡁䅁䅁睁䵁䅁䅁权䡃杂䅁权潂杂䅁权剂杂䅁兂䅁䅁䅁䝑洳䅑䅕䅁䅁䵁㑂欵䭁乁䡑䅁䉁䅁䅁允䅁䅁䅕捣漸桭爰問䵁䅉䅅䅁䡁䅁䅁睁䵁䅁䅁权䡃杂䅁权歂杂䅁权䉁䅁䅁兂䅁䅁䅁䝑洳䅑䅕䅁䅁䵁㑂欵䭁乁䡑䅁䉁䅁䅁允䅁䅁䅯免䅁䅁杷允䅁䅁䅣䅁䑁䅁䅷䅁䭁䥁䝣䅁䭁䙁䝕䅁䭁䅁䅅䅁䙁䅁䅁䅁䅂敢䅚兂䅁䅁䅁䡷浪䅑䅯眰䅣䅁䅅䅁䉁䅁䅁兂䅄祉啰㡎䕴䅑杷允䅁䅁䅙䅁䑁䅁䅷䅁䭁䥁䝣䅁䭁䙁䝑䅁䭁䅁䅅䅁䙁䅁䅁䅁䅄佥䅚权婂杂䅁允䅁䅁䅅䅁䙁䅁敧㤳ㄴ䌲䅎䍄䉁䅁䅁睂䅁䅁䅍䅄䅁䅁䅯睨䅙䅁䅯䅖䅙䅁䅯允䅁䅁䅕䅁䅁䕁瑂欵䙁䅁䅁䅁䅄佥䅚权剄睂䅁允䅁䅁䅅䅁䙁䍁奕湍䙃㥧⽕䍄䉁䅁䅁兂䅁䅁䅍䅄䅁䅁䅯睨䅙䅁䅯杤䅙䅁䅯䅄䅁䅁䅕䅁䅁䝁㥂欵䉁䅁䅁允䅁䅁䅯儲䅣䅁杷允䅁䅁䅣䅁䑁䅁䅷䅁䭁䥁䝣䅁䭁䝁䝯䅁䭁䑁䄰䅁䙁䅁䅁䅁䅂敢䅚兂䅁䅁䅁䡷浪䅑䅯䄰䅣䅁䅅䅁䉁䅁䅁兂浂挹乎は楷䅑杷允䅁䅁䅣䅁䑁䅁䅷䅁䭁䥁䝣䅁䭁䝁䝉䅁䭁䙁䝅䅁䙁䅁䅁䅁䅂敢䅚兂䅁䅁䅁䡷浪䅑䅯䄰䅣䅁䅅䅁䉁䅁䅁兂汃潌含瑣硍䅑杷允䅁䅁䅣䅁䑁䅁䅷䅁䭁䥁䝣䅁䭁䝁䝉䅁䭁䙁䝅䅁䙁䅁䅁䅁䅂敢䅚兂䅁䅁䅁䡷浪䅑䅯䄱䅣䅁䅅䅁䉁䅁䅁兂䥄䕮乬癕硕䅑杷允䅁䅁䅣䅁䑁䅁䅷䅁䭁䥁䝣䅁䭁䝁䝍䅁䭁䅁䅅䅁䙁䅁䅁䅁䅂敢䅚兂䅁䅁䅁䡷浪䅑䅯䄱䅣䅁䅅䅁䉁䅁䅁兂汄儷湩剂㑳䅑杷允䅁䅁䅣䅁䑁䅁䅷䅁䭁䥁䝣䅁䭁䙁䝷䅁䭁䅁䅅䅁䙁䅁䅁䅁䅂敢䅚兂䅁䅁䅁䡷浪䅑䅯䄰䅣䅁䅅䅁䉁䅁䅁兂奁⭮䤱捓㑯䅑杷允䅁䅁䅣䅁䑁䅁䅷䅁䭁䥁䝣䅁䭁䝁䝍䅁䭁䅁䅅䅁䙁䅁䅁䅁䅂敢䅚兂䅁䅁䅁䡷浪䅑䅯䄰䅣䅁䅅䅁䉁䅁䅁兂䵁䭗㥲敶㉷䅑杷允䅁䅁䅣䅁䑁䅁䅷䅁䭁䥁䝣䅁䭁䝁䝍䅁䭁䅁䅅䅁䙁䅁䅁䅁䅂敢䅚兂䅁䅁䅁䡷浪䅑䅯朰䅣䅁䅅䅁䉁䅁䅁兂扁娲块八㕯䅑杷允䅁䅁䅣䅁䑁䅁䅷䅁䭁䥁䝣䅁䭁䝁䝫䅁䭁䅁䅅䅁䙁䅁䅁䅁䅂敢䅚兂䅁䅁䅁䡷浪䅑䅯䄰䅣䅁䅅䅁䉁䅁䅁兂剃㕶㝥汊㝑䅑杷允䅁䅁䅣䅁䑁䅁䅷䅁䭁䥁䝣䅁䭁䙁䜰䅁䭁䅁䅅䅁䙁䅁䅁䅁䅂敢䅚兂䅁䅁䅁䡷浪䅑䅯䄰䅣䅁䅅䅁䉁䅁䅁兂䵁湵塍祆到䅑杷允䅁䅁䅣䅁䑁䅁䅷䅁䭁䥁䝣䅁䭁䙁䜰䅁䭁䅁䅅䅁䙁䅁䅁䅁䅂敢䅚兂䅁䅁䅁䡷浪䅑䅯眰䅣䅁䅅䅁䉁䅁䅁兂䙃穗匶杫儴䅑杷允䅁䅁䅣䅁䑁䅁䅷䅁䭁䥁䝣䅁䭁䝁䝷䅁䭁䙁䝅䅁䙁䅁䅁䅁䅂敢䅚兂䅁䅁䅁䡷浪䅑䅯䄰䅣䅁䅅䅁䉁䅁䅁兂㍂捐收祦儴䅑杷允䅁䅁䅣䅁䑁䅁䅷䅁䭁䥁䝣䅁䭁䙁䜴䅁䭁䙁䝅䅁䙁䅁䅁䅁䅂敢䅚兂䅁䅁䅁䡷浪䅑䅯朰䅣䅁䅅䅁䉁䅁䅁兂㕂祚晘煬佣䅑杷允䅁䅁䅣䅁䑁䅁䅷䅁䭁䥁䝣䅁䭁䝁䝫䅁䭁䅁䅅䅁䙁䅁䅁䅁䅂敢䅚兂䅁䅁䅁䡷浪䅑䅯儰䅣䅁䅅䅁䉁䅁䅁兂䕂㝉坦っ橢睐杷允䅁䅁䅣䅁䑁䅁䅷䅁䭁䥁䝣䅁䭁䙁䜴䅁䭁䙁䝅䅁䙁䅁䅁䅁䅂敢䅚兂䅁䅁䅁䡷浪䅑䅯眰䅣䅁䅅䅁䉁䅁䅁兂乂畔䅥橸䩯䅑杷允䅁䅁䅙䅁䑁䅁䅷䅁䭁䥁䝣䅁䭁䙁䝯䅁䭁䙁䝅䅁䙁䅁䅁䅁杂敦䅚权婂杂䅁允䅁䅁䅅䅁䭁䑁䅅䅁䵁䅉䅅䅁䙁䅁䅁睁䵁䅁䅁权䡃杂䅁权塃睂䅁兂䅁䅁䅁䙉浌䅑䅯睭䅧䅁䅅䅁䉁䅁䅁兂䅁䅁䅁䉁睸䅑杷允䅁䅁䅕䅁䑁䅁䅷䅁䭁䥁䝣䅁䭁䩁䡣䅁䙁䅁䅁䅁杂敗䅚权扃䅃䅁允䅁䅁䅅䅁䙁䵁ㅐ䙋偹浱䅸䍄䉁䅁䅁兂䅁䅁䅍䅄䅁䅁䅯睨䅙䅁䅯杆䅁䅁䅕䅁䅁䝁䑂欵䭁䙁䝫䅁䉁䅁䅁允䅁䉁䅑偉捣睎䅁䅁䵁䅉䅅䅁䙁䅁䅁睁䵁䅁䅁权䡃杂䅁权坁䅁䅁兂䅁䅁䅁䙙浮䅑䅯兗䅙䅁䅅䅁䉁䅁䅁䅆時㉤㍕䅁䅁䅁杷允䅁䅁䅣䅁䑁䅁䅷䅁䭁䥁䝣䅁䭁䝁䝅䅁䭁䅁䅅䅁䙁䅁䅁䅁䅄佥䅚兂䅁䅁䅁䡙洳䅑䅯䄱䅣䅁䅅䅁䉁䅁䅁兂祄㜰㍧㙶䉎䅑杷允䅁䅁䅣䅁䑁䅁䅷䅁䭁䥁䝣䅁䭁䝁䝑䅁䭁䅁䅅䅁䙁䅁䅁䅁䅄佥䅚兂䅁䅁䅁䡙洳䅑䅯䄰䅣䅁䅅䅁䉁䅁䅁权硁䅁䅁䍄䉁䅁䅁杂䅁䅁䅍䅄䅁䅁䅯睨䅙䅁䅯兘䅙䅁䅯允䅁䅁䅕䅁䅁䝁㥂欵䭁䙁䝫䅁䉁䅁䅁允䅁䅁䅕塩塹灕䵣䕅䵁䅉䅅䅁䡁䅁䅁睁䵁䅁䅁权䡃杂䅁权潂杂䅁权剂杂䅁兂䅁䅁䅁䡷浪䅑䅕䅁䅁䝁㥂欵䭁乁䡍䅁䉁䅁䅁允䅁䅁䅕呍㔱煓䥊ぎ䵁䅉䅅䅁䡁䅁䅁睁䵁䅁䅁权䡃杂䅁权桂杂䅁权䉁䅁䅁兂䅁䅁䅁䡷浪䅑䅕䅁䅁䝁㥂欵䭁乁䡁䅁䉁䅁䅁允䅁䅁䅕⽵癰慌楹䕑䵁䅉䅅䅁䝁䅁䅁睁䵁䅁䅁权䡃杂䅁权㑃睂䅁权㙃睂䅁兂䅁䅁䅁䡙洳䅑䅯䅶䅣䅁䅅䅁䉁䅁䅁睂䅁䅁䅁䙉浌䅑杷允䅁䅁䅕䅁䑁䅁䅷䅁䭁䥁䝣䅁䭁䉁䅙䅁䭁䍁䅅䅁䭁䙁䝫䅁䉁䅁䅁允䅁䉁䅑畚㈲睎䅁䅁䵁䅉䅅䅁䙁䅁䅁睁䵁䅁䅁权䡃杂䅁权塃睂䅁权桁䅁䅁权扃䅃䅁允䅁䅁䅅䅁䙁䅁塲㍯㥁湈䅊䍄䉁䅁䅁睂䅁䅁䅍䅄䅁䅁䅯睨䅙䅁䅯睘䅙䅁䅯兕䅙䅁䅕䅁䅁䵁㑂欵䙁䅁䅁䅁杂敦䅚权卄睂䅁允䅁䅁䅅䅁䙁偁吶牑獯呰䅆䍄䉁䅁䅁兂䅁䅁䅍䅄䅁䅁䅯睨䅙䅁䅯䅳䅧䅁䅯睲䅧䅁䅕䅁䅁䝁㥂欵䉁䅁䅁允䅁䅁䅯关䅧䅁杷允䅁䅁䅣䅁䑁䅁䅷䅁䭁䥁䝣䅁䭁䙁䝙䅁䭁䅁䅅䅁䙁䅁䅁䅁䅄佥䅚兂䅁䅁䅁䡙洳䅑䅯朰䅣䅁䅅䅁䉁䅁䅁兂い坱噏朰噍䅑杷允䅁䅁䅣䅁䑁䅁䅷䅁䭁䥁䝣䅁䭁䙁䝧䅁䭁䅁䅅䅁䙁䅁䅁䅁䅄佥䅚兂䅁䅁䅁䡙洳䅑䅯䄱䅣䅁䅅䅁䉁䅁䅁兂婁穎兘䥦㡯䅑杷允䅁䅁䅣䅁䑁䅁䅷䅁䭁䥁䝣䅁䭁䙁䝙䅁䭁䅁䅅䅁䙁䅁䅁䅁䅄佥䅚兂䅁䅁䅁䡙洳䅑䅯眰䅣䅁䅅䅁䉁䅁䅁兂歂啳焰癇即䅑杷允䅁䅁䅣䅁䑁䅁䅷䅁䭁䥁䝣䅁䭁䙁䝙䅁䭁䅁䅅䅁䙁䅁䅁䅁䅄佥䅚兂䅁䅁䅁䡙洳䅑䅯儰䅣䅁䅅䅁䉁䅁䅁兂慄䑊䭌䩖䅄睐杷允䅁䅁䅣䅁䑁䅁䅷䅁䭁䥁䝣䅁䭁䙁䝁䅁䭁䙁䝅䅁䙁䅁䅁䅁䅄佥䅚兂䅁䅁䅁䡙洳䅑䅯朰䅣䅁䅅䅁䉁䅁䅁兂剄浧坆䴸呷䅑杷允䅁䅁䅙䅁䑁䅁䅷䅁䭁䥁䝣䅁䭁䙁䝁䅁䭁䙁䝅䅁䙁䅁䅁䅁杂敦䅚权婂杂䅁允䅁䅁䅅䅁䭁䑁䅅䅁䵁䅉䅅䅁䡁䅁䅁睁䵁䅁䅁权䡃杂䅁权兂杂䅁权剂杂䅁兂䅁䅁䅁䡷浪䅑䅕䅁䅁䝁㥂欵䭁乁䡑䅁䉁䅁䅁允䅁䅁䅕湕㙁昲畺歅䵁䅉䅅䅁䡁䅁䅁睁䵁䅁䅁权䡃杂䅁权時杂䅁权剂杂䅁兂䅁䅁䅁䡷浪䅑䅕䅁䅁䝁㥂欵䭁乁䡁䅁䉁䅁䅁允䅁䅁䅕䥳呚䵦穈䕍䵁䅉䅅䅁䝁䅁䅁睁䵁䅁䅁权䡃杂䅁权時杂䅁权剂杂䅁兂䅁䅁䅁䡙洳䅑䅯兗䅙䅁䅅䅁䉁䅁䅁权硁䅁䅁䍄䉁䅁䅁睂䅁䅁䅍䅄䅁䅁䅯睨䅙䅁䅯睘䅙䅁䅯兕䅙䅁䅕䅁䅁䵁㑂欵䙁䅁䅁䅁杂敦䅚权啄睂䅁允䅁䅁䅅䅁䙁䡁癋戹扨䐫䅂䍄䉁䅁䅁睂䅁䅁䅍䅄䅁䅁䅯睨䅙䅁䅯杗䅙䅁䅯兕䅙䅁䅕䅁䅁䵁㑂欵䙁䅁䅁䅁杂敦䅚权卄睂䅁允䅁䅁䅅䅁䙁䕁睩䉁穙穑䅨䍄䉁䅁䅁睂䅁䅁䅍䅄䅁䅁䅯睨䅙䅁䅯䅗䅙䅁䅯允䅁䅁䅕䅁䅁䵁㑂欵䙁䅁䅁䅁杂敦䅚权剄睂䅁允䅁䅁䅅䅁䙁乁䵌㄰㥦⭸⽑䍄䉁䅁䅁睂䅁䅁䅍䅄䅁䅁䅯睨䅙䅁䅯杗䅙䅁䅯兕䅙䅁䅕䅁䅁䵁㑂欵䙁䅁䅁䅁杂敦䅚权呄睂䅁允䅁䅁䅅䅁䙁䉁敐煲癊樯䅖䍄䉁䅁䅁睂䅁䅁䅍䅄䅁䅁䅯睨䅙䅁䅯杗䅙䅁䅯兕䅙䅁䅕䅁䅁䵁㑂欵䙁䅁䅁䅁杂敦䅚权啄睂䅁允䅁䅁䅅䅁䙁䍁潁䵸摉橉䅤䍄䉁䅁䅁睂䅁䅁䅍䅄䅁䅁䅯睨䅙䅁䅯兙䅙䅁䅯允䅁䅁䅕䅁䅁䵁㑂欵䙁䅁䅁䅁杂敦䅚权卄睂䅁允䅁䅁䅅䅁䙁䙁瑖㡎㍅ぱ䅊䍄䉁䅁䅁杂䅁䅁䅍䅄䅁䅁䅯睨䅙䅁䅯兙䅙䅁䅯允䅁䅁䅕䅁䅁䝁㥂欵䭁䙁䝫䅁䉁䅁䅁允䅁䅁䅕潴前眫㑔問䵁䅉䅅䅁䝁䅁䅁睁䵁䅁䅁权䡃杂䅁权潂杂䅁权剂杂䅁兂䅁䅁䅁䡙洳䅑䅯兗䅙䅁䅅䅁䉁䅁䅁权硁䅁䅁䍄䉁䅁䅁睂䅁䅁䅍䅄䅁䅁䅯睨䅙䅁䅯睙䅙䅁䅯允䅁䅁䅕䅁䅁䵁㑂欵䙁䅁䅁䅁杂敦䅚权啄睂䅁允䅁䅁䅅䅁䙁䉁⬷煭剸穣䅤䍄䉁䅁䅁睂䅁䅁䅍䅄䅁䅁䅯睨䅙䅁䅯䅡䅙䅁䅯兕䅙䅁䅕䅁䅁䵁㑂欵䙁䅁䅁䅁杂敦䅚权剄睂䅁允䅁䅁䅅䅁䙁乁䕇剡䉗界⽍䍄䉁䅁䅁睂䅁䅁䅍䅄䅁䅁䅯睨䅙䅁䅯兖䅙䅁䅯允䅁䅁䅕䅁䅁䵁㑂欵䙁䅁䅁䅁杂敦䅚权兄睂䅁允䅁䅁䅅䅁䙁䱁楯㍙佴䔴䅖䍄䉁䅁䅁睂䅁䅁䅍䅄䅁䅁䅯睨䅙䅁䅯兖䅙䅁䅯允䅁䅁䅕䅁䅁䵁㑂欵䙁䅁䅁䅁杂敦䅚权卄睂䅁允䅁䅁䅅䅁䙁䑁䌸⽦㕪え䅤䍄䉁䅁䅁睂䅁䅁䅍䅄䅁䅁䅯睨䅙䅁䅯兖䅙䅁䅯允䅁䅁䅕䅁䅁䵁㑂欵䙁䅁䅁䅁杂敦䅚权呄睂䅁允䅁䅁䅅䅁䙁䙁㡴潃硄䕐䅖䍄䉁䅁䅁睂䅁䅁䅍䅄䅁䅁䅯睨䅙䅁䅯兘䅙䅁䅯允䅁䅁䅕䅁䅁䵁㑂欵䙁䅁䅁䅁杂敦䅚权卄睂䅁允䅁䅁䅅䅁䙁䡁⭫⭁乲䈲䅆䍄䉁䅁䅁睂䅁䅁䅍䅄䅁䅁䅯睨䅙䅁䅯兖䅙䅁䅯允䅁䅁䅕䅁䅁䵁㑂欵䙁䅁䅁䅁杂敦䅚权剄睂䅁允䅁䅁䅅䅁䙁乁穔㙡坖偓⽅䍄䉁䅁䅁睂䅁䅁䅍䅄䅁䅁䅯睨䅙䅁䅯兖䅙䅁䅯允䅁䅁䅕䅁䅁䵁㑂欵䙁䅁䅁䅁杂敦䅚权啄睂䅁允䅁䅁䅅䅁䙁䡁塩⽩佨歰䅖䍄䉁䅁䅁睂䅁䅁䅍䅄䅁䅁䅯睨䅙䅁䅯䅖䅙䅁䅯允䅁䅁䅕䅁䅁䵁㑂欵䙁䅁䅁䅁杂敦䅚权卄睂䅁允䅁䅁䅅䅁䙁䩁奮䙦扷椶䅒䍄䉁䅁䅁睂䅁䅁䅍䅄䅁䅁䅯睨䅙䅁䅯䅖䅙䅁䅯允䅁䅁䅕䅁䅁䵁㑂欵䙁䅁䅁䅁杂敦䅚权剄睂䅁允䅁䅁䅅䅁䙁䉁奓噘煘佄⽙䍄䉁䅁䅁睂䅁䅁䅍䅄䅁䅁䅯睨䅙䅁䅯䅖䅙䅁䅯允䅁䅁䅕䅁䅁䵁㑂欵䙁䅁䅁䅁杂敦䅚权啄睂䅁允䅁䅁䅅䅁䙁䍁㑶奢硪楷䅎䍄䉁䅁䅁睂䅁䅁䅍䅄䅁䅁䅯睨䅙䅁䅯条䅙䅁䅯児䅁䅁䅕䅁䅁䵁㑂欵䙁䅁䅁䅁杂敦䅚权兄睂䅁允䅁䅁䅅䅁䙁䩁䝰睴䕫䍧䅆䍄䉁䅁䅁睂䅁䅁䅍䅄䅁䅁䅯睨䅙䅁䅯䅚䅙䅁䅯允䅁䅁䅕䅁䅁䵁㑂欵䙁䅁䅁䅁杂敦䅚权卄睂䅁允䅁䅁䅅䅁䭁䑁䅅䅁䵁䅉䅅䅁䡁䅁䅁睁䵁䅁䅁权䡃杂䅁权歂杂䅁权䉁䅁䅁兂䅁䅁䅁䡷浪䅑䅕䅁䅁䝁㥂欵䭁乁䡍䅁䉁䅁䅁允䅁䅁䅯免䅁䅁杷允䅁䅁䅙䅁䑁䅁䅷䅁䭁䥁䝣䅁䭁䝁䝑䅁䭁䅁䅅䅁䙁䅁䅁䅁杂敦䅚权婂杂䅁允䅁䅁䅅䅁䭁䝁䝕䅁䵁䅉䅅䅁䡁䅁䅁睁䵁䅁䅁权䡃杂䅁权歂杂䅁权䉁䅁䅁兂䅁䅁䅁䡷浪䅑䅕䅁䅁䝁㥂欵䭁乁䡅䅁䉁䅁䅁允䅁䅁䅯免䅁䅁杷允䅁䅁䅣䅁䑁䅁䅷䅁䭁䥁䝣䅁䭁䝁䝉䅁䭁䙁䝅䅁䙁䅁䅁䅁䅄佥䅚兂䅁䅁䅁䡙洳䅑䅯䄰䅣䅁䅅䅁䉁䅁䅁兂千㍍猹塵硫䅑杷允䅁䅁䅣䅁䑁䅁䅷䅁䭁䥁䝣䅁䭁䝁䝉䅁䭁䙁䝅䅁䙁䅁䅁䅁䅄佥䅚兂䅁䅁䅁䡙洳䅑䅯䄱䅣䅁䅅䅁䉁䅁䅁兂畂乗㍱䡓硷䅑杷允䅁䅁䅣䅁䑁䅁䅷䅁䭁䥁䝣䅁䭁䝁䝉䅁䭁䙁䝅䅁䙁䅁䅁䅁䅄佥䅚兂䅁䅁䅁䡙洳䅑䅯儰䅣䅁䅅䅁䉁䅁䅁兂癄䨲㝶⼷摔睐杷允䅁䅁䅣䅁䑁䅁䅷䅁䭁䥁䝣䅁䭁䙁䝷䅁䭁䅁䅅䅁䙁䅁䅁䅁䅄佥䅚兂䅁䅁䅁䡙洳䅑䅯䄰䅣䅁䅅䅁䉁䅁䅁兂呄啭摇桢㕁䅑杷允䅁䅁䅣䅁䑁䅁䅷䅁䭁䥁䝣䅁䭁䙁䝷䅁䭁䅁䅅䅁䙁䅁䅁䅁䅄佥䅚兂䅁䅁䅁䡙洳䅑䅯眰䅣䅁䅅䅁䉁䅁䅁兂㝁愯畁畕㉷䅑杷允䅁䅁䅣䅁䑁䅁䅷䅁䭁䥁䝣䅁䭁䝁䝷䅁䭁䙁䝅䅁䙁䅁䅁䅁䅄佥䅚兂䅁䅁䅁䡙洳䅑䅯䄰䅣䅁䅅䅁䉁䅁䅁兂䥁㡐伸兯內䅑杷允䅁䅁䅣䅁䑁䅁䅷䅁䭁䥁䝣䅁䭁䝁䝷䅁䭁䙁䝅䅁䙁䅁䅁䅁䅄佥䅚兂䅁䅁䅁䡙洳䅑䅯朰䅣䅁䅅䅁䉁䅁䅁兂兄慅啱摹允䅑杷允䅁䅁䅣䅁䑁䅁䅷䅁䭁䥁䝣䅁䭁䝁䝷䅁䭁䙁䝅䅁䙁䅁䅁䅁䅄佥䅚兂䅁䅁䅁䡙洳䅑䅯䄱䅣䅁䅅䅁䉁䅁䅁兂畃浬桇杴兙䅑杷允䅁䅁䅣䅁䑁䅁䅷䅁䭁䥁䝣䅁䭁䝁䝷䅁䭁䙁䝅䅁䙁䅁䅁䅁䅄佥䅚兂䅁䅁䅁䡙洳䅑䅯眰䅣䅁䅅䅁䉁䅁䅁兂㥄硬䭷噣估䅑杷允䅁䅁䅙䅁䑁䅁䅷䅁䭁䥁䝣䅁䭁䝁䝷䅁䭁䙁䝅䅁䙁䅁䅁䅁杂敦䅚权婂杂䅁允䅁䅁䅅䅁䭁䑁䅅䅁䵁䅉䅅䅁䡁䅁䅁睁䵁䅁䅁权䡃杂䅁权灂杂䅁权䉁䅁䅁兂䅁䅁䅁䡷浪䅑䅕䅁䅁䝁㥂欵䭁乁䡉䅁䉁䅁䅁允䅁䅁䅕癋䔲ㅳ㝴䕐䵁䅉䅅䅁䡁䅁䅁睁䵁䅁䅁权䡃杂䅁权灂杂䅁权䉁䅁䅁兂䅁䅁䅁䡷浪䅑䅕䅁䅁䝁㥂欵䭁乁䡁䅁䉁䅁䅁允䅁䅁䅕㤱㑅伱⬯歏䵁䅉䅅䅁䝁䅁䅁睁䵁䅁䅁权䡃杂䅁权灂杂䅁权䉁䅁䅁兂䅁䅁䅁䡙洳䅑䅯兗䅙䅁䅅䅁䉁䅁䅁兂獁塋晥稴㙳䅑杷允䅁䅁䅣䅁䑁䅁䅷䅁䭁䥁䝣䅁䭁䝁䝫䅁䭁䅁䅅䅁䙁䅁䅁䅁䅄佥䅚兂䅁䅁䅁䡙洳䅑䅯儰䅣䅁䅅䅁䉁䅁䅁兂偁䉵摎楏汪睐杷允䅁䅁䅙䅁䑁䅁䅷䅁䭁䥁䝣䅁䭁䙁䜴䅁䭁䙁䝅䅁䙁䅁䅁䅁杂敦䅚权婂杂䅁允䅁䅁䅅䅁䭁䑁䅅䅁䵁䅉䅅䅁䝁䅁䅁睁䵁䅁䅁权䡃杂䅁权㑃睂䅁权㝃睂䅁兂䅁䅁䅁䡙洳䅑䅯䅶䅣䅁䅅䅁䉁䅁䅁睂䅁䅁䅁䙙浮䅑杷允䅁䅁䅙䅁䑁䅁䅷䅁䭁䥁䝣䅁䭁䱁䡧䅁䭁䱁䠰䅁䙁䅁䅁䅁杂敦䅚权㡃睂䅁允䅁䅁䅅䅁䡁䅁䅁䅁䅄佚䅚䍄䉁䅁䅁杂䅁䅁䅍䅄䅁䅁䅯睨䅙䅁䅯䅵䅣䅁䅯䅥䅙䅁䅕䅁䅁䝁㥂欵䭁䱁䡷䅁䉁䅁䅁允䅁䅁䅯光䅁䅁杷允䅁䅁䅕䅁䑁䅁䅷䅁䭁䥁䝣䅁䭁䡁䜰䅁䭁䡁䝧䅁䙁䅁䅁䅁杂敦䅚允䅁䅁䅅䅁䡁䅁䅁䅁䅄佥䅚</x:t>
  </x:si>
  <x:si>
    <x:t>Fiscal Year Ended,</x:t>
  </x:si>
  <x:si>
    <x:t>Financial Data ($M)</x:t>
  </x:si>
  <x:si>
    <x:t>International Business Machines Corporation (NYSE:IBM)</x:t>
  </x:si>
  <x:si>
    <x:t>Quarterly Employer Contribution</x:t>
  </x:si>
  <x:si>
    <x:t>Est. Contributions - Next Year</x:t>
  </x:si>
  <x:si>
    <x:t>Unfunded &amp; Vested Pension Liab.</x:t>
  </x:si>
  <x:si>
    <x:t>Projected Benefit Obligation</x:t>
  </x:si>
  <x:si>
    <x:t>IQ_OPEB_OBLIGATION_PROJECTED</x:t>
  </x:si>
  <x:si>
    <x:t>Accumulated Benefit Obligation</x:t>
  </x:si>
  <x:si>
    <x:t>IQ_OPEB_OBLIGATION_ACCUMULATED</x:t>
  </x:si>
  <x:si>
    <x:t>Def. Benefit Benefit Total Cost</x:t>
  </x:si>
  <x:si>
    <x:t>IQ_OPEB_SUPPLE_PLANS_TOTAL_COST</x:t>
  </x:si>
  <x:si>
    <x:t>IQ_OPEB_OBLIGATION_SERVICE_COST</x:t>
  </x:si>
  <x:si>
    <x:t>IQ_OPEB_RATE_COMP_INCREASE_MAX</x:t>
  </x:si>
  <x:si>
    <x:t>IQ_OPEB_ASSETS_ACTUAL_RETURN</x:t>
  </x:si>
  <x:si>
    <x:t>IQ_OPEB_ASSETS_OTHER_PLAN_ADJ</x:t>
  </x:si>
  <x:si>
    <x:t>IQ_OPEB_ASSETS_BENEFITS_PAID</x:t>
  </x:si>
  <x:si>
    <x:t>IQ_OPEB_RATE_COMP_INCREASE_MIN</x:t>
  </x:si>
  <x:si>
    <x:t>Benefits Sensitivity Analysis</x:t>
  </x:si>
  <x:si>
    <x:t>IQ_PENSION_OBLIGATION_BEG_DOM</x:t>
  </x:si>
  <x:si>
    <x:t>IQ_PENSION_OBLIGATION_ROA_DOM</x:t>
  </x:si>
  <x:si>
    <x:t xml:space="preserve">Beg. Def. Benefit Obligation </x:t>
  </x:si>
  <x:si>
    <x:t>IQ_PENSION_INTEREST_COST_DOM</x:t>
  </x:si>
  <x:si>
    <x:t>IQ_PENSION_ASSETS_FX_ADJ_DOM</x:t>
  </x:si>
  <x:si>
    <x:t>IQ_PENSION_OBLIGATION_PAID_DOM</x:t>
  </x:si>
  <x:si>
    <x:t xml:space="preserve">Actual Return on Plan Assets </x:t>
  </x:si>
  <x:si>
    <x:t xml:space="preserve">Foreign Exchange Adjustments </x:t>
  </x:si>
  <x:si>
    <x:t>IQ_PENSION_OBLIGATION_ACQ_DOM</x:t>
  </x:si>
  <x:si>
    <x:t>IQ_PENSION_DISC_RATE_MAX_DOM</x:t>
  </x:si>
  <x:si>
    <x:t>IQ_PENSION_BREAKDOWN_PCT_RE_DOM</x:t>
  </x:si>
  <x:si>
    <x:t>IQ_PENSION_ASSETS_CURTAIL_DOM</x:t>
  </x:si>
  <x:si>
    <x:t>IQ_PENSION_BREAKDOWN_PCT_EQ_DOM</x:t>
  </x:si>
  <x:si>
    <x:t xml:space="preserve">Plan Settlement/Curtailment </x:t>
  </x:si>
  <x:si>
    <x:t>IQ_PENSION_BREAKDOWN_PCT_FI_DOM</x:t>
  </x:si>
  <x:si>
    <x:t>IQ_PENSION_DISC_RATE_MIN_DOM</x:t>
  </x:si>
  <x:si>
    <x:t>IQ_PENSION_BREAKDOWN_OTHER_DOM</x:t>
  </x:si>
  <x:si>
    <x:t>IQ_PENSION_CI_TRANSITION_DOM</x:t>
  </x:si>
  <x:si>
    <x:t>IQ_PENSION_CI_NET_AMT_RECOG_DOM</x:t>
  </x:si>
  <x:si>
    <x:t>IQ_PENSION_EST_BENEFIT_3YR_DOM</x:t>
  </x:si>
  <x:si>
    <x:t>IQ_PENSION_AMT_RECOG_NEXT_DOM</x:t>
  </x:si>
  <x:si>
    <x:t>IQ_PENSION_EST_BENEFIT_1YR_DOM</x:t>
  </x:si>
  <x:si>
    <x:t>IQ_PENSION_EST_BENEFIT_2YR_DOM</x:t>
  </x:si>
  <x:si>
    <x:t>IQ_PENSION_EST_BENEFIT_4YR_DOM</x:t>
  </x:si>
  <x:si>
    <x:t>IQ_PENSION_CI_PRIOR_SERVICE_DOM</x:t>
  </x:si>
  <x:si>
    <x:t>IQ_PENSION_TRANSITION_NEXT_DOM</x:t>
  </x:si>
  <x:si>
    <x:t>IQ_PENSION_ACCUM_OTHER_CI_DOM</x:t>
  </x:si>
  <x:si>
    <x:t>IQ_PENSION_UNRECOG_PRIOR_DOM</x:t>
  </x:si>
  <x:si>
    <x:t>IQ_PENSION_NET_ASSET_RECOG_DOM</x:t>
  </x:si>
  <x:si>
    <x:t xml:space="preserve">Est. Contributions - Next Year </x:t>
  </x:si>
  <x:si>
    <x:t>IQ_PENSION_EST_BENEFIT_5YR_DOM</x:t>
  </x:si>
  <x:si>
    <x:t>IQ_OPEB_OBLIGATION_CURTAIL_DOM</x:t>
  </x:si>
  <x:si>
    <x:t xml:space="preserve">Accumulated Benefit Obligation </x:t>
  </x:si>
  <x:si>
    <x:t>IQ_OPEB_OBLIGATION_FX_ADJ_DOM</x:t>
  </x:si>
  <x:si>
    <x:t>IQ_OPEB_BREAKDOWN_PCT_FI_DOM</x:t>
  </x:si>
  <x:si>
    <x:t>IQ_OPEB_BREAKDOWN_PCT_RE_DOM</x:t>
  </x:si>
  <x:si>
    <x:t>IQ_OPEB_EXP_RATE_RETURN_MAX_DOM</x:t>
  </x:si>
  <x:si>
    <x:t>IQ_OPEB_BREAKDOWN_PCT_EQ_DOM</x:t>
  </x:si>
  <x:si>
    <x:t>IQ_OPEB_CI_PRIOR_SERVICE_DOM</x:t>
  </x:si>
  <x:si>
    <x:t>IQ_OPEB_CI_OTHER_MISC_ADJ_DOM</x:t>
  </x:si>
  <x:si>
    <x:t>IQ_OPEB_CI_NET_AMT_RECOG_DOM</x:t>
  </x:si>
  <x:si>
    <x:t>IQ_OPEB_EXP_RATE_RETURN_MIN_DOM</x:t>
  </x:si>
  <x:si>
    <x:t>IQ_OPEB_BREAKDOWN_PCT_OTHER_DOM</x:t>
  </x:si>
  <x:si>
    <x:t xml:space="preserve">1% Decrease - Effect on PBO </x:t>
  </x:si>
  <x:si>
    <x:t xml:space="preserve">1% Increase - Effect on PBO </x:t>
  </x:si>
  <x:si>
    <x:t>IQ_OPEB_EST_BENEFIT_AFTER5_DOM</x:t>
  </x:si>
  <x:si>
    <x:t>IQ_OPEB_INCREASE_EFFECT_PBO_DOM</x:t>
  </x:si>
  <x:si>
    <x:t xml:space="preserve">Def. Benefit Return on Assets  </x:t>
  </x:si>
  <x:si>
    <x:t>IQ_PENSION_ASSETS_BEG_FOREIGN</x:t>
  </x:si>
  <x:si>
    <x:t>IQ_OPEB_DECREASE_EFFECT_PBO_DOM</x:t>
  </x:si>
  <x:si>
    <x:t>IQ_PENSION_SERVICE_COST_FOREIGN</x:t>
  </x:si>
  <x:si>
    <x:t>IQ_PENSION_BREAKDOWN_EQ_FOREIGN</x:t>
  </x:si>
  <x:si>
    <x:t>IQ_PENSION_BREAKDOWN_FI_FOREIGN</x:t>
  </x:si>
  <x:si>
    <x:t>IQ_PENSION_BREAKDOWN_RE_FOREIGN</x:t>
  </x:si>
  <x:si>
    <x:t>IQ_PENSION_ASSETS_ACQ_FOREIGN</x:t>
  </x:si>
  <x:si>
    <x:t>IQ_PENSION_PREPAID_COST_FOREIGN</x:t>
  </x:si>
  <x:si>
    <x:t>IQ_PENSION_ACCRUED_LIAB_FOREIGN</x:t>
  </x:si>
  <x:si>
    <x:t>IQ_PENSION_LT_ASSETS_FOREIGN</x:t>
  </x:si>
  <x:si>
    <x:t>IQ_PENSION_INTAN_ASSETS_FOREIGN</x:t>
  </x:si>
  <x:si>
    <x:t>IQ_PENSION_OTHER_ADJ_FOREIGN</x:t>
  </x:si>
  <x:si>
    <x:t>IQ_OPEB_OBLIGATION_ACQ_FOREIGN</x:t>
  </x:si>
  <x:si>
    <x:t>IQ_OPEB_INTEREST_COST_FOREIGN</x:t>
  </x:si>
  <x:si>
    <x:t>IQ_OPEB_OBLIGATION_PAID_FOREIGN</x:t>
  </x:si>
  <x:si>
    <x:t>IQ_OPEB_SERVICE_COST_FOREIGN</x:t>
  </x:si>
  <x:si>
    <x:t>IQ_OPEB_OBLIGATION_BEG_FOREIGN</x:t>
  </x:si>
  <x:si>
    <x:t>IQ_OPEB_BREAKDOWN_EQ_FOREIGN</x:t>
  </x:si>
  <x:si>
    <x:t>IQ_OPEB_BREAKDOWN_FI_FOREIGN</x:t>
  </x:si>
  <x:si>
    <x:t>IQ_OPEB_ASSETS_CURTAIL_FOREIGN</x:t>
  </x:si>
  <x:si>
    <x:t>IQ_OPEB_BREAKDOWN_OTHER_FOREIGN</x:t>
  </x:si>
  <x:si>
    <x:t>IQ_OPEB_CI_TRANSITION_FOREIGN</x:t>
  </x:si>
  <x:si>
    <x:t>IQ_OPEB_DISC_RATE_MAX_FOREIGN</x:t>
  </x:si>
  <x:si>
    <x:t>IQ_OPEB_DISC_RATE_MIN_FOREIGN</x:t>
  </x:si>
  <x:si>
    <x:t>IQ_OPEB_ASSETS_FX_ADJ_FOREIGN</x:t>
  </x:si>
  <x:si>
    <x:t>IQ_OPEB_BREAKDOWN_RE_FOREIGN</x:t>
  </x:si>
  <x:si>
    <x:t>IQ_OPEB_AMT_RECOG_NEXT_FOREIGN</x:t>
  </x:si>
  <x:si>
    <x:t>IQ_OPEB_EST_BENEFIT_1YR_FOREIGN</x:t>
  </x:si>
  <x:si>
    <x:t>IQ_OPEB_EST_BENEFIT_4YR_FOREIGN</x:t>
  </x:si>
  <x:si>
    <x:t>IQ_OPEB_TRANSITION_NEXT_FOREIGN</x:t>
  </x:si>
  <x:si>
    <x:t>IQ_OPEB_EST_BENEFIT_2YR_FOREIGN</x:t>
  </x:si>
  <x:si>
    <x:t>IQ_OPEB_EST_BENEFIT_3YR_FOREIGN</x:t>
  </x:si>
  <x:si>
    <x:t>IQ_OPEB_EST_BENEFIT_5YR_FOREIGN</x:t>
  </x:si>
  <x:si>
    <x:t>IQ_OPEB_PREPAID_COST_FOREIGN</x:t>
  </x:si>
  <x:si>
    <x:t>IQ_OPEB_ACCRUED_LIAB_FOREIGN</x:t>
  </x:si>
  <x:si>
    <x:t>IQ_OPEB_INTAN_ASSETS_FOREIGN</x:t>
  </x:si>
  <x:si>
    <x:t>IQ_OPEB_ACCUM_OTHER_CI_FOREIGN</x:t>
  </x:si>
  <x:si>
    <x:t>IQ_OPEB_UNRECOG_PRIOR_FOREIGN</x:t>
  </x:si>
  <x:si>
    <x:t>IQ_OPEB_NET_ASSET_RECOG_FOREIGN</x:t>
  </x:si>
  <x:si>
    <x:t>IQ_LT_PORTION_LEASE_LIABILITIES</x:t>
  </x:si>
  <x:si>
    <x:t>Financial Accounting Standard</x:t>
  </x:si>
  <x:si>
    <x:t>Def. Benefit Return On Assets</x:t>
  </x:si>
  <x:si>
    <x:t>IQ_DA_SUPPL_CF_EXCL_OPER_LEASES</x:t>
  </x:si>
  <x:si>
    <x:t>0.300% Notes Due 2028 - EURO</x:t>
  </x:si>
  <x:si>
    <x:t>1.250% Notes Due 2027 - EURO</x:t>
  </x:si>
  <x:si>
    <x:t>1.750% Notes Due 2028 - EURO</x:t>
  </x:si>
  <x:si>
    <x:t>As of Calendar Quarter Ending,</x:t>
  </x:si>
  <x:si>
    <x:t>1.750% Notes Due 2031 - EURO</x:t>
  </x:si>
  <x:si>
    <x:t>0.875% Notes Due 2025 - EURO</x:t>
  </x:si>
  <x:si>
    <x:t>0.950% Notes Due 2025 - EURO</x:t>
  </x:si>
  <x:si>
    <x:t>2.875% Notes Due 2025 - EURO</x:t>
  </x:si>
  <x:si>
    <x:t>SPGTable</x:t>
  </x:si>
  <x:si>
    <x:t>FY-3</x:t>
  </x:si>
  <x:si>
    <x:t>FY-4</x:t>
  </x:si>
  <x:si>
    <x:t>FY+3</x:t>
  </x:si>
  <x:si>
    <x:t>FY+2</x:t>
  </x:si>
  <x:si>
    <x:t>FY-2</x:t>
  </x:si>
  <x:si>
    <x:t>FY2025</x:t>
  </x:si>
  <x:si>
    <x:t>FY2026</x:t>
  </x:si>
  <x:si>
    <x:t>FY2027</x:t>
  </x:si>
  <x:si>
    <x:t>FY2028</x:t>
  </x:si>
  <x:si>
    <x:t>IQ_PENSION_ASSETS</x:t>
  </x:si>
  <x:si>
    <x:t>Guatemalan Quetzal</x:t>
  </x:si>
  <x:si>
    <x:t>Australian Dollar</x:t>
  </x:si>
  <x:si>
    <x:t xml:space="preserve">Def. Benefits Paid </x:t>
  </x:si>
  <x:si>
    <x:t>Net Change in AUM</x:t>
  </x:si>
  <x:si>
    <x:t>IQ_CAP_LOSS_CF_2YR</x:t>
  </x:si>
  <x:si>
    <x:t>Beg. Plan Assets</x:t>
  </x:si>
  <x:si>
    <x:t>IQ_CAP_LOSS_CF_5YR</x:t>
  </x:si>
  <x:si>
    <x:t>IQ_WARRANTS_BEG_OS</x:t>
  </x:si>
  <x:si>
    <x:t>Total Plan Assets</x:t>
  </x:si>
  <x:si>
    <x:t>IQ_OPTIONS_END_OS</x:t>
  </x:si>
  <x:si>
    <x:t>IQ_AUM_OTHER_ADJ</x:t>
  </x:si>
  <x:si>
    <x:t>IQ_WARRANTS_END_OS</x:t>
  </x:si>
  <x:si>
    <x:t>Belarusian Ruble</x:t>
  </x:si>
  <x:si>
    <x:t>Other Clients (AUM)</x:t>
  </x:si>
  <x:si>
    <x:t>IQ_AUM_CF_AND_DIV</x:t>
  </x:si>
  <x:si>
    <x:t>IQ_INST_CLIENTS_AUM</x:t>
  </x:si>
  <x:si>
    <x:t>IQ_NOL_CF_NO_EXP</x:t>
  </x:si>
  <x:si>
    <x:t>IQ_CAP_LOSS_CF_3YR</x:t>
  </x:si>
  <x:si>
    <x:t>IQ_CAP_LOSS_CF_4YR</x:t>
  </x:si>
  <x:si>
    <x:t>IQ_OPTIONS_GRANTED</x:t>
  </x:si>
  <x:si>
    <x:t>IQ_OPTIONS_BEG_OS</x:t>
  </x:si>
  <x:si>
    <x:t>IQ_NON_FEE_EARN_AUM</x:t>
  </x:si>
  <x:si>
    <x:t>IQ_AUM_MONEY_MKT</x:t>
  </x:si>
  <x:si>
    <x:t>IQ_WARRANTS_ISSUED</x:t>
  </x:si>
  <x:si>
    <x:t>IQ_AUM_FIXED_INC</x:t>
  </x:si>
  <x:si>
    <x:t>AUM End of Period</x:t>
  </x:si>
  <x:si>
    <x:t>Mutual Fund - Sales</x:t>
  </x:si>
  <x:si>
    <x:t>IQ_CAP_LOSS_CF_1YR</x:t>
  </x:si>
  <x:si>
    <x:t>Azerbaijani Manat</x:t>
  </x:si>
  <x:si>
    <x:t>Bangladeshi Taka</x:t>
  </x:si>
  <x:si>
    <x:t>Costa Rican Colon</x:t>
  </x:si>
  <x:si>
    <x:t>IQ_OPEB_EXP_RETURN</x:t>
  </x:si>
  <x:si>
    <x:t>Hungarian Forint</x:t>
  </x:si>
  <x:si>
    <x:t>Panamanian Balboa</x:t>
  </x:si>
  <x:si>
    <x:t>Long Term Assets</x:t>
  </x:si>
  <x:si>
    <x:t>IQ_PENSION_LT_LIAB</x:t>
  </x:si>
  <x:si>
    <x:t>IQ_POST_RETIRE_EXP</x:t>
  </x:si>
  <x:si>
    <x:t>South Korean Won</x:t>
  </x:si>
  <x:si>
    <x:t>New Zealand Dollar</x:t>
  </x:si>
  <x:si>
    <x:t>IQ_PENSION_ACT_NEXT</x:t>
  </x:si>
  <x:si>
    <x:t>Turkmenistan Manat</x:t>
  </x:si>
  <x:si>
    <x:t>Kazakhstan Tenge</x:t>
  </x:si>
  <x:si>
    <x:t>Malaysian Ringgit</x:t>
  </x:si>
  <x:si>
    <x:t>Intangible Assets</x:t>
  </x:si>
  <x:si>
    <x:t>New Israeli Shekel</x:t>
  </x:si>
  <x:si>
    <x:t>Indonesian Rupiah</x:t>
  </x:si>
  <x:si>
    <x:t>New Taiwan Dollar</x:t>
  </x:si>
  <x:si>
    <x:t>Other Plan Assets</x:t>
  </x:si>
  <x:si>
    <x:t>IQ_PENSION_CI_ACT</x:t>
  </x:si>
  <x:si>
    <x:t>Mongolian Tugrik</x:t>
  </x:si>
  <x:si>
    <x:t>Singapore Dollar</x:t>
  </x:si>
  <x:si>
    <x:t>Macedonian Denar</x:t>
  </x:si>
  <x:si>
    <x:t>South African Rand</x:t>
  </x:si>
  <x:si>
    <x:t>IQ_PENSION_OTHER</x:t>
  </x:si>
  <x:si>
    <x:t>Benefit Info Date</x:t>
  </x:si>
  <x:si>
    <x:t>BENEFIT_INFO_DATE</x:t>
  </x:si>
  <x:si>
    <x:t>Hong Kong Dollar</x:t>
  </x:si>
  <x:si>
    <x:t>IQ_PENSION_UV_LIAB</x:t>
  </x:si>
  <x:si>
    <x:t>IQ_OPEB_OTHER_COST</x:t>
  </x:si>
  <x:si>
    <x:t>IQ_OPEB_TOTAL_COST</x:t>
  </x:si>
  <x:si>
    <x:t>Current Liabilities</x:t>
  </x:si>
  <x:si>
    <x:t>Total OPEB Expense</x:t>
  </x:si>
  <x:si>
    <x:t>Honduran Lempira</x:t>
  </x:si>
  <x:si>
    <x:t>IQ_OPEB_ASSETS_DOM</x:t>
  </x:si>
  <x:si>
    <x:t>IQ_OPEB_LT_LIAB_DOM</x:t>
  </x:si>
  <x:si>
    <x:t>IQ_OPEB_ASSETS_ACQ</x:t>
  </x:si>
  <x:si>
    <x:t xml:space="preserve">Beg. Plan Assets </x:t>
  </x:si>
  <x:si>
    <x:t>Format: FY0, FQ0</x:t>
  </x:si>
  <x:si>
    <x:t>IQ_EBITA_EXCL_SBC</x:t>
  </x:si>
  <x:si>
    <x:t>IQ_OPEB_ASSETS_BEG</x:t>
  </x:si>
  <x:si>
    <x:t>IQ_PENSION_CL_DOM</x:t>
  </x:si>
  <x:si>
    <x:t>IQ_OPEB_OTHER_ADJ</x:t>
  </x:si>
  <x:si>
    <x:t>IQ_OPEB_CI_ACT_DOM</x:t>
  </x:si>
  <x:si>
    <x:t>Pension - Domestic</x:t>
  </x:si>
  <x:si>
    <x:t>IQ_OPEB_OTHER_DOM</x:t>
  </x:si>
  <x:si>
    <x:t>Pension - Foreign</x:t>
  </x:si>
  <x:si>
    <x:t>IQ_OPEB_CL_FOREIGN</x:t>
  </x:si>
  <x:si>
    <x:t>Benefit info Date</x:t>
  </x:si>
  <x:si>
    <x:t>EBITA (Excl. SBC)</x:t>
  </x:si>
  <x:si>
    <x:t>IQ_OPEB_LT_ASSETS</x:t>
  </x:si>
  <x:si>
    <x:t xml:space="preserve">Other Plan Assets </x:t>
  </x:si>
  <x:si>
    <x:t>Coupon/Base Rate</x:t>
  </x:si>
  <x:si>
    <x:t>IQ_OPEB_ACT_NEXT</x:t>
  </x:si>
  <x:si>
    <x:t>Def. Benefits Paid</x:t>
  </x:si>
  <x:si>
    <x:t>Repayment Currency</x:t>
  </x:si>
  <x:si>
    <x:t xml:space="preserve">Total Plan Assets </x:t>
  </x:si>
  <x:si>
    <x:t>Total Debt Current</x:t>
  </x:si>
  <x:si>
    <x:t>SP_EXCHANGE_TICKER</x:t>
  </x:si>
  <x:si>
    <x:t xml:space="preserve">Intangible Assets </x:t>
  </x:si>
  <x:si>
    <x:t>IQ_OTHER_REV_SUPPL</x:t>
  </x:si>
  <x:si>
    <x:t>IQ_DEFERRED_DOMESTIC_TAXES</x:t>
  </x:si>
  <x:si>
    <x:t>+ Total Minority Interest</x:t>
  </x:si>
  <x:si>
    <x:t>Finance Div. Operating Exp.</x:t>
  </x:si>
  <x:si>
    <x:t>IQ_BASIC_EPS_BEFORE_EXTRA</x:t>
  </x:si>
  <x:si>
    <x:t>IQ_LEASE_ADJUSTMENT_EBITDA</x:t>
  </x:si>
  <x:si>
    <x:t>IQ_DEFERRED_FOREIGN_TAXES</x:t>
  </x:si>
  <x:si>
    <x:t>Special Dividend per Share</x:t>
  </x:si>
  <x:si>
    <x:t>IQ_EBITDA_EQ_INC_EXCL_SBC</x:t>
  </x:si>
  <x:si>
    <x:t>Logic for hide null macro</x:t>
  </x:si>
  <x:si>
    <x:t>As-Reported Total Revenue</x:t>
  </x:si>
  <x:si>
    <x:t>IQ_TOTAL_REV_1YR_ANN_GROWTH</x:t>
  </x:si>
  <x:si>
    <x:t>IQ_BASIC_EPS_AFTER_EXTRA</x:t>
  </x:si>
  <x:si>
    <x:t>Interest On Long Term Debt</x:t>
  </x:si>
  <x:si>
    <x:t>IQ_DILUT_EPS_BEFORE_EXTRA</x:t>
  </x:si>
  <x:si>
    <x:t>IQ_EBITDAR_EQ_INC_EXCL_SBC</x:t>
  </x:si>
  <x:si>
    <x:t>Earnings from Cont. Ops.</x:t>
  </x:si>
  <x:si>
    <x:t>IQ_DILUT_EPS_AFTER_EXTRA</x:t>
  </x:si>
  <x:si>
    <x:t>Exploration/Drilling Costs</x:t>
  </x:si>
  <x:si>
    <x:t>IQ_DISTRIBUTABLE_CASH_SHARE</x:t>
  </x:si>
  <x:si>
    <x:t>Interest and Invest. Income</x:t>
  </x:si>
  <x:si>
    <x:t>Minority Int. in Earnings</x:t>
  </x:si>
  <x:si>
    <x:t>IQ_EBITDA_LEASE_ADJUSTED</x:t>
  </x:si>
  <x:si>
    <x:t>Source: S&amp;P Capital IQ Pro</x:t>
  </x:si>
  <x:si>
    <x:t>Other Operating Exp., Total</x:t>
  </x:si>
  <x:si>
    <x:t>Lease Adjustment for EBITDA</x:t>
  </x:si>
  <x:si>
    <x:t>+ Total Preferred Equity</x:t>
  </x:si>
  <x:si>
    <x:t>Stock-Based Compensation</x:t>
  </x:si>
  <x:si>
    <x:t>IQ_TOTAL_REV_AS_REPORTED</x:t>
  </x:si>
  <x:si>
    <x:t>Net Rental Expense, Total</x:t>
  </x:si>
  <x:si>
    <x:t>Stock-Based Comp., G&amp;A Exp</x:t>
  </x:si>
  <x:si>
    <x:t>Stock-Based Comp., Total</x:t>
  </x:si>
  <x:si>
    <x:t>IQ_RESTR_STOCK_COMP_PRETAX</x:t>
  </x:si>
  <x:si>
    <x:t>IQ_FIN_DIV_ASSETS_CURRENT</x:t>
  </x:si>
  <x:si>
    <x:t>IQ_DEF_TAX_ASSETS_CURRENT</x:t>
  </x:si>
  <x:si>
    <x:t>Accumulated Depreciation</x:t>
  </x:si>
  <x:si>
    <x:t>Total Operating Expenses</x:t>
  </x:si>
  <x:si>
    <x:t>Stock-Based Comp., S&amp;M Exp</x:t>
  </x:si>
  <x:si>
    <x:t>IQ_STOCK_BASED_COMP_PRETAX</x:t>
  </x:si>
  <x:si>
    <x:t>Loans Receivable Long-Term</x:t>
  </x:si>
  <x:si>
    <x:t>Curr. Port. of Cap. Leases</x:t>
  </x:si>
  <x:si>
    <x:t>Curr. Income Taxes Payable</x:t>
  </x:si>
  <x:si>
    <x:t>IQ_ANNU_DISTRIBUTION_UNIT</x:t>
  </x:si>
  <x:si>
    <x:t>Unearned Revenue, Current</x:t>
  </x:si>
  <x:si>
    <x:t>Exploration/Drilling Exp.</x:t>
  </x:si>
  <x:si>
    <x:t>IQ_IMPUT_OPER_LEASE_DEPR</x:t>
  </x:si>
  <x:si>
    <x:t>IQ_SALARIES_OTHER_BENEFITS</x:t>
  </x:si>
  <x:si>
    <x:t>IQ_GAIN_BARGAIN_ACQ_SUPPLE</x:t>
  </x:si>
  <x:si>
    <x:t>IQ_STOCK_OPTIONS_COMP_TAX</x:t>
  </x:si>
  <x:si>
    <x:t>Deferred Tax Assets, Curr.</x:t>
  </x:si>
  <x:si>
    <x:t>Non-Cash Pension Expense</x:t>
  </x:si>
  <x:si>
    <x:t>Stock-Based Comp., SG&amp;A Exp</x:t>
  </x:si>
  <x:si>
    <x:t>Total Cash &amp; ST Investments</x:t>
  </x:si>
  <x:si>
    <x:t>IQ_FIN_DIV_LOANS_CURRENT</x:t>
  </x:si>
  <x:si>
    <x:t>IQ_TRADING_ASSET_SECURITIES</x:t>
  </x:si>
  <x:si>
    <x:t>Finance Div. Debt Current</x:t>
  </x:si>
  <x:si>
    <x:t>Trading Asset Securities</x:t>
  </x:si>
  <x:si>
    <x:t>Gain on Bargain Acquisition</x:t>
  </x:si>
  <x:si>
    <x:t>IQ_IMPUT_OPER_LEASE_INT_EXP</x:t>
  </x:si>
  <x:si>
    <x:t>Stock-Based Comp., R&amp;D Exp</x:t>
  </x:si>
  <x:si>
    <x:t>IQ_SHARES_OUT_PERIOD_END</x:t>
  </x:si>
  <x:si>
    <x:t>Other Current Liabilities</x:t>
  </x:si>
  <x:si>
    <x:t>IQ_NPPE_EXCL_OPER_LEASES</x:t>
  </x:si>
  <x:si>
    <x:t>Total Debt, Excl. Leases</x:t>
  </x:si>
  <x:si>
    <x:t>Finance Div. Debt Non-Curr.</x:t>
  </x:si>
  <x:si>
    <x:t>Pref. Stock, Non-Redeem.</x:t>
  </x:si>
  <x:si>
    <x:t>Minority Interest, Total</x:t>
  </x:si>
  <x:si>
    <x:t>IQ_MINORITY_INTEREST_TOTAL</x:t>
  </x:si>
  <x:si>
    <x:t>IQ_TOTAL_DEBT_NON_CURRENT</x:t>
  </x:si>
  <x:si>
    <x:t>Equity Method Investments</x:t>
  </x:si>
  <x:si>
    <x:t>Work in Progress Inventory</x:t>
  </x:si>
  <x:si>
    <x:t>Other Inventory Accounts</x:t>
  </x:si>
  <x:si>
    <x:t xml:space="preserve">Natural Resources, at Cost </x:t>
  </x:si>
  <x:si>
    <x:t>IQ_NATURAL_RESOURCES_COST</x:t>
  </x:si>
  <x:si>
    <x:t>IQ_RUA_CAPITAL_LEASE_NET</x:t>
  </x:si>
  <x:si>
    <x:t>IQ_TOTAL_DEBT_EXCL_LEASES</x:t>
  </x:si>
  <x:si>
    <x:t>IQ_SHARES_OUT_FILING_DATE</x:t>
  </x:si>
  <x:si>
    <x:t>Finished Goods Inventory</x:t>
  </x:si>
  <x:si>
    <x:t>Construction in Progress</x:t>
  </x:si>
  <x:si>
    <x:t>IQ_LEASEHOLD_IMPROVEMENT</x:t>
  </x:si>
  <x:si>
    <x:t>Fair Value of Liabilities</x:t>
  </x:si>
  <x:si>
    <x:t>Right-of-Use Asset-Gross</x:t>
  </x:si>
  <x:si>
    <x:t>Def. Tax Liability, Curr.</x:t>
  </x:si>
  <x:si>
    <x:t>Pref. Stock, Convertible</x:t>
  </x:si>
  <x:si>
    <x:t>Additional Paid In Capital</x:t>
  </x:si>
  <x:si>
    <x:t>IQ_RUA_CAPITAL_LEASE_GROSS</x:t>
  </x:si>
  <x:si>
    <x:t>IQ_RUA_OPERATING_LEASE_NET</x:t>
  </x:si>
  <x:si>
    <x:t>IQ_GPPE_EXCL_OPER_LEASES</x:t>
  </x:si>
  <x:si>
    <x:t>Total Current Liabilities</x:t>
  </x:si>
  <x:si>
    <x:t>IQ_FINANCE_LEASES_CURRENT</x:t>
  </x:si>
  <x:si>
    <x:t>Finance Leases, Long Term</x:t>
  </x:si>
  <x:si>
    <x:t>IQ_FINANCE_LEASES_LONG_TERM</x:t>
  </x:si>
  <x:si>
    <x:t>Convertible Debt - Total</x:t>
  </x:si>
  <x:si>
    <x:t>IQ_SECOND_LIEN_LOANS_PCT</x:t>
  </x:si>
  <x:si>
    <x:t>Total Senior Secured Debt</x:t>
  </x:si>
  <x:si>
    <x:t>IQ_SECOND_LIEN_BONDS_NOTES</x:t>
  </x:si>
  <x:si>
    <x:t>Finance Division Total Debt</x:t>
  </x:si>
  <x:si>
    <x:t>IQ_DERIVATIVE_LIAB_CURRENT</x:t>
  </x:si>
  <x:si>
    <x:t>IQ_ADVANCES_FOR_SUPPLIES</x:t>
  </x:si>
  <x:si>
    <x:t>Other Operating Activities</x:t>
  </x:si>
  <x:si>
    <x:t>Price / LTM Normalized EPS</x:t>
  </x:si>
  <x:si>
    <x:t>IQ_LT_DEBT_CAPITAL_LEASES</x:t>
  </x:si>
  <x:si>
    <x:t>IQ_SR_UNSECURED_BONDS_NOTES</x:t>
  </x:si>
  <x:si>
    <x:t>Other Financing Activities</x:t>
  </x:si>
  <x:si>
    <x:t>Second Lien Bonds and Notes</x:t>
  </x:si>
  <x:si>
    <x:t>IQ_LIABILITIES_FAIR_VALUE</x:t>
  </x:si>
  <x:si>
    <x:t>Other Investing Activities</x:t>
  </x:si>
  <x:si>
    <x:t>Price / Tangible Book Value</x:t>
  </x:si>
  <x:si>
    <x:t>IQ_HEDGING_AND_DERIV_ADJ</x:t>
  </x:si>
  <x:si>
    <x:t>IQ_DEBT_EQUIV_OPER_LEASE</x:t>
  </x:si>
  <x:si>
    <x:t>IQ_FIN_DIV_ST_DEBT_TOTAL</x:t>
  </x:si>
  <x:si>
    <x:t>Issuance of Common Stock</x:t>
  </x:si>
  <x:si>
    <x:t xml:space="preserve">Unlevered Free Cash Flow </x:t>
  </x:si>
  <x:si>
    <x:t xml:space="preserve">Total Minority Interest </x:t>
  </x:si>
  <x:si>
    <x:t>Provision for Credit Losses</x:t>
  </x:si>
  <x:si>
    <x:t>IQ_ACCUM_AMORT_INTAN_ASSETS</x:t>
  </x:si>
  <x:si>
    <x:t>IQ_CAPITAL_LEASES_TOTAL_PCT</x:t>
  </x:si>
  <x:si>
    <x:t>Derivative Assets Current</x:t>
  </x:si>
  <x:si>
    <x:t>Intercompany Current Assets</x:t>
  </x:si>
  <x:si>
    <x:t>IQ_FIN_DIV_LT_DEBT_TOTAL</x:t>
  </x:si>
  <x:si>
    <x:t>Change in Acc. Receivable</x:t>
  </x:si>
  <x:si>
    <x:t>IQ_SR_SECURED_BONDS_NOTES</x:t>
  </x:si>
  <x:si>
    <x:t>IQ_CHANGE_TRADING_ASSETS</x:t>
  </x:si>
  <x:si>
    <x:t>Foreign Exchange Rate Adj.</x:t>
  </x:si>
  <x:si>
    <x:t>Net Debt/(EBITDA-CAPEX) (x)</x:t>
  </x:si>
  <x:si>
    <x:t>IQ_SR_SUB_DEBT_EBITDA_CAPEX</x:t>
  </x:si>
  <x:si>
    <x:t>IQ_HEDGING_ACTIVITIES_PCT</x:t>
  </x:si>
  <x:si>
    <x:t>IQ_VARIABLE_RATE_DEBT_PCT</x:t>
  </x:si>
  <x:si>
    <x:t>IQ_NET_DEBT_EBITDA_CAPEX</x:t>
  </x:si>
  <x:si>
    <x:t xml:space="preserve">Cap. Lease Payment Due +3 </x:t>
  </x:si>
  <x:si>
    <x:t>IQ_TOTAL_SR_SECURED_EBITDA</x:t>
  </x:si>
  <x:si>
    <x:t>IQ_SUB_DEBT_EBITDA_CAPEX</x:t>
  </x:si>
  <x:si>
    <x:t>IQ_JR_SUB_DEBT_EBITDA_CAPEX</x:t>
  </x:si>
  <x:si>
    <x:t>IQ_TOTAL_DEBT_EBITDA_CAPEX</x:t>
  </x:si>
  <x:si>
    <x:t>Return on Common Equity (%)</x:t>
  </x:si>
  <x:si>
    <x:t xml:space="preserve">Cap. Lease Payment Due +4 </x:t>
  </x:si>
  <x:si>
    <x:t xml:space="preserve">Cap. Lease Payment Due +2 </x:t>
  </x:si>
  <x:si>
    <x:t>Senior Debt / EBITDA (x)</x:t>
  </x:si>
  <x:si>
    <x:t>IQ_WTD_AVG_IR_TOTAL_DEBT</x:t>
  </x:si>
  <x:si>
    <x:t>Total Asset Turnover (x)</x:t>
  </x:si>
  <x:si>
    <x:t>IQ_TOTAL_SUB_DEBT_EBITDA</x:t>
  </x:si>
  <x:si>
    <x:t>Jr. Sub Debt / EBITDA (x)</x:t>
  </x:si>
  <x:si>
    <x:t>IQ_CL_OBLIGATION_IMMEDIATE</x:t>
  </x:si>
  <x:si>
    <x:t xml:space="preserve">Cap. Lease Payment Due +5 </x:t>
  </x:si>
  <x:si>
    <x:t>IQ_CONTRACT_OBLIGATION_CY3</x:t>
  </x:si>
  <x:si>
    <x:t>Fixed Asset Turnover (x)</x:t>
  </x:si>
  <x:si>
    <x:t xml:space="preserve">Cap. Lease Payment Due +1 </x:t>
  </x:si>
  <x:si>
    <x:t>IQ_CONTRACT_OBLIGATION_CY</x:t>
  </x:si>
  <x:si>
    <x:t>IQ_WTD_AVG_IR_AFTER_FIVE</x:t>
  </x:si>
  <x:si>
    <x:t>Avg. Days Sales Outstanding</x:t>
  </x:si>
  <x:si>
    <x:t>Avg. Cash Conversion Cycle</x:t>
  </x:si>
  <x:si>
    <x:t>Total Debt / Capital (%)</x:t>
  </x:si>
  <x:si>
    <x:t>IQ_CONTRACT_OBLIGATION_CY2</x:t>
  </x:si>
  <x:si>
    <x:t>IQ_CONTRACT_OBLIGATION_CY4</x:t>
  </x:si>
  <x:si>
    <x:t>IQ_CONTRACT_OBLIGATION_CY1</x:t>
  </x:si>
  <x:si>
    <x:t>Sr. Sub. Debt / EBITDA (x)</x:t>
  </x:si>
  <x:si>
    <x:t>IQ_NI_NORM_3YR_ANN_GROWTH</x:t>
  </x:si>
  <x:si>
    <x:t>IQ_ACCT_RECV_2YR_ANN_GROWTH</x:t>
  </x:si>
  <x:si>
    <x:t>IQ_NUM_RETAIL_CUSTOMERS_AUM</x:t>
  </x:si>
  <x:si>
    <x:t>Institutional Clients (AUM)</x:t>
  </x:si>
  <x:si>
    <x:t>IQ_EBITDA_CAPEX_TO_INT_EXP</x:t>
  </x:si>
  <x:si>
    <x:t>IQ_ACCT_RECV_5YR_ANN_GROWTH</x:t>
  </x:si>
  <x:si>
    <x:t>IQ_NI_NORM_5YR_ANN_GROWTH</x:t>
  </x:si>
  <x:si>
    <x:t>Private Equity Funds (AUM)</x:t>
  </x:si>
  <x:si>
    <x:t>IQ_EBITDA_1YR_ANN_GROWTH</x:t>
  </x:si>
  <x:si>
    <x:t>IQ_PRIVATE_EQUITY_FUNDS_AUM</x:t>
  </x:si>
  <x:si>
    <x:t>IQ_NUM_INST_CUSTOMERS_AUM</x:t>
  </x:si>
  <x:si>
    <x:t>EBIT / Interest Expense (x)</x:t>
  </x:si>
  <x:si>
    <x:t>IQ_ACCT_RECV_1YR_ANN_GROWTH</x:t>
  </x:si>
  <x:si>
    <x:t>IQ_NUM_SME_CUSTOMERS_AUM</x:t>
  </x:si>
  <x:si>
    <x:t>IQ_TOTAL_REV_5YR_ANN_GROWTH</x:t>
  </x:si>
  <x:si>
    <x:t>IQ_NUM_TOTAL_CUSTOMERS_AUM</x:t>
  </x:si>
  <x:si>
    <x:t>IQ_NI_NORM_1YR_ANN_GROWTH</x:t>
  </x:si>
  <x:si>
    <x:t>IQ_EBITDA_2YR_ANN_GROWTH</x:t>
  </x:si>
  <x:si>
    <x:t>IQ_EBITDA_5YR_ANN_GROWTH</x:t>
  </x:si>
  <x:si>
    <x:t>IQ_NUM_OTHER_CUSTOMERS_AUM</x:t>
  </x:si>
  <x:si>
    <x:t>IQ_AUM_BEGINNING_OF_PERIOD</x:t>
  </x:si>
  <x:si>
    <x:t>Normalized Net Income (%)</x:t>
  </x:si>
  <x:si>
    <x:t>Diluted EPS Before Extra(%)</x:t>
  </x:si>
  <x:si>
    <x:t>IQ_TOTAL_REV_2YR_ANN_GROWTH</x:t>
  </x:si>
  <x:si>
    <x:t>IQ_TOTAL_REV_3YR_ANN_GROWTH</x:t>
  </x:si>
  <x:si>
    <x:t>Cash From Operations (%)</x:t>
  </x:si>
  <x:si>
    <x:t>Levered Free Cash Flow (%)</x:t>
  </x:si>
  <x:si>
    <x:t>IQ_LT_DEBT_TO_TOTAL_CAPITAL</x:t>
  </x:si>
  <x:si>
    <x:t>IQ_NI_NORM_2YR_ANN_GROWTH</x:t>
  </x:si>
  <x:si>
    <x:t>IQ_EBITDA_3YR_ANN_GROWTH</x:t>
  </x:si>
  <x:si>
    <x:t>Capital Expenditures (%)</x:t>
  </x:si>
  <x:si>
    <x:t>IQ_ACCT_RECV_3YR_ANN_GROWTH</x:t>
  </x:si>
  <x:si>
    <x:t>IQ_TOTAL_OPTIONS_CANCELLED</x:t>
  </x:si>
  <x:si>
    <x:t>IQ_TOTAL_WARRANTS_BEG_OS</x:t>
  </x:si>
  <x:si>
    <x:t>IQ_CAPITALIZED_INTEREST_EOP</x:t>
  </x:si>
  <x:si>
    <x:t>Mutual Fund - Redemptions</x:t>
  </x:si>
  <x:si>
    <x:t>IQ_MUTUAL_FUND_REDEMPTIONS</x:t>
  </x:si>
  <x:si>
    <x:t>IQ_CAP_LOSS_CF_AFTER_FIVE</x:t>
  </x:si>
  <x:si>
    <x:t>IQ_NET_NEW_CLIENT_ASSETS</x:t>
  </x:si>
  <x:si>
    <x:t>IQ_TOTAL_WARRANTS_EXERCISED</x:t>
  </x:si>
  <x:si>
    <x:t>IQ_ASSETS_CAP_LEASE_GROSS</x:t>
  </x:si>
  <x:si>
    <x:t>AUM Cash Flow &amp; Dividends</x:t>
  </x:si>
  <x:si>
    <x:t>IQ_VALUE_OF_CUSTOMER_ASSETS</x:t>
  </x:si>
  <x:si>
    <x:t>IQ_WARRANTS_STRIKE_PRICE_OS</x:t>
  </x:si>
  <x:si>
    <x:t>Mutual Fund - End of Period</x:t>
  </x:si>
  <x:si>
    <x:t>LOSS CARRY FORWARD ITEMS</x:t>
  </x:si>
  <x:si>
    <x:t>IQ_TOTAL_OPTIONS_GRANTED</x:t>
  </x:si>
  <x:si>
    <x:t>IQ_TOTAL_WARRANTS_ISSUED</x:t>
  </x:si>
  <x:si>
    <x:t>AUM Net Inflows/(Outflows)</x:t>
  </x:si>
  <x:si>
    <x:t>IQ_MUTUAL_FUND_NET_SALES</x:t>
  </x:si>
  <x:si>
    <x:t>Value of Customer Assets</x:t>
  </x:si>
  <x:si>
    <x:t>IQ_ASSET_MNGD_GROWTH_RATE</x:t>
  </x:si>
  <x:si>
    <x:t>IQ_ASSETS_OPER_LEASE_GROSS</x:t>
  </x:si>
  <x:si>
    <x:t>IQ_ORGANIC_GROWTH_RATE_AUM</x:t>
  </x:si>
  <x:si>
    <x:t>IQ_ASSETS_OPER_LEASE_DEPR</x:t>
  </x:si>
  <x:si>
    <x:t>IQ_ASSETS_CAP_LEASE_DEPR</x:t>
  </x:si>
  <x:si>
    <x:t>IQ_CAPITALIZED_INTEREST_BOP</x:t>
  </x:si>
  <x:si>
    <x:t>IQ_CAPITALIZED_INTEREST_EXP</x:t>
  </x:si>
  <x:si>
    <x:t>CAPITALIZED INTEREST DATA</x:t>
  </x:si>
  <x:si>
    <x:t>IQ_TAX_BENEFIT_CF_NO_EXP</x:t>
  </x:si>
  <x:si>
    <x:t>Assets Under Administration</x:t>
  </x:si>
  <x:si>
    <x:t>IQ_OPTIONS_STRIKE_PRICE_OS</x:t>
  </x:si>
  <x:si>
    <x:t>Average Revenue Per Trade</x:t>
  </x:si>
  <x:si>
    <x:t>IQ_TOTAL_OPTIONS_EXERCISED</x:t>
  </x:si>
  <x:si>
    <x:t>IQ_PENSION_CI_TRANSITION</x:t>
  </x:si>
  <x:si>
    <x:t>IQ_TOTAL_WARRANTS_CANCELLED</x:t>
  </x:si>
  <x:si>
    <x:t>IQ_PENSION_CI_NET_AMT_RECOG</x:t>
  </x:si>
  <x:si>
    <x:t>IQ_PENSION_TRANSITION_NEXT</x:t>
  </x:si>
  <x:si>
    <x:t>IQ_PENSION_AMT_RECOG_PERIOD</x:t>
  </x:si>
  <x:si>
    <x:t>IQ_PENSION_OBLIGATION_ROA</x:t>
  </x:si>
  <x:si>
    <x:t xml:space="preserve">Def. Benefit Service Cost </x:t>
  </x:si>
  <x:si>
    <x:t>IQ_PENSION_OBLIGATION_BEG</x:t>
  </x:si>
  <x:si>
    <x:t>Proj. Benefit Obligation</x:t>
  </x:si>
  <x:si>
    <x:t>Bosnian Convertible Marks</x:t>
  </x:si>
  <x:si>
    <x:t>IQ_PENSION_OBLIGATION_ACQ</x:t>
  </x:si>
  <x:si>
    <x:t>Participant Contributions</x:t>
  </x:si>
  <x:si>
    <x:t>IQ_PENSION_DISC_RATE_MIN</x:t>
  </x:si>
  <x:si>
    <x:t>IQ_PENSION_DISC_RATE_MAX</x:t>
  </x:si>
  <x:si>
    <x:t>IQ_PENSION_BREAKDOWN_OTHER</x:t>
  </x:si>
  <x:si>
    <x:t>IQ_PENSION_BREAKDOWN_PCT_FI</x:t>
  </x:si>
  <x:si>
    <x:t>IQ_TOTAL_WARRANTS_END_OS</x:t>
  </x:si>
  <x:si>
    <x:t>IQ_PENSION_ASSETS_FX_ADJ</x:t>
  </x:si>
  <x:si>
    <x:t>Plan Assets - Fixed Income</x:t>
  </x:si>
  <x:si>
    <x:t>IQ_PENSION_CI_PRIOR_SERVICE</x:t>
  </x:si>
  <x:si>
    <x:t>Plan Settlement/Curtailment</x:t>
  </x:si>
  <x:si>
    <x:t>Def. Benefit Service Cost</x:t>
  </x:si>
  <x:si>
    <x:t>Plan Assets - Equities (%)</x:t>
  </x:si>
  <x:si>
    <x:t>IQ_PENSION_BREAKDOWN_PCT_EQ</x:t>
  </x:si>
  <x:si>
    <x:t>IQ_PENSION_BREAKDOWN_PCT_RE</x:t>
  </x:si>
  <x:si>
    <x:t>Defined Benefit Obligation</x:t>
  </x:si>
  <x:si>
    <x:t>IQ_PENSION_INTEREST_COST</x:t>
  </x:si>
  <x:si>
    <x:t>IQ_PENSION_OBLIGATION_PAID</x:t>
  </x:si>
  <x:si>
    <x:t>IQ_PENSION_ASSETS_CURTAIL</x:t>
  </x:si>
  <x:si>
    <x:t>Plan Assets- Real Estate</x:t>
  </x:si>
  <x:si>
    <x:t>Def. Benefit Interest Cost</x:t>
  </x:si>
  <x:si>
    <x:t>Breakdown of Plan Assets</x:t>
  </x:si>
  <x:si>
    <x:t>IQ_OPEB_EXP_RATE_RETURN_MIN</x:t>
  </x:si>
  <x:si>
    <x:t>IQ_PENSION_EST_BENEFIT_5YR</x:t>
  </x:si>
  <x:si>
    <x:t>Venezuelan Bolivar Soberano</x:t>
  </x:si>
  <x:si>
    <x:t>IQ_OPEB_BREAKDOWN_PCT_OTHER</x:t>
  </x:si>
  <x:si>
    <x:t>IQ_OPEB_INCREASE_EFFECT_PBO</x:t>
  </x:si>
  <x:si>
    <x:t>IQ_PENSION_UNRECOG_PRIOR</x:t>
  </x:si>
  <x:si>
    <x:t>1% Increase - Effect on PBO</x:t>
  </x:si>
  <x:si>
    <x:t>IQ_OPEB_EXP_RATE_RETURN_MAX</x:t>
  </x:si>
  <x:si>
    <x:t>IQ_OPEB_CI_NET_AMT_RECOG</x:t>
  </x:si>
  <x:si>
    <x:t>IQ_OPEB_DECREASE_EFFECT_PBO</x:t>
  </x:si>
  <x:si>
    <x:t>IQ_OPEB_BREAKDOWN_PCT_RE</x:t>
  </x:si>
  <x:si>
    <x:t>IQ_PENSION_SERVICE_COST_DOM</x:t>
  </x:si>
  <x:si>
    <x:t xml:space="preserve">Def. Benefit Interest Cost </x:t>
  </x:si>
  <x:si>
    <x:t>Accrued Benefit Liability</x:t>
  </x:si>
  <x:si>
    <x:t>IQ_PENSION_EST_BENEFIT_3YR</x:t>
  </x:si>
  <x:si>
    <x:t>IQ_PENSION_EST_BENEFIT_1YR</x:t>
  </x:si>
  <x:si>
    <x:t>Accum. Other Comp. Income</x:t>
  </x:si>
  <x:si>
    <x:t>Other Pension Related Items</x:t>
  </x:si>
  <x:si>
    <x:t>IQ_OPEB_BREAKDOWN_PCT_EQ</x:t>
  </x:si>
  <x:si>
    <x:t>IQ_OPEB_CI_OTHER_MISC_ADJ</x:t>
  </x:si>
  <x:si>
    <x:t>IQ_OPEB_OBLIGATION_CURTAIL</x:t>
  </x:si>
  <x:si>
    <x:t>IQ_PENSION_ACCUM_OTHER_CI</x:t>
  </x:si>
  <x:si>
    <x:t>IQ_PENSION_NET_ASSET_RECOG</x:t>
  </x:si>
  <x:si>
    <x:t>IQ_PENSION_EST_BENEFIT_2YR</x:t>
  </x:si>
  <x:si>
    <x:t>IQ_OPEB_CI_PRIOR_SERVICE</x:t>
  </x:si>
  <x:si>
    <x:t>Other Assets/Liabilities</x:t>
  </x:si>
  <x:si>
    <x:t>IQ_OPEB_OBLIGATION_FX_ADJ</x:t>
  </x:si>
  <x:si>
    <x:t>IQ_OPEB_PRIOR_SERVICE_NEXT</x:t>
  </x:si>
  <x:si>
    <x:t>IQ_OPEB_EST_BENEFIT_AFTER5</x:t>
  </x:si>
  <x:si>
    <x:t>IQ_PENSION_EST_BENEFIT_4YR</x:t>
  </x:si>
  <x:si>
    <x:t>1% Decrease - Effect on PBO</x:t>
  </x:si>
  <x:si>
    <x:t>IQ_OPEB_BREAKDOWN_PCT_FI</x:t>
  </x:si>
  <x:si>
    <x:t xml:space="preserve">Proj. Benefit Obligation </x:t>
  </x:si>
  <x:si>
    <x:t xml:space="preserve">Plan Assets- Real Estate </x:t>
  </x:si>
  <x:si>
    <x:t>IQ_PENSION_PREPAID_COST_DOM</x:t>
  </x:si>
  <x:si>
    <x:t>IQ_PENSION_ACCRUED_LIAB_DOM</x:t>
  </x:si>
  <x:si>
    <x:t xml:space="preserve">Def. Benefit Other Cost </x:t>
  </x:si>
  <x:si>
    <x:t>IQ_PENSION_INTAN_ASSETS_DOM</x:t>
  </x:si>
  <x:si>
    <x:t xml:space="preserve">Accum. Other Comp. Income </x:t>
  </x:si>
  <x:si>
    <x:t xml:space="preserve">Other Assets/Liabilities </x:t>
  </x:si>
  <x:si>
    <x:t>IQ_PENSION_LT_ASSETS_DOM</x:t>
  </x:si>
  <x:si>
    <x:t>IQ_OPEB_INTEREST_COST_DOM</x:t>
  </x:si>
  <x:si>
    <x:t>IQ_OPEB_SERVICE_COST_DOM</x:t>
  </x:si>
  <x:si>
    <x:t xml:space="preserve">Def. Benefit Total Cost </x:t>
  </x:si>
  <x:si>
    <x:t>IQ_OPEB_OBLIGATION_PAID_DOM</x:t>
  </x:si>
  <x:si>
    <x:t>IQ_OPEB_ASSETS_FX_ADJ_DOM</x:t>
  </x:si>
  <x:si>
    <x:t>IQ_OPEB_ASSETS_CURTAIL_DOM</x:t>
  </x:si>
  <x:si>
    <x:t>IQ_OPEB_DISC_RATE_MIN_DOM</x:t>
  </x:si>
  <x:si>
    <x:t xml:space="preserve">Plan Assets - Fixed Income </x:t>
  </x:si>
  <x:si>
    <x:t>IQ_PENSION_OTHER_ADJ_DOM</x:t>
  </x:si>
  <x:si>
    <x:t>IQ_OPEB_OBLIGATION_ACQ_DOM</x:t>
  </x:si>
  <x:si>
    <x:t>IQ_OPEB_DISC_RATE_MAX_DOM</x:t>
  </x:si>
  <x:si>
    <x:t>IQ_PENSION_BREAKDOWN_RE_DOM</x:t>
  </x:si>
  <x:si>
    <x:t>IQ_OPEB_BREAKDOWN_EQ_DOM</x:t>
  </x:si>
  <x:si>
    <x:t>IQ_OPEB_BREAKDOWN_FI_DOM</x:t>
  </x:si>
  <x:si>
    <x:t>IQ_OPEB_BREAKDOWN_RE_DOM</x:t>
  </x:si>
  <x:si>
    <x:t>IQ_OPEB_BREAKDOWN_OTHER_DOM</x:t>
  </x:si>
  <x:si>
    <x:t xml:space="preserve">Acq. Benefit Obligation </x:t>
  </x:si>
  <x:si>
    <x:t>IQ_PENSION_ASSETS_BEG_DOM</x:t>
  </x:si>
  <x:si>
    <x:t>IQ_PENSION_ASSETS_ACQ_DOM</x:t>
  </x:si>
  <x:si>
    <x:t xml:space="preserve">Participant Contributions </x:t>
  </x:si>
  <x:si>
    <x:t>IQ_PENSION_BREAKDOWN_EQ_DOM</x:t>
  </x:si>
  <x:si>
    <x:t>IQ_PENSION_BREAKDOWN_FI_DOM</x:t>
  </x:si>
  <x:si>
    <x:t xml:space="preserve">Accrued Benefit Liability </x:t>
  </x:si>
  <x:si>
    <x:t>IQ_OTHER_INVEST_ACT_SUPPL</x:t>
  </x:si>
  <x:si>
    <x:t>IQ_OPEB_CI_TRANSITION_DOM</x:t>
  </x:si>
  <x:si>
    <x:t>IQ_PENSION_ACT_NEXT_FOREIGN</x:t>
  </x:si>
  <x:si>
    <x:t>IQ_OPEB_OTHER_ADJ_FOREIGN</x:t>
  </x:si>
  <x:si>
    <x:t>IQ_EBITA_EQ_INC_EXCL_SBC</x:t>
  </x:si>
  <x:si>
    <x:t>Long-Term Derivative Assets</x:t>
  </x:si>
  <x:si>
    <x:t>IQ_DA_CF_EXCL_OPER_LEASES</x:t>
  </x:si>
  <x:si>
    <x:t>IQ_OPEB_EST_BENEFIT_2YR_DOM</x:t>
  </x:si>
  <x:si>
    <x:t>IQ_OPEB_TOTAL_COST_FOREIGN</x:t>
  </x:si>
  <x:si>
    <x:t>IQ_PENSION_LT_LIAB_FOREIGN</x:t>
  </x:si>
  <x:si>
    <x:t>IQ_OPEB_EST_BENEFIT_1YR_DOM</x:t>
  </x:si>
  <x:si>
    <x:t>IQ_OPEB_INTAN_ASSETS_DOM</x:t>
  </x:si>
  <x:si>
    <x:t>IQ_OPEB_ACCRUED_LIAB_DOM</x:t>
  </x:si>
  <x:si>
    <x:t>IQ_PENSION_ASSETS_FOREIGN</x:t>
  </x:si>
  <x:si>
    <x:t>IQ_PENSION_CI_ACT_FOREIGN</x:t>
  </x:si>
  <x:si>
    <x:t>IQ_OPEB_OTHER_COST_FOREIGN</x:t>
  </x:si>
  <x:si>
    <x:t>IQ_OPEB_ASSETS_BEG_FOREIGN</x:t>
  </x:si>
  <x:si>
    <x:t>IQ_OPEB_ASSETS_ACQ_FOREIGN</x:t>
  </x:si>
  <x:si>
    <x:t>IQ_OPEB_EST_BENEFIT_3YR_DOM</x:t>
  </x:si>
  <x:si>
    <x:t>Operating Lease Payments</x:t>
  </x:si>
  <x:si>
    <x:t>Long-Term Debt Derivatives</x:t>
  </x:si>
  <x:si>
    <x:t>IQ_OPEB_EST_BENEFIT_5YR_DOM</x:t>
  </x:si>
  <x:si>
    <x:t>IQ_OPEB_PREPAID_COST_DOM</x:t>
  </x:si>
  <x:si>
    <x:t>IQ_PENSION_OTHER_FOREIGN</x:t>
  </x:si>
  <x:si>
    <x:t>IQ_OPEB_LT_ASSETS_FOREIGN</x:t>
  </x:si>
  <x:si>
    <x:t>IQ_OPEB_ACT_NEXT_FOREIGN</x:t>
  </x:si>
  <x:si>
    <x:t>IQ_OPEB_UNRECOG_PRIOR_DOM</x:t>
  </x:si>
  <x:si>
    <x:t>IQ_OPEB_NET_ASSET_RECOG_DOM</x:t>
  </x:si>
  <x:si>
    <x:t>IQ_OPEB_EST_BENEFIT_4YR_DOM</x:t>
  </x:si>
  <x:si>
    <x:t>IQ_OPEB_EXP_RETURN_FOREIGN</x:t>
  </x:si>
  <x:si>
    <x:t>IQ_OPEB_ACCUM_OTHER_CI_DOM</x:t>
  </x:si>
  <x:si>
    <x:t>IQ_OPERATING_LEASE_PAYMENT</x:t>
  </x:si>
  <x:si>
    <x:t>IQ_OTHER_NON_OPER_EXP_SUPPL</x:t>
  </x:si>
  <x:si>
    <x:t>Reclassified for Disposal</x:t>
  </x:si>
  <x:si>
    <x:t>PricewaterhouseCoopers LLP</x:t>
  </x:si>
  <x:si>
    <x:t>IQ_COGS</x:t>
  </x:si>
  <x:si>
    <x:t>Actuals</x:t>
  </x:si>
  <x:si>
    <x:t>FQ+1</x:t>
  </x:si>
  <x:si>
    <x:t>Next</x:t>
  </x:si>
  <x:si>
    <x:t>email:</x:t>
  </x:si>
  <x:si>
    <x:t>Current</x:t>
  </x:si>
  <x:si>
    <x:t>FY-1</x:t>
  </x:si>
  <x:si>
    <x:t>FY+1</x:t>
  </x:si>
  <x:si>
    <x:t>LTM-1</x:t>
  </x:si>
  <x:si>
    <x:t>EBIT</x:t>
  </x:si>
  <x:si>
    <x:t>IQ_EBIT</x:t>
  </x:si>
  <x:si>
    <x:t>IQ_SGA</x:t>
  </x:si>
  <x:si>
    <x:t>Revenue</x:t>
  </x:si>
  <x:si>
    <x:t>IQ_GP</x:t>
  </x:si>
  <x:si>
    <x:t>IQ_REV</x:t>
  </x:si>
  <x:si>
    <x:t>FQ-1</x:t>
  </x:si>
  <x:si>
    <x:t>EBITDA</x:t>
  </x:si>
  <x:si>
    <x:t>IQ_PE</x:t>
  </x:si>
  <x:si>
    <x:t>IQ_RC</x:t>
  </x:si>
  <x:si>
    <x:t>IQ_ROC</x:t>
  </x:si>
  <x:si>
    <x:t>IQ_GPPE</x:t>
  </x:si>
  <x:si>
    <x:t>IQ_AUM</x:t>
  </x:si>
  <x:si>
    <x:t>IQ_DA</x:t>
  </x:si>
  <x:si>
    <x:t>EBITA</x:t>
  </x:si>
  <x:si>
    <x:t>IQ_AE</x:t>
  </x:si>
  <x:si>
    <x:t>IQ_LAND</x:t>
  </x:si>
  <x:si>
    <x:t>High</x:t>
  </x:si>
  <x:si>
    <x:t>Average</x:t>
  </x:si>
  <x:si>
    <x:t>IQ_EBT</x:t>
  </x:si>
  <x:si>
    <x:t>IQ_BVPS</x:t>
  </x:si>
  <x:si>
    <x:t>IQ_CIP</x:t>
  </x:si>
  <x:si>
    <x:t>Median</x:t>
  </x:si>
  <x:si>
    <x:t>FQ-3</x:t>
  </x:si>
  <x:si>
    <x:t>FQ-2</x:t>
  </x:si>
  <x:si>
    <x:t>ASSETS</x:t>
  </x:si>
  <x:si>
    <x:t>IQ_IPRD</x:t>
  </x:si>
  <x:si>
    <x:t>IQ_NPPE</x:t>
  </x:si>
  <x:si>
    <x:t>Close</x:t>
  </x:si>
  <x:si>
    <x:t>IQ_CP</x:t>
  </x:si>
  <x:si>
    <x:t>IQ_AR</x:t>
  </x:si>
  <x:si>
    <x:t>IQ_ROA</x:t>
  </x:si>
  <x:si>
    <x:t>IQ_APIC</x:t>
  </x:si>
  <x:si>
    <x:t>IQ_ROE</x:t>
  </x:si>
  <x:si>
    <x:t>Land</x:t>
  </x:si>
  <x:si>
    <x:t>IQ_AP</x:t>
  </x:si>
  <x:si>
    <x:t>IQ_ROCE</x:t>
  </x:si>
  <x:si>
    <x:t>EBITDAR</x:t>
  </x:si>
  <x:si>
    <x:t>FQ-5</x:t>
  </x:si>
  <x:si>
    <x:t>EQUITY</x:t>
  </x:si>
  <x:si>
    <x:t>FQ-4</x:t>
  </x:si>
  <x:si>
    <x:t>Mex$</x:t>
  </x:si>
  <x:si>
    <x:t>Symbol</x:t>
  </x:si>
  <x:si>
    <x:t>Euro</x:t>
  </x:si>
  <x:si>
    <x:t>Mag.</x:t>
  </x:si>
  <x:si>
    <x:t>Kshs.</x:t>
  </x:si>
  <x:si>
    <x:t>units</x:t>
  </x:si>
  <x:si>
    <x:t>OPEB</x:t>
  </x:si>
  <x:si>
    <x:t>د.م.</x:t>
  </x:si>
  <x:si>
    <x:t>Divisor</x:t>
  </x:si>
  <x:si>
    <x:t>SFr.</x:t>
  </x:si>
  <x:si>
    <x:t>Type</x:t>
  </x:si>
  <x:si>
    <x:t>PENSION</x:t>
  </x:si>
  <x:si>
    <x:t>Secured</x:t>
  </x:si>
  <x:si>
    <x:t>Senior</x:t>
  </x:si>
  <x:si>
    <x:t>Dhs.</x:t>
  </x:si>
  <x:si>
    <x:t>Col$</x:t>
  </x:si>
  <x:si>
    <x:t>Bs. S</x:t>
  </x:si>
  <x:si>
    <x:t>Auditor Name</x:t>
  </x:si>
  <x:si>
    <x:t>IQ_GROSS_MARGIN</x:t>
  </x:si>
  <x:si>
    <x:t>IQ_AUM_EQUITY</x:t>
  </x:si>
  <x:si>
    <x:t>IQ_AUM_OTHER</x:t>
  </x:si>
  <x:si>
    <x:t>IQ_RE_FUNDS_AUM</x:t>
  </x:si>
  <x:si>
    <x:t>IQ_OL_COMM_CY2</x:t>
  </x:si>
  <x:si>
    <x:t>IQ_QUICK_RATIO</x:t>
  </x:si>
  <x:si>
    <x:t>IQ_EBITA_MARGIN</x:t>
  </x:si>
  <x:si>
    <x:t>SG&amp;A Margin (%)</x:t>
  </x:si>
  <x:si>
    <x:t>IQ_OL_COMM_CY3</x:t>
  </x:si>
  <x:si>
    <x:t>EBIT Margin (%)</x:t>
  </x:si>
  <x:si>
    <x:t>Quick Ratio (x)</x:t>
  </x:si>
  <x:si>
    <x:t>Total Assets(%)</x:t>
  </x:si>
  <x:si>
    <x:t>Gross Profit(%)</x:t>
  </x:si>
  <x:si>
    <x:t>IQ_SGA_MARGIN</x:t>
  </x:si>
  <x:si>
    <x:t>IQ_EBIT_MARGIN</x:t>
  </x:si>
  <x:si>
    <x:t>IQ_OL_COMM_CY</x:t>
  </x:si>
  <x:si>
    <x:t>IQ_AUDITOR_NAME</x:t>
  </x:si>
  <x:si>
    <x:t>IQ_ASSET_TURNS</x:t>
  </x:si>
  <x:si>
    <x:t>Net Income (%)</x:t>
  </x:si>
  <x:si>
    <x:t>IQ_EBITDA_INT</x:t>
  </x:si>
  <x:si>
    <x:t>Inventory (%)</x:t>
  </x:si>
  <x:si>
    <x:t>IQ_OL_COMM_CY1</x:t>
  </x:si>
  <x:si>
    <x:t>MARGIN ANALYSIS</x:t>
  </x:si>
  <x:si>
    <x:t>IQ_NI_MARGIN</x:t>
  </x:si>
  <x:si>
    <x:t>ASSET TURNOVER</x:t>
  </x:si>
  <x:si>
    <x:t>IQ_UFCF_MARGIN</x:t>
  </x:si>
  <x:si>
    <x:t>Auditor Opinion</x:t>
  </x:si>
  <x:si>
    <x:t>PROFITABILITY</x:t>
  </x:si>
  <x:si>
    <x:t>IQ_FILM_RIGHTS</x:t>
  </x:si>
  <x:si>
    <x:t>IQ_LFCF_MARGIN</x:t>
  </x:si>
  <x:si>
    <x:t>IQ_OL_COMM_CY4</x:t>
  </x:si>
  <x:si>
    <x:t>IQ_AUM_OUTFLOWS</x:t>
  </x:si>
  <x:si>
    <x:t>Bahraini Dinar</x:t>
  </x:si>
  <x:si>
    <x:t>IQ_AUM_INFLOWS</x:t>
  </x:si>
  <x:si>
    <x:t>IQ_NOL_CF_1YR</x:t>
  </x:si>
  <x:si>
    <x:t>Canadian Dollar</x:t>
  </x:si>
  <x:si>
    <x:t>Afghan Afghani</x:t>
  </x:si>
  <x:si>
    <x:t>IQ_NOL_CF_5YR</x:t>
  </x:si>
  <x:si>
    <x:t>Armenian Dram</x:t>
  </x:si>
  <x:si>
    <x:t>Japanese Yen</x:t>
  </x:si>
  <x:si>
    <x:t>Benefits Paid</x:t>
  </x:si>
  <x:si>
    <x:t>IQ_NOL_CF_4YR</x:t>
  </x:si>
  <x:si>
    <x:t>Colombian Peso</x:t>
  </x:si>
  <x:si>
    <x:t>Croatian Kuna</x:t>
  </x:si>
  <x:si>
    <x:t>Danish Krone</x:t>
  </x:si>
  <x:si>
    <x:t>AUM Outflows</x:t>
  </x:si>
  <x:si>
    <x:t>IQ_NOL_CF_2YR</x:t>
  </x:si>
  <x:si>
    <x:t>Dominican Peso</x:t>
  </x:si>
  <x:si>
    <x:t>Egyptian Pound</x:t>
  </x:si>
  <x:si>
    <x:t>IQ_NOL_CF_TOTAL</x:t>
  </x:si>
  <x:si>
    <x:t>Albanian Lek</x:t>
  </x:si>
  <x:si>
    <x:t>IQ_FEE_EARN_AUM</x:t>
  </x:si>
  <x:si>
    <x:t>Argentine Peso</x:t>
  </x:si>
  <x:si>
    <x:t>Bahamian Dollar</x:t>
  </x:si>
  <x:si>
    <x:t>Bulgarian Lev</x:t>
  </x:si>
  <x:si>
    <x:t>Georgian Lari</x:t>
  </x:si>
  <x:si>
    <x:t>Chilean Peso</x:t>
  </x:si>
  <x:si>
    <x:t>Icelandic Krona</x:t>
  </x:si>
  <x:si>
    <x:t>IQ_NOL_CF_3YR</x:t>
  </x:si>
  <x:si>
    <x:t>Brazilian Real</x:t>
  </x:si>
  <x:si>
    <x:t>Cambodian Riel</x:t>
  </x:si>
  <x:si>
    <x:t>Czech Koruna</x:t>
  </x:si>
  <x:si>
    <x:t>Currency Name</x:t>
  </x:si>
  <x:si>
    <x:t>Turkish Lira</x:t>
  </x:si>
  <x:si>
    <x:t>IQ_PENSION_CL</x:t>
  </x:si>
  <x:si>
    <x:t>IQ_OPEB_OTHER</x:t>
  </x:si>
  <x:si>
    <x:t>Kyrgyzstani Som</x:t>
  </x:si>
  <x:si>
    <x:t>Moldovan Leu</x:t>
  </x:si>
  <x:si>
    <x:t>Philippine Peso</x:t>
  </x:si>
  <x:si>
    <x:t xml:space="preserve">Benefits Paid </x:t>
  </x:si>
  <x:si>
    <x:t>Kenyan Shilling</x:t>
  </x:si>
  <x:si>
    <x:t>Serbian Dinar</x:t>
  </x:si>
  <x:si>
    <x:t>OPEB - Domestic</x:t>
  </x:si>
  <x:si>
    <x:t>Vietnam Dong</x:t>
  </x:si>
  <x:si>
    <x:t>Indian Rupee</x:t>
  </x:si>
  <x:si>
    <x:t>Moroccan Dirham</x:t>
  </x:si>
  <x:si>
    <x:t>Mexican Peso</x:t>
  </x:si>
  <x:si>
    <x:t>Jordanian Dinar</x:t>
  </x:si>
  <x:si>
    <x:t>Romanian Leu</x:t>
  </x:si>
  <x:si>
    <x:t>Norwegian Krone</x:t>
  </x:si>
  <x:si>
    <x:t>Pakistani Rupee</x:t>
  </x:si>
  <x:si>
    <x:t>Polish Zloty</x:t>
  </x:si>
  <x:si>
    <x:t>Sri Lanka Rupee</x:t>
  </x:si>
  <x:si>
    <x:t>Swedish Krona</x:t>
  </x:si>
  <x:si>
    <x:t>Tajik Somoni</x:t>
  </x:si>
  <x:si>
    <x:t>Peruvian Sol</x:t>
  </x:si>
  <x:si>
    <x:t>Tunisian Dinar</x:t>
  </x:si>
  <x:si>
    <x:t>Uzbekistani Som</x:t>
  </x:si>
  <x:si>
    <x:t>Conv. Method</x:t>
  </x:si>
  <x:si>
    <x:t>Ukraine Hryvnia</x:t>
  </x:si>
  <x:si>
    <x:t>IQ_OPEB_ASSETS</x:t>
  </x:si>
  <x:si>
    <x:t>IQ_OPEB_CI_ACT</x:t>
  </x:si>
  <x:si>
    <x:t>IQ_OPEB_LT_LIAB</x:t>
  </x:si>
  <x:si>
    <x:t>Kuwaiti Dinar</x:t>
  </x:si>
  <x:si>
    <x:t>Russian Ruble</x:t>
  </x:si>
  <x:si>
    <x:t>SP_COMPANY_NAME</x:t>
  </x:si>
  <x:si>
    <x:t>0.7% EUR Notes</x:t>
  </x:si>
  <x:si>
    <x:t>$F$11 Format</x:t>
  </x:si>
  <x:si>
    <x:t>1.3% EUR Notes</x:t>
  </x:si>
  <x:si>
    <x:t>TEV/EBITDA (x)</x:t>
  </x:si>
  <x:si>
    <x:t>TEV/EBIT (x)</x:t>
  </x:si>
  <x:si>
    <x:t>1.2% EUR Notes</x:t>
  </x:si>
  <x:si>
    <x:t>3.0% USD Notes</x:t>
  </x:si>
  <x:si>
    <x:t>3.7% USD Notes</x:t>
  </x:si>
  <x:si>
    <x:t>3.8% EUR Notes</x:t>
  </x:si>
  <x:si>
    <x:t>3.45% EUR Notes</x:t>
  </x:si>
  <x:si>
    <x:t>IQ_EBITA_EQ_INC</x:t>
  </x:si>
  <x:si>
    <x:t>2.9% USD Notes</x:t>
  </x:si>
  <x:si>
    <x:t>IQ_OPEB_CL_DOM</x:t>
  </x:si>
  <x:si>
    <x:t>Per Share Items</x:t>
  </x:si>
  <x:si>
    <x:t>1.5% EUR Notes</x:t>
  </x:si>
  <x:si>
    <x:t>1.7% EUR Notes</x:t>
  </x:si>
  <x:si>
    <x:t>4.0% USD Notes</x:t>
  </x:si>
  <x:si>
    <x:t>OPEB - Foreign</x:t>
  </x:si>
  <x:si>
    <x:t>3.2% USD Notes</x:t>
  </x:si>
  <x:si>
    <x:t>3.6% USD Notes</x:t>
  </x:si>
  <x:si>
    <x:t>4.3% USD Notes</x:t>
  </x:si>
  <x:si>
    <x:t>1.9% EUR Notes</x:t>
  </x:si>
  <x:si>
    <x:t>Price/ EPS  (x)</x:t>
  </x:si>
  <x:si>
    <x:t>4.0% EUR Notes</x:t>
  </x:si>
  <x:si>
    <x:t>Principal Due</x:t>
  </x:si>
  <x:si>
    <x:t>4.2% USD Notes</x:t>
  </x:si>
  <x:si>
    <x:t>3.15% EUR Notes</x:t>
  </x:si>
  <x:si>
    <x:t>IQ_TOTAL_REV</x:t>
  </x:si>
  <x:si>
    <x:t>KEY FINANCIALS</x:t>
  </x:si>
  <x:si>
    <x:t>Period Ended</x:t>
  </x:si>
  <x:si>
    <x:t>SP_REV_DATE_EST</x:t>
  </x:si>
  <x:si>
    <x:t>SP_EBITDA_EST</x:t>
  </x:si>
  <x:si>
    <x:t>Gross Profit</x:t>
  </x:si>
  <x:si>
    <x:t>Instructions:</x:t>
  </x:si>
  <x:si>
    <x:t>Fiscal Quarter</x:t>
  </x:si>
  <x:si>
    <x:t>IQ_PERIOD_END</x:t>
  </x:si>
  <x:si>
    <x:t>Total Revenue</x:t>
  </x:si>
  <x:si>
    <x:t>IQ_INS_DIV_REV</x:t>
  </x:si>
  <x:si>
    <x:t>IQ_IMPAIR_OIL</x:t>
  </x:si>
  <x:si>
    <x:t>Capitalization</x:t>
  </x:si>
  <x:si>
    <x:t>Total Capital</x:t>
  </x:si>
  <x:si>
    <x:t xml:space="preserve">   Divide By</x:t>
  </x:si>
  <x:si>
    <x:t>IQ_INT_INV_INC</x:t>
  </x:si>
  <x:si>
    <x:t>Total Liability</x:t>
  </x:si>
  <x:si>
    <x:t>IQ_TOTAL_DEBT</x:t>
  </x:si>
  <x:si>
    <x:t>IQ_OTHER_OPER</x:t>
  </x:si>
  <x:si>
    <x:t>Other Revenue</x:t>
  </x:si>
  <x:si>
    <x:t>IQ_INC_EQUITY</x:t>
  </x:si>
  <x:si>
    <x:t>IQ_INS_DIV_EXP</x:t>
  </x:si>
  <x:si>
    <x:t>Net Liability</x:t>
  </x:si>
  <x:si>
    <x:t>IQ_INTEREST_EXP</x:t>
  </x:si>
  <x:si>
    <x:t>IQ_RESTRUCTURE</x:t>
  </x:si>
  <x:si>
    <x:t>IQ_FIN_DIV_EXP</x:t>
  </x:si>
  <x:si>
    <x:t>+ Total Debt</x:t>
  </x:si>
  <x:si>
    <x:t>Common Equity</x:t>
  </x:si>
  <x:si>
    <x:t>= Total Capital</x:t>
  </x:si>
  <x:si>
    <x:t>Day Close Price</x:t>
  </x:si>
  <x:si>
    <x:t>IQ_TEV_EBITDA</x:t>
  </x:si>
  <x:si>
    <x:t>IQ_STOCK_BASED</x:t>
  </x:si>
  <x:si>
    <x:t>IQ_FIN_DIV_REV</x:t>
  </x:si>
  <x:si>
    <x:t>Price/BV (x)</x:t>
  </x:si>
  <x:si>
    <x:t>SP_TEV_EBIT_FWD</x:t>
  </x:si>
  <x:si>
    <x:t>IQ_LEGAL_SETTLE</x:t>
  </x:si>
  <x:si>
    <x:t>IQ_CURR_TAXES</x:t>
  </x:si>
  <x:si>
    <x:t>IQ_INT_EXP_LTD</x:t>
  </x:si>
  <x:si>
    <x:t>IQ_INS_SETTLE</x:t>
  </x:si>
  <x:si>
    <x:t xml:space="preserve">Diluted EPS </x:t>
  </x:si>
  <x:si>
    <x:t>IQ_EBITDA_CAPEX</x:t>
  </x:si>
  <x:si>
    <x:t>EBITDA, CAPEX</x:t>
  </x:si>
  <x:si>
    <x:t>IQ_PAYOUT_RATIO</x:t>
  </x:si>
  <x:si>
    <x:t>Asset Writedown</x:t>
  </x:si>
  <x:si>
    <x:t>IQ_EBIT_EQ_INC</x:t>
  </x:si>
  <x:si>
    <x:t>D&amp;A for EBITDA</x:t>
  </x:si>
  <x:si>
    <x:t>IQ_DA_EBITDA</x:t>
  </x:si>
  <x:si>
    <x:t>IQ_GAIN_INVEST</x:t>
  </x:si>
  <x:si>
    <x:t>IQ_GAIN_ASSETS</x:t>
  </x:si>
  <x:si>
    <x:t>IQ_MAINT_REPAIR</x:t>
  </x:si>
  <x:si>
    <x:t>IQ_OTHER_RECEIV</x:t>
  </x:si>
  <x:si>
    <x:t>IQ_INVENTORY</x:t>
  </x:si>
  <x:si>
    <x:t>Prepaid Exp.</x:t>
  </x:si>
  <x:si>
    <x:t>IQ_TOTAL_LIAB</x:t>
  </x:si>
  <x:si>
    <x:t>IQ_PREF_REDEEM</x:t>
  </x:si>
  <x:si>
    <x:t>IQ_PREF_CONVERT</x:t>
  </x:si>
  <x:si>
    <x:t>Long-Term Debt</x:t>
  </x:si>
  <x:si>
    <x:t>IQ_CASH_EQUIV</x:t>
  </x:si>
  <x:si>
    <x:t>Restricted Cash</x:t>
  </x:si>
  <x:si>
    <x:t>IQ_OTHER_INTAN</x:t>
  </x:si>
  <x:si>
    <x:t>IQ_PREF_OTHER</x:t>
  </x:si>
  <x:si>
    <x:t>Common Stock</x:t>
  </x:si>
  <x:si>
    <x:t>Treasury Stock</x:t>
  </x:si>
  <x:si>
    <x:t>Capital Leases</x:t>
  </x:si>
  <x:si>
    <x:t>IQ_COMMON_STOCK</x:t>
  </x:si>
  <x:si>
    <x:t>IQ_TOTAL_EQUITY</x:t>
  </x:si>
  <x:si>
    <x:t>IQ_PREPAID_EXP</x:t>
  </x:si>
  <x:si>
    <x:t>IQ_RUA_GROSS</x:t>
  </x:si>
  <x:si>
    <x:t>IQ_TOTAL_ASSETS</x:t>
  </x:si>
  <x:si>
    <x:t>IQ_ST_INVEST</x:t>
  </x:si>
  <x:si>
    <x:t>Total Equity</x:t>
  </x:si>
  <x:si>
    <x:t>IQ_OTHER_EQUITY</x:t>
  </x:si>
  <x:si>
    <x:t>IQ_ADVERTISING</x:t>
  </x:si>
  <x:si>
    <x:t>IQ_RD_EXP_FN</x:t>
  </x:si>
  <x:si>
    <x:t>IQ_MARKETING</x:t>
  </x:si>
  <x:si>
    <x:t>IQ_TOTAL_RECEIV</x:t>
  </x:si>
  <x:si>
    <x:t>IQ_LOANS_HFS</x:t>
  </x:si>
  <x:si>
    <x:t>IQ_LT_INVEST</x:t>
  </x:si>
  <x:si>
    <x:t>Filing Currency</x:t>
  </x:si>
  <x:si>
    <x:t>Reclassified</x:t>
  </x:si>
  <x:si>
    <x:t>Accrued Exp.</x:t>
  </x:si>
  <x:si>
    <x:t>Cash from Ops.</x:t>
  </x:si>
  <x:si>
    <x:t>IQ_BVPS_RPTD</x:t>
  </x:si>
  <x:si>
    <x:t>IQ_TOTAL_CAP</x:t>
  </x:si>
  <x:si>
    <x:t>Total Employees</x:t>
  </x:si>
  <x:si>
    <x:t>IQ_TBVPS_RPTD</x:t>
  </x:si>
  <x:si>
    <x:t>Order Backlog</x:t>
  </x:si>
  <x:si>
    <x:t>IQ_OTHER_AMORT</x:t>
  </x:si>
  <x:si>
    <x:t>Total Leases</x:t>
  </x:si>
  <x:si>
    <x:t>IQ_MACHINERY</x:t>
  </x:si>
  <x:si>
    <x:t>IQ_INTAN_NET</x:t>
  </x:si>
  <x:si>
    <x:t>IQ_OIL_IMPAIR</x:t>
  </x:si>
  <x:si>
    <x:t>IQ_CASH_SHARE</x:t>
  </x:si>
  <x:si>
    <x:t>IQ_OTHER_INV</x:t>
  </x:si>
  <x:si>
    <x:t>IQ_TANG_EQUITY</x:t>
  </x:si>
  <x:si>
    <x:t>IQ_BUILDINGS</x:t>
  </x:si>
  <x:si>
    <x:t>IQ_PART_TIME</x:t>
  </x:si>
  <x:si>
    <x:t>LIFO Reserve</x:t>
  </x:si>
  <x:si>
    <x:t>IQ_CHANGE_AR</x:t>
  </x:si>
  <x:si>
    <x:t>IQ_CASH_OPER</x:t>
  </x:si>
  <x:si>
    <x:t>Working Capital</x:t>
  </x:si>
  <x:si>
    <x:t>IQ_SALE_PPE_CF</x:t>
  </x:si>
  <x:si>
    <x:t>Cash per Share</x:t>
  </x:si>
  <x:si>
    <x:t>IQ_CHANGE_AP</x:t>
  </x:si>
  <x:si>
    <x:t xml:space="preserve">Gross Goodwill </x:t>
  </x:si>
  <x:si>
    <x:t>IQ_DA_SUPPL_CF</x:t>
  </x:si>
  <x:si>
    <x:t>IQ_WORKING_CAP</x:t>
  </x:si>
  <x:si>
    <x:t>IQ_AR_UNBILLED</x:t>
  </x:si>
  <x:si>
    <x:t>IQ_FINISHED_INV</x:t>
  </x:si>
  <x:si>
    <x:t>IQ_TOTAL_LEASES</x:t>
  </x:si>
  <x:si>
    <x:t>Avg Employees</x:t>
  </x:si>
  <x:si>
    <x:t>Goodwill (Net)</x:t>
  </x:si>
  <x:si>
    <x:t>IQ_FULL_TIME</x:t>
  </x:si>
  <x:si>
    <x:t>Price / LTM EPS</x:t>
  </x:si>
  <x:si>
    <x:t>Price / NTM EPS</x:t>
  </x:si>
  <x:si>
    <x:t>IQ_OTHER_DEBT</x:t>
  </x:si>
  <x:si>
    <x:t>Total Sub. Debt</x:t>
  </x:si>
  <x:si>
    <x:t>IQ_PREF_DIV_CF</x:t>
  </x:si>
  <x:si>
    <x:t>Sr. Sub. Debt</x:t>
  </x:si>
  <x:si>
    <x:t>Cash Taxes Paid</x:t>
  </x:si>
  <x:si>
    <x:t>IQ_DO_INVEST_CF</x:t>
  </x:si>
  <x:si>
    <x:t>IQ_CASH_INVEST</x:t>
  </x:si>
  <x:si>
    <x:t>Forward P / BV</x:t>
  </x:si>
  <x:si>
    <x:t>IQ_DIVEST_CF</x:t>
  </x:si>
  <x:si>
    <x:t xml:space="preserve">Total Capital </x:t>
  </x:si>
  <x:si>
    <x:t>IQ_TERM_LOANS</x:t>
  </x:si>
  <x:si>
    <x:t>Divestitures</x:t>
  </x:si>
  <x:si>
    <x:t>IQ_UNAMORT_DISC</x:t>
  </x:si>
  <x:si>
    <x:t>IQ_DEBT_ADJ_PCT</x:t>
  </x:si>
  <x:si>
    <x:t>IQ_UNDRAWN_RC</x:t>
  </x:si>
  <x:si>
    <x:t>IQ_CASH_TAXES</x:t>
  </x:si>
  <x:si>
    <x:t>TEV / NTM EBIT</x:t>
  </x:si>
  <x:si>
    <x:t>IQ_UNDRAWN_TL</x:t>
  </x:si>
  <x:si>
    <x:t>IQ_PREF_ISSUED</x:t>
  </x:si>
  <x:si>
    <x:t>IQ_LEVERED_FCF</x:t>
  </x:si>
  <x:si>
    <x:t>IQ_MAINT_CAPEX</x:t>
  </x:si>
  <x:si>
    <x:t>TEV / LTM EBIT</x:t>
  </x:si>
  <x:si>
    <x:t>SP_PCFPS_FWD</x:t>
  </x:si>
  <x:si>
    <x:t>Trust Preferred</x:t>
  </x:si>
  <x:si>
    <x:t>Pricing as of*</x:t>
  </x:si>
  <x:si>
    <x:t>IQ_COMMON_REP</x:t>
  </x:si>
  <x:si>
    <x:t>IQ_UNDRAWN_CP</x:t>
  </x:si>
  <x:si>
    <x:t>IQ_SR_DEBT_PCT</x:t>
  </x:si>
  <x:si>
    <x:t>Net Debt Issued</x:t>
  </x:si>
  <x:si>
    <x:t>IQ_CASH_FINAN</x:t>
  </x:si>
  <x:si>
    <x:t>Jr. Sub. Debt</x:t>
  </x:si>
  <x:si>
    <x:t>IQ_CONVERT_PCT</x:t>
  </x:si>
  <x:si>
    <x:t>CREDIT RATIOS</x:t>
  </x:si>
  <x:si>
    <x:t>IQ_LTD_DUE_CY2</x:t>
  </x:si>
  <x:si>
    <x:t>IQ_SR_SUB_DEBT</x:t>
  </x:si>
  <x:si>
    <x:t>Fixed Rate Debt</x:t>
  </x:si>
  <x:si>
    <x:t>IQ_LTD_DUE_CY</x:t>
  </x:si>
  <x:si>
    <x:t>IQ_LTD_DUE_CY4</x:t>
  </x:si>
  <x:si>
    <x:t>IQ_CL_DUE_CY</x:t>
  </x:si>
  <x:si>
    <x:t>IQ_CL_DUE_CY1</x:t>
  </x:si>
  <x:si>
    <x:t>IQ_CL_DUE_CY2</x:t>
  </x:si>
  <x:si>
    <x:t>IQ_LTD_DUE_CY1</x:t>
  </x:si>
  <x:si>
    <x:t>IQ_SECURED_DEBT</x:t>
  </x:si>
  <x:si>
    <x:t>IQ_SUB_DEBT_PCT</x:t>
  </x:si>
  <x:si>
    <x:t>Total Bank Debt</x:t>
  </x:si>
  <x:si>
    <x:t>IQ_BANK_DEBT</x:t>
  </x:si>
  <x:si>
    <x:t>Unsecured Debt</x:t>
  </x:si>
  <x:si>
    <x:t>IQ_ST_DEBT_PCT</x:t>
  </x:si>
  <x:si>
    <x:t>IQ_CL_DUE_CY3</x:t>
  </x:si>
  <x:si>
    <x:t>IQ_CL_DUE_CY4</x:t>
  </x:si>
  <x:si>
    <x:t>IQ_LTD_DUE_CY3</x:t>
  </x:si>
  <x:si>
    <x:t>Secured Debt</x:t>
  </x:si>
  <x:si>
    <x:t>IQ_JR_SUB_DEBT</x:t>
  </x:si>
  <x:si>
    <x:t>䝁䅕䅤硁䍁䅅䅊䉂䕁䅅䅊㉁䅁䅁睳䅙䝁䄴䅁䑂䝁䅅䅣灂䡁䅑兙獂䍁䅁䅔療䡁䅍督杁䕁䅍兙祂䡁䅉入浂䝁䄸杣㍂䝁䅅杣歂䍁䅷䅉䑂䡁䅕杣祂䝁䅕杢あ䍁䅁兗求䝁䅅杣杁䍁䅳䅉穁䍁䅁䅋卂䝁䅕䅣療䡁䅉䅤求䝁䅑克䅁佁䍍䅁睂䅁䅁睊扂䕁䄰兓時䕁䅍睢瑂䡁䅁兙畂䡁䅫睘䱂䝁䅕入呂䡁䅑兙あ䡁䅍睘㉂䑁䅅兌䑂䝁䄸䅣㕂䍁䄴䅥獂䡁䅍兢摂䕁䅍兙睂䝁䅫䅤桂䝁䅷兡㙂䝁䅅䅤灂䝁䄸杢湁䍁䅅䅊䑂䍁䅑䅎䅁䑁䙑䅁祂䅁䅁睊扂䕁䄰兓時䕁䅍睢瑂䡁䅁兙畂䡁䅫睘䱂䝁䅕入呂䡁䅑兙あ䡁䅍睘㉂䑁䅅兌䑂䝁䄸䅣㕂䍁䄴䅥獂䡁䅍兢摂䕁䅍兙睂䝁䅫䅤桂䝁䅷兡㙂䝁䅅䅤灂䝁䄸杢湁䍁䅅䅊䑂䍁䅑䅎㍁䅁䅁䅌䅕䩁䅑䅁湁䙁䅳睕兂䕁䅣睘䑂䝁䄸兢睂䝁䅅杢㕂䙁䄸睓求䡁䅫睕あ䝁䅅䅤穂䙁䄸杤硁䍁䅁䅋祁䍁䅫杌㑂䝁䅷督瑂䙁䄰睑桂䡁䅁兡あ䝁䅅䅢時䙁䅍䅤祂䡁䅕睙あ䡁䅕杣求䙁䄸睕ㅂ䝁䄰兢桂䡁䅉入湁䍁䅅䅊䝂䍁䅑免睁䑁䅯䅊兂䍁䅑免睁䅁䅁兑䅙䙁䅷䅁扂䙁䅍䅕䡂䙁䄸睑療䝁䄰䅣桂䝁䄴入時䕁䅳党㕂䙁䅍䅤桂䡁䅑督時䡁䅙杍畁䡁䅧䅢穂䝁䄰兘䱂䝁䅕入時䙁䅍䅤桂䡁䅑督桁䍁䅑村歁䑁䅉李䅁佁䡯䅁权䅁䅁睊扂䕁䅍睢睂䡁䅫䅉療䝁䅙䅉呂䙁䅁睒時䕁䅍睢瑂䡁䅁兙畂䡁䅫睘䱂䝁䅕入呂䡁䅑兙あ䡁䅍睘㉂䑁䅅睘䝂䝁䅫杢桂䝁䅷杌㑂䝁䅷督瑂䙁䄰睑桂䡁䅁兡あ䝁䅅䅢時䙁䅍䅤祂䡁䅕睙あ䡁䅕杣求䙁䄸䅉䕂䝁䅕䅤桂䝁䅫䅢穂䍁䅁睊桁䍁䅑兓歁䑁䅑䅎䅁䡁䥅䅁楂䅁䅁睔睂䡁䅑兡療䝁䄴督㙁䕁䅍兤祂䡁䅉児噂䙁䅍䅒獁䕁䄰兙湂䑁䄰兔灂䝁䅷䅢灂䝁䄸杢穂䍁䅷睑療䝁䄴杤乂䝁䅕䅤潂䝁䄸䅚㥁䕁䅧䅌佂䕁䅅児佂䕁䅅䅁䙂䅃䅁杣䅁䍁䅣睗乂䕁䅫睘䑂䝁䄸兢睂䝁䅅杢㕂䙁䄸睓求䡁䅫睕あ䝁䅅䅤穂䙁䄸杤硁䍁䄰睑療䡁䅁入畁䡁䅧䅢穂䝁䄰兘䑂䝁䅅䅣灂䡁䅑兙獂䝁䅫来桂䡁䅑兡療䝁䄴睊桁䍁䅑睑歁䑁䅑䅏䅁䑁䙁䅁㉁䅁䅁䅖療䡁䅑兙獂䍁䅁村桂䝁䄴睡杁䕁䅑党楂䡁䅑䅉潁䙁䅉党睂䝁䄸杣あ䝁䅕䅚灁䅁䅁免䅅䡁䅉䅁湁䙁䅳兔䩂䙁䄸睑療䝁䄰䅣桂䝁䄴入時䕁䅳党㕂䙁䅍䅤桂䡁䅑督時䡁䅙免瑁䕁䅍睢睂䡁䅫杌㑂䝁䅷督瑂䙁䄰睑桂䡁䅁兡あ䝁䅅䅢灂䡁䅯兙あ䝁䅫睢畂䍁䅣光歁䕁䅍䅊㉁䑁䅅䅁䭂兂䅁䅑䅁䕁䅫兕時䕁䅍睔乂䕁䄰睔佂䙁䄸兒剂䙁䅕兓啂䙁䅫睘ㅁ䙁䅫杕時䕁䅅杔佂䙁䄸睒卂䕁䄸睖啂䕁䅧䅁橃杁䅁杧䅁䍁䅣睗乂䕁䅫睘䑂䝁䄸兢睂䝁䅅杢㕂䙁䄸睓求䡁䅫睕あ䝁䅅䅤穂䙁䄸杤硁䍁䄰睑療䡁䅁入畁䡁䅧䅢穂䝁䄰兘䩂䝁䄴睙療䝁䄰党時䙁䅍䅤桂䡁䅑党瑂䝁䅕杢あ䍁䅣光歁䕁䅍䅊㕁䑁䅯䅊䑂䍁䅑免㍁䑁䅍䅁兂兂䅁杤䅁䕁䄸䅣あ䝁䅫睢畂䡁䅍䅉偂䡁䅕䅤畁䍁䅁兙あ䍁䅁䅤潂䝁䅕䅉䍂䝁䅕睚灂䝁䄴䅉療䝁䅙䅉兂䝁䅕杣灂䝁䄸䅚獁䍁䅁睑療䝁䄰兢療䝁䄴䅉呂䡁䅑睢橂䝁䅳䅉潁䝁䅅睙あ䡁䅕兙獂䍁䅫䅁癁睁䅁䅌䅁䕁䅫兕時䙁䅍杕時䕁䅉睔佂䕁䅑睕時䕁䄴睔啂䕁䅕睕時䙁䅁睑啂䅁䅁朹䅁䡁䄴䅁湁䙁䅳兔䩂䙁䄸睑療䝁䄰䅣桂䝁䄴入時䕁䅳党㕂䙁䅍䅤桂䡁䅑督時䡁䅙免瑁䕁䅍睢睂䡁䅫杌㑂䝁䅷督瑂䙁䄰睑桂䡁䅁兡あ䝁䅅䅢灂䡁䅯兙あ䝁䅫睢畂䍁䅣光歁䕁䅍䅊㉁䑁䅑杏歁䕁䅍䅊㉁䑁䅕䅁䱂兂䅁杚䅁䍁䅣睗呂䙁䅁睒時䕁䅍睢瑂䡁䅁兙畂䡁䅫睘䱂䝁䅕入呂䡁䅑兙あ䡁䅍睘㉂䑁䅉䅉硁䍁䄴䅥獂䡁䅍兢摂䕁䅳党㕂䙁䄸睕あ䝁䅅䅤穂䍁䅣光歁䕁䅕䅊硁䑁䅁睎䅁䵁䝉䅁㡂䅁䅁睊扂䕁䄰兓時䕁䅍睢瑂䡁䅁兙畂䡁䅫睘䱂䝁䅕入呂䡁䅑兙あ䡁䅍睘㉂䑁䅅兌䑂䝁䄸䅣㕂䍁䄴䅥獂䡁䅍兢摂䕁䅍兙睂䝁䅫䅤桂䝁䅷兡㙂䝁䅅䅤灂䝁䄸杢湁䍁䅅䅊䑂䍁䅑兏㙁䍁䅑睑歁䑁䅉兎䅁䑁䙙䅁⭂䅁䅁睊扂䕁䄰兓時䕁䅍睢瑂䡁䅁兙畂䡁䅫睘䱂䝁䅕入呂䡁䅑兙あ䡁䅍睘㉂䑁䅅兌䑂䝁䄸䅣㕂䍁䄴䅥獂䡁䅍兢摂䕁䅍兙睂䝁䅫䅤桂䝁䅷兡㙂䝁䅅䅤灂䝁䄸杢湁䍁䅅䅊䙂䍁䅑兎硁䑁䅯䅊䭂䍁䅑兎硁䅁䅁兌䅕䝁䅧䅁扂䕁䄰兓時䕁䅍睢瑂䡁䅁兙畂䡁䅫睘䱂䝁䅕入呂䡁䅑兙あ䡁䅍睘㉂䑁䅅睘畁䡁䅧䅢穂䝁䄰兘䱂䝁䅕入時䙁䅍䅤桂䡁䅑督桁䍁䅑睑歁䑁䅉䅏㙁䍁䅑睑歁䑁䅕杍䅁䱁䔸䅁⭂䅁䅁睊扂䕁䄰兓時䕁䅍睢瑂䡁䅁兙畂䡁䅫睘䱂䝁䅕入呂䡁䅑兙あ䡁䅍睘㉂䑁䅅兌䑂䝁䄸䅣㕂䍁䄴䅥獂䡁䅍兢摂䕁䅍兙睂䝁䅫䅤桂䝁䅷兡㙂䝁䅅䅤灂䝁䄸杢湁䍁䅅䅊䙂䍁䅑兎祁䑁䅯䅊䭂䍁䅑兎祁䅁䅁睌䅕䝁䅙䅁扂䕁䄰兓時䕁䅍睢瑂䡁䅁兙畂䡁䅫睘䱂䝁䅕入呂䡁䅑兙あ䡁䅍睘㉂䑁䅅杌㑂䝁䅷督瑂䙁䄰睓求䡁䅫睘呂䡁䅑兙あ䡁䅍光歁䕁䅑䅊祁䑁䅕杏歁䕁䅑䅊ぁ䑁䅫䅁㙄睁䅁䅡䅁䙁䅳睕兂䕁䅣睘䑂䝁䄸兢睂䝁䅅杢㕂䙁䄸睓求䡁䅫睕あ䝁䅅䅤穂䙁䄸杤硁䍁䄴䅥獂䡁䅍兢摂䕁䅳党㕂䙁䄸睕あ䝁䅅䅤穂䍁䅅䅊乂䍁䅑杍㉁䑁䅯䅊偂䍁䅑杍㉁䅁䅁眱䅕䡁䅯䅁湁䙁䅳睑療䡁䅁入杁䝁䄸杚杁䙁䅍䅕䡂䙁䄸睑療䝁䄰䅣桂䝁䄴入時䕁䅳党㕂䙁䅍䅤桂䡁䅑督時䡁䅙杍時䝁䄴党㍂䍁䄴䅥獂䡁䅍兢摂䙁䅉兙あ䝁䅫睢穂䍁䅣光歁䕁䅑䅊㍁䑁䅯䅊䩂䍁䅑睎䅁䝁䡅䅁捁䅁䅁兓剂䙁䄸杔偂䕁䅷睘䑂䕁䅙睘穁䙁䅫杕䅁乁䍉䅁⭂䅁䅁睊扂䕁䄰兓時䕁䅍睢瑂䡁䅁兙畂䡁䅫睘䱂䝁䅕入呂䡁䅑兙あ䡁䅍睘㉂䑁䅅兌䑂䝁䄸䅣㕂䍁䄴䅥獂䡁䅍兢摂䕁䅍兙睂䝁䅫䅤桂䝁䅷兡㙂䝁䅅䅤灂䝁䄸杢湁䍁䅅䅊䙂䍁䅑䅎㍁䑁䅯䅊䭂䍁䅑䅎㍁䅁䅁免䅕䑁䅙䅁啂䝁䄸䅤桂䝁䅷䅉䑂䝁䄸兢瑂䝁䄸杢杁䕁䅕兣ㅂ䝁䅫䅤㕂䍁䅁䅋歁䑁䅁䅍睁䍁䅫䅁硂䅁䅁杖䅁䙁䅳睓求䡁䅫睕あ䝁䅅䅤穂䙁䄸䅤求䡁䅍䅤浂䝁䅫䅢求䍁䄴䅥獂䡁䅍䅥摂䙁䅍䅡求䝁䅕䅤硁䍁䅅䅊䙂䍁䅑杍穁䑁䅯䅊䩂䍁䅑杍穁䅁䅁䅕䅁䡁䅯䅁湁䙁䅳兔䩂䙁䄸睑療䝁䄰䅣桂䝁䄴入時䕁䅳党㕂䙁䅍䅤桂䡁䅑督時䡁䅙免瑁䕁䅍睢睂䡁䅫杌㑂䝁䅷督瑂䙁䄰睑桂䡁䅁兡あ䝁䅅䅢灂䡁䅯兙あ䝁䅫睢畂䍁䅣光歁䕁䅕䅊ぁ䑁䅯䅊䭂䍁䅑䅎䅁䑁䙕䅁兂䅁䅁䅖療䡁䅑兙獂䍁䅁睕求䝁䄴兡療䡁䅉䅉呂䝁䅕睙ㅂ䡁䅉党歂䍁䄸䅋䙂䕁䅉兓啂䕁䅑兑瑁䕁䅍兑兂䕁䅕䅗灁䍁䅁䅋㑂䍁䅫䅁千允䅁杦䅁䍁䅣睗乂䕁䅫睘䑂䝁䄸兢睂䝁䅅杢㕂䙁䄸睓求䡁䅫睕あ䝁䅅䅤穂䙁䄸杤硁䍁䄰睑療䡁䅁入畁䡁䅧䅢穂䝁䄰兘䑂䝁䅅䅣灂䡁䅑兙獂䝁䅫来桂䡁䅑兡療䝁䄴睊桁䍁䅑兒歁䑁䅑䅏㙁䍁䅑杓歁䑁䅑䅏䅁䑁䙍䅁⭂䅁䅁睊扂䕁䄰兓時䕁䅍睢瑂䡁䅁兙畂䡁䅫睘䱂䝁䅕入呂䡁䅑兙あ䡁䅍睘㉂䑁䅅兌䑂䝁䄸䅣㕂䍁䄴䅥獂䡁䅍兢摂䕁䅍兙睂䝁䅫䅤桂䝁䅷兡㙂䝁䅅䅤灂䝁䄸杢湁䍁䅅䅊䙂䍁䅑兎㕁䑁䅯䅊䭂䍁䅑兎㕁䅁䅁睒䅕䡁䅑䅁湁䙁䅳兔䩂䙁䄸睑療䝁䄰䅣桂䝁䄴入時䕁䅳党㕂䙁䅍䅤桂䡁䅑督時䡁䅙免瑁䕁䅍睢睂䡁䅫杌㑂䝁䅷督瑂䙁䄰睓求䡁䅫睘呂䡁䅑兙あ䡁䅍睊桁䍁䅑兔歁䑁䅉李㙁䍁䅑睔歁䑁䅉李䅁䍁䙍䅁䥃䅁䅁睊扂䙁䅍䅕䡂䙁䄸睑療䝁䄰䅣桂䝁䄴入時䕁䅳党㕂䙁䅍䅤桂䡁䅑督時䡁䅙杍杁䑁䅅杌㑂䝁䅷督瑂䙁䄰睑桂䡁䅁兡あ䝁䅅䅢時䙁䅍䅤祂䡁䅕睙あ䡁䅕杣求䙁䄸䅉䕂䝁䅕䅤桂䝁䅫䅢穂䍁䅁睊桁䍁䅑杒歁䑁䅑䅎䅁䉁䡧䅁㑂䅁䅁睊扂䕁䄰兓時䕁䅍睢瑂䡁䅁兙畂䡁䅫睘䱂䝁䅕入呂䡁䅑兙あ䡁䅍睘㉂䑁䅅兌䑂䝁䄸䅣㕂䍁䄴䅥獂䡁䅍兢摂䕁䅳党㕂䙁䄸睕あ䝁䅅䅤穂䍁䅣光歁䕁䅕䅊硁䑁䅁李㙁䍁䅑睒歁䑁䅅䅍㉁䅁䅁䅔䅕䡁䅯䅁湁䙁䅳睑療䡁䅁入杁䝁䄸杚杁䙁䅍䅕䡂䙁䄸睑療䝁䄰䅣桂䝁䄴入時䕁䅳党㕂䙁䅍䅤桂䡁䅑督時䡁䅙杍時䝁䄴党㍂䍁䄴䅥獂䡁䅍兢摂䕁䅳党㕂䙁䄸睕あ䝁䅅䅤穂䍁䅣光歁䕁䅕䅊硁䑁䅁䅏䅁䩁䠸䅁䝁䅁䅁杔䉂䅁䅁免䅁䡁䄴䅁湁䙁䅳兔䩂䙁䄸睑療䝁䄰䅣桂䝁䄴入時䕁䅳党㕂䙁䅍䅤桂䡁䅑督時䡁䅙免瑁䕁䅍睢睂䡁䅫杌㑂䝁䅷督瑂䙁䄰睑桂䡁䅁兡あ䝁䅅䅢灂䡁䅯兙あ䝁䅫睢畂䍁䅣光歁䕁䅕䅊㉁䑁䅍杏歁䕁䅯䅊㉁䑁䅍䅁䙂兂䅁䅌䅁䕁䅫兕時䕁䅑䅕呂䙁䄸睍婂䙁䅉睘䉂䕁䄴杔時䕁䅣杕偂䙁䅣䅖䥂䅁䅁睨䅉䝁䅙䅁湁䙁䅳兔䩂䙁䄸睑療䝁䄰䅣桂䝁䄴入時䕁䅳党㕂䙁䅍䅤桂䡁䅑督時䡁䅙免瑁䕁䅍睢睂䡁䅫杌㑂䝁䅷督瑂䙁䄰睑桂䡁䅍䅡時䕁䅙䅢療䡁䅣睊桁䍁䅑睑歁䑁䅑䅁㡂兂䅁杋䅁䕁䅕村䩂䙁䅑䅌杁䑁䅕䅉婂䡁䅉杌杁䕁䅍兑䡂䙁䅉䅉潁䍁䅕克䅁䩁䍙䅁獂䅁䅁睊扂䙁䅍䅕䡂䙁䄸睑療䝁䄰䅣桂䝁䄴入時䕁䅳党㕂䙁䅍䅤桂䡁䅑督時䡁䅙免杁䍁䅧杍灁䍁䄴䅥獂䡁䅍兢摂䙁䅁党畂䡁䅍兡療䝁䄴兌偂䙁䅁兒䍂䍁䅣光歁䕁䅍䅊㉁䅁䅁䅔䅙䙁䄴䅁扂䕁䄰兓時䕁䅍睢瑂䡁䅁兙畂䡁䅫睘䱂䝁䅕入呂䡁䅑兙あ䡁䅍睘㉂䑁䅅睘畁䡁䅧䅢穂䝁䄰兘䱂䝁䅕入時䙁䅍䅤桂䡁䅑督桁䍁䅑村歁䑁䅅䅍㉁䅁䅁兺䅑䝁䅉䅁扂䕁䄰兓時䕁䅍睢瑂䡁䅁兙畂䡁䅫睘䱂䝁䅕入呂䡁䅑兙あ䡁䅍睘㉂䑁䅅杌㑂䝁䅷督瑂䙁䄰睑桂䡁䅁兡あ䝁䅅䅢灂䡁䅯兙あ䝁䅫睢畂䍁䅅䅊䑂䍁䅑䅎䅁䉁䕁䅁睂䅁䅁睊扂䕁䄰兓時䕁䅍睢瑂䡁䅁兙畂䡁䅫睘䱂䝁䅕入呂䡁䅑兙あ䡁䅍睘㉂䑁䅅兌䑂䝁䄸䅣㕂䍁䄴䅥獂䡁䅍兢摂䕁䅍兙穂䝁䅧睘䝂䝁䅷睢㍂䍁䅣光歁䕁䅕䅊ぁ䑁䅯䅊兂䍁䅑䅎䅁䡁䘰䅁奁䅁䅁兓剂䙁䄸䅖䙂䙁䅙睘䙂䕁䅉兓啂䅁䅁䅗䅙䕁䅯䅁扂䕁䄰兓時䕁䅳党㕂䙁䅍䅤桂䡁䅑督時䡁䅙免畁䡁䅧䅢穂䝁䄰兘䱂䝁䅕入時䙁䅍䅤桂䡁䅑督桁䍁䅑村歁䑁䅉杍䅁䝁䑫䅁睂䅁䅁睊扂䕁䄰兓時䕁䅍睢瑂䡁䅁兙畂䡁䅫睘䱂䝁䅕入呂䡁䅑兙あ䡁䅍睘㉂䑁䅅兌䑂䝁䄸䅣㕂䍁䄴䅥獂䡁䅍兢摂䕁䅍兙穂䝁䅧睘䝂䝁䅷睢㍂䍁䅣光歁䕁䅕䅊ㅁ䑁䅯䅊兂䍁䅑兎䅁䡁䘸䅁㙂䅁䅁睊扂䙁䅍䅕䡂䙁䄸睑療䝁䄰䅣桂䝁䄴入時䕁䅳党㕂䙁䅍䅤桂䡁䅑督時䡁䅙杍杁䑁䅅杌㑂䝁䅷督瑂䙁䄰睑桂䡁䅁兡あ䝁䅅䅢灂䡁䅯兙あ䝁䅫睢畂䍁䅣光歁䕁䅕䅊ㅁ䑁䅅杏歁䕁䅯䅊ㅁ䑁䅅䅁煄杂䅁䅘䅁䕁䅅兢療䡁䅉䅤畁䍁䅁睢浂䍁䅁睒療䝁䄸䅚㍂䝁䅫䅢獂䍁䅁兙畂䝁䅑䅉䩂䝁䄴䅤桂䝁䄴睚灂䝁䅉䅢求䡁䅍䅉潁䙁䅉党睂䝁䄸杣あ䝁䅕䅚灁䅁䅁关䅁䡁䄴䅁湁䙁䅳兔䩂䙁䄸睑療䝁䄰䅣桂䝁䄴入時䕁䅳党㕂䙁䅍䅤桂䡁䅑督時䡁䅙免瑁䕁䅍睢睂䡁䅫杌㑂䝁䅷督瑂䙁䄰兓畂䝁䅍睢瑂䝁䅕睘呂䡁䅑兙あ䝁䅕兢求䝁䄴䅤湁䍁䅅䅊䙂䍁䅑兎㙁䍁䅑䅕歁䑁䅕䅁剂兂䅁条䅁䍁䅣睗乂䕁䅫睘䑂䝁䄸兢睂䝁䅅杢㕂䙁䄸睓求䡁䅫睕あ䝁䅅䅤穂䙁䄸杤硁䍁䄰睑療䡁䅁入畁䡁䅧䅢穂䝁䄰兘䱂䝁䅕入時䙁䅍䅤桂䡁䅑督湁䍁䅅䅊䍂䍁䅑免睁䑁䅙䅁歁兂䅁来䅁䍁䅣睗呂䙁䅁睒時䕁䅍睢瑂䡁䅁兙畂䡁䅫睘䱂䝁䅕入呂䡁䅑兙あ䡁䅍睘㉂䑁䅉䅉硁䍁䄴䅥獂䡁䅍兢摂䕁䅫杢橂䝁䄸兢求䙁䄸睕あ䝁䅅䅤求䝁䄰党畂䡁䅑睊桁䍁䅑兒歁䑁䅙杏歁䙁䅁䅊㉁䅁䅁䄲䅙䝁䅧䅁湁䙁䅳兔䩂䙁䄸睑療䝁䄰䅣桂䝁䄴入時䕁䅳党㕂䙁䅍䅤桂䡁䅑督時䡁䅙免瑁䕁䅍睢睂䡁䅫杌㑂䝁䅷督瑂䙁䄰睓求䡁䅫睘呂䡁䅑兙あ䡁䅍睊桁䍁䅑村歁䑁䅉兎䅁䍁䙧䅁煂䅁䅁睗䱂䝁䅕入呂䡁䅑兙あ䡁䅍睘あ䝁䅕督あ䝁䅙兡獂䝁䅕杌㑂䝁䅷督瑂䙁䄰兓畂䝁䅍睢瑂䝁䅕睘呂䡁䅑兙あ䝁䅕兢求䝁䄴䅤桁䍁䅑䅒歁䑁䅫杏歁䕁䅑䅊硁䑁䅑䅏䅁䝁䑙䅁潂䅁䅁睊扂䕁䄰兓時䕁䅍睢瑂䡁䅁兙畂䡁䅫睘䱂䝁䅕入呂䡁䅑兙あ䡁䅍睘㉂䑁䅅兌䑂䝁䄸䅣㕂䍁䄴䅥獂䡁䅍兢摂䕁䅳党㕂䙁䄸睕あ䝁䅅䅤穂䍁䅣光歁䕁䅉䅊ㅁ䑁䅕䅁啂兂䅁䅡䅁䍁䅣睗乂䕁䅫睘䑂䝁䄸兢睂䝁䅅杢㕂䙁䄸睓求䡁䅫睕あ䝁䅅䅤穂䙁䄸杤硁䍁䄰睑療䡁䅁入畁䡁䅧䅢穂䝁䄰兘䱂䝁䅕入時䙁䅍䅤桂䡁䅑督湁䍁䅅䅊䍂䍁䅑李祁䅁䅁䅗䅕䥁䅑䅁湁䙁䅳睕兂䕁䅣睘䑂䝁䄸兢睂䝁䅅杢㕂䙁䄸睓求䡁䅫睕あ䝁䅅䅤穂䙁䄸杤祁䍁䄴䅥獂䡁䅍兢摂䕁䅍兙睂䝁䅫䅤桂䝁䅷睘呂䡁䅑杣ㅂ䝁䅍䅤ㅂ䡁䅉党時䍁䅁䅒求䡁䅑兙灂䝁䅷督杁䍁䅣光歁䕁䅳䅊硁䑁䅉䅁歁䅃䅁䅥䅁䍁䅣睗乂䕁䅫睘䑂䝁䄸兢睂䝁䅅杢㕂䙁䄸睓求䡁䅫睕あ䝁䅅䅤穂䙁䄸杤硁䍁䄰睑療䡁䅁入畁䡁䅧䅢穂䝁䄰兘䱂䝁䅕入時䙁䅍䅤桂䡁䅑督湁䍁䅅䅊䑂䍁䅑免睁䑁䅫杏歁䕁䅍䅊硁䑁䅅兎䅁䩁䙕䅁敁䅁䅁兓剂䙁䄸睔䵂䙁䄸睑偂䕁䄰兔時䕁䅍兗祁䅁䅁睵䅅䑁䅷䅁䑂䝁䄸兢瑂䝁䄸杢杁䕁䅕兣ㅂ䝁䅫䅤㕂䍁䅷䅉祁䍁䅁兗祂䍁䄴䅉䑂䕁䅅睒卂䍁䅁䅋汁䍁䅫䅁慂杁䅁杄䅁䑁䅉䅍祁䑁䅣杒婂䅁䅁睳䅧䙁䅙䅁扂䕁䅳党㕂䙁䅍䅤桂䡁䅑督時䡁䅑党穂䡁䅑杚灂䝁䅷党畁䡁䅧䅢穂䡁䅧兘呂䝁䅧党求䡁䅑免桁䍁䅑䅒歁䑁䅉兎㙁䍁䅑䅒歁䑁䅑䅏䅁䙁䅍䅁あ䅁䅁睊扂䕁䄰兓時䕁䅍睢瑂䡁䅁兙畂䡁䅫睘䱂䝁䅕入呂䡁䅑兙あ䡁䅍睘㉂䑁䅅兌䑂䝁䄸䅣㕂䍁䄴䅥獂䡁䅍兢摂䕁䅳党㕂䙁䄸睕あ䝁䅅䅤穂䍁䅣光歁䕁䅍䅊祁䑁䅧杏歁䕁䅍䅊ㅁ䑁䅉䅁煁兂䅁䅤䅁䍁䅣睗乂䕁䅫睘䑂䝁䄸兢睂䝁䅅杢㕂䙁䄸睓求䡁䅫睕あ䝁䅅䅤穂䙁䄸杤硁䍁䄰睑療䡁䅁入畁䡁䅧䅢穂䝁䄰兘䱂䝁䅕入時䙁䅍䅤桂䡁䅑督湁䍁䅅䅊䕂䍁䅑兎㍁䑁䅯䅊䕂䍁䅑兎㑁䅁䅁睖䅕䍁䅧䅁䩂䙁䅅睘呂䕁䅕睑噂䙁䅉兓啂䕁䅫杗䙂䕁䅑睘䕂䕁䅕村啂䅁䅁䅑䅅䙁䅷䅁扂䕁䄰兓時䕁䅳党㕂䙁䅍䅤桂䡁䅑督時䡁䅙免畁䡁䅧䅢穂䝁䄰兘呂䡁䅕䅣睂䝁䅷党瑂䝁䅕杢あ䝁䅅䅢桁䍁䅑睑歁䑁䅫杏歁䕁䅍䅊硁䑁䅙䅍䅁䵁䑧䅁㉂䅁䅁睗乂䕁䅫睘䱂䝁䅕入呂䡁䅑兙あ䡁䅍睘㉂䑁䅅杌㑂䝁䅷督瑂䙁䄰睑桂䡁䅁兡あ䝁䅅䅢時䙁䅍䅤祂䡁䅕睙あ䡁䅕杣求䙁䄸睕ㅂ䝁䄰兢桂䡁䅉入桁䍁䅑䅒歁䑁䅉睎㙁䍁䅑䅒歁䑁䅣睎䅁䵁䑅䅁あ䅁䅁睊扂䕁䄰兓時䕁䅍睢瑂䡁䅁兙畂䡁䅫睘䱂䝁䅕入呂䡁䅑兙あ䡁䅍睘㉂䑁䅅兌䑂䝁䄸䅣㕂䍁䄴䅥獂䡁䅍兢摂䕁䅳党㕂䙁䄸睕あ䝁䅅䅤穂䍁䅣光歁䕁䅍䅊ㅁ䑁䅣杏歁䕁䅍䅊ㅁ䑁䅧䅁坂兂䅁䅩䅁䙁䅳睕兂䕁䅣睘䑂䝁䄸兢睂䝁䅅杢㕂䙁䄸睓求䡁䅫睕あ䝁䅅䅤穂䙁䄸杤祁䍁䄴䅥獂䡁䅍兢摂䕁䅍兙睂䝁䅫䅤桂䝁䅷睘呂䡁䅑杣ㅂ䝁䅍䅤ㅂ䡁䅉党時䙁䅍兤瑂䝁䄰兙祂䡁䅫光歁䕁䅙䅊硁䑁䅁杏歁䙁䅉䅊硁䑁䅁䅁䡁䅃䅁䅚䅁䍁䅣睗呂䙁䅁睒時䕁䅍睢瑂䡁䅁兙畂䡁䅫睘䱂䝁䅕入呂䡁䅑兙あ䡁䅍睘㉂䑁䅉䅉硁䍁䄴䅥獂䡁䅍兢摂䕁䅳党㕂䙁䄸睕あ䝁䅅䅤穂䍁䅣光歁䕁䅉䅊祁䑁䅕䅁䑄杂䅁杙䅁䙁䅳兔䩂䙁䄸睑療䝁䄰䅣桂䝁䄴入時䕁䅳党㕂䙁䅍䅤桂䡁䅑督時䡁䅙免時䍁䄴䅥獂䡁䅍兢摂䕁䅉兙獂䝁䅅杢橂䝁䅕睘呂䝁䅧党求䡁䅑光歁䕁䅍䅊ぁ䅁䅁儲䅑䝁䅯䅁湁䙁䅳睕兂䕁䅣睘䑂䝁䄸兢睂䝁䅅杢㕂䙁䄸睓求䡁䅫睕あ䝁䅅䅤穂䙁䄸杤硁䍁䅁䅋祁䍁䅫杌㑂䝁䅷督瑂䙁䄰杕桂䡁䅑兡療䡁䅍睊桁䍁䅑䅒歁䑁䅣杏歁䕁䅫䅊㍁䅁䅁睒䅙䝁䅷䅁扂䙁䅍䅕䡂䙁䄸睑療䝁䄰䅣桂䝁䄴入時䕁䅳党㕂䙁䅍䅤桂䡁䅑督時䡁䅙杍畁䡁䅧䅢穂䝁䄰兘䱂䝁䅕入時䙁䅍䅤桂䡁䅑督桁䍁䅑睒歁䑁䅅䅍㍁䑁䅯䅊䩂䍁䅑免睁䑁䅣䅁ㅄ睂䅁杤䅁䕁䅫杢あ䝁䅕杣求䡁䅍䅤杁䝁䅅杢歂䍁䅁䅕求䝁䄴兙獂䡁䅑兡求䡁䅍䅉卂䝁䅕睙療䝁䅣杌杁䝁䄸杢杁䕁䅉睕杁䍁䄰䅉䉂䝁䅙䅤求䡁䅉䅉啂䝁䅅䅥杁䍁䅧杕求䡁䅁睢祂䡁䅑党歂䍁䅫䅁噁睁䅁䅤䅁䍁䅣睗乂䕁䅫睘䑂䝁䄸兢睂䝁䅅杢㕂䙁䄸睓求䡁䅫睕あ䝁䅅䅤穂䙁䄸杤硁䍁䄰睑療䡁䅁入畁䡁䅧䅢穂䝁䄰兘䱂䝁䅕入時䙁䅍䅤桂䡁䅑督湁䍁䅅䅊䑂䍁䅑李ㅁ䑁䅯䅊䑂䍁䅑睎硁䅁䅁杗䅕䝁䅙䅁扂䕁䄰兓時䕁䅍睢瑂䡁䅁兙畂䡁䅫睘䱂䝁䅕入呂䡁䅑兙あ䡁䅍睘㉂䑁䅅杌㑂䝁䅷督瑂䙁䄰睓求䡁䅫睘呂䡁䅑兙あ䡁䅍光歁䕁䅑䅊祁䑁䅧杏歁䕁䅑䅊ㅁ䑁䅉䅁獃䅂䅁杕䅁䙁䅳睓求䡁䅫睕あ䝁䅅䅤穂䙁䄸䅤求䡁䅍䅤浂䝁䅫䅢求䍁䄴䅥獂䡁䅍兢摂䙁䅉兙あ䝁䅫睢穂䍁䅅䅊䝂䍁䅑䅎㙁䍁䅑睓歁䑁䅑䅁い允䅁䅥䅁䍁䅣睗乂䕁䅫睘䑂䝁䄸兢睂䝁䅅杢㕂䙁䄸睓求䡁䅫睕あ䝁䅅䅤穂䙁䄸杤硁䍁䄰睑療䡁䅁入畁䡁䅧䅢穂䝁䄰兘䱂䝁䅕入時䙁䅍䅤桂䡁䅑督湁䍁䅅䅊䙂䍁䅑免睁䑁䅣杏歁䕁䅣䅊硁䑁䅁睎䅁䍁䙕䅁䕂䅁䅁䅒灂䝁䅷兤あ䝁䅕䅚杁䕁䅕䅕呂䍁䅁兒㑂䝁䅍䅢畁䍁䅁兒㑂䡁䅑杣桂䍁䅁兓あ䝁䅕兢穂䍁䅁䅋歁䍁䅫䅁楂䅁䅁条䅁䙁䅣兙祂䡁䅉兙畂䡁䅑督杁䕁䅕䅥求䡁䅉睙灂䡁䅍党歂䍁䅁䅒ㅂ䡁䅉兡畂䝁䅣䅉あ䝁䅧党杁䙁䅁党祂䝁䅫睢歂䍁䅷䅉啂䝁䄸䅤桂䝁䅷䅉潁䝁䅅睙あ䡁䅕兙獂䍁䅫䅁扂睁䅁杒䅁䕁䅑兡㉂䝁䅫䅚求䝁䄴䅚杁䙁䅁党祂䍁䅁睕潂䝁䅅杣求䍁䅷䅉穁䍁䅁兗祂䍁䄴䅉䑂䕁䅅睒卂䍁䅁䅋汁䍁䅫䅁䥃杁䅁䅩䅁䍁䅣睗䑂䝁䄸䅣㕂䍁䅁睢浂䍁䅁睕兂䕁䅣睘䑂䝁䄸兢睂䝁䅅杢㕂䙁䄸睓求䡁䅫睕あ䝁䅅䅤穂䙁䄸杤祁䙁䄸杢求䡁䅣杌㑂䝁䅷督瑂䙁䄰睓求䡁䅫睘呂䡁䅑兙あ䡁䅍睊桁䍁䅑兒歁䑁䅅䅍㑁䑁䅯䅊䝂䍁䅑免睁䑁䅧䅁摃睂䅁䅤䅁䍁䅣睗乂䕁䅫睘䑂䝁䄸兢睂䝁䅅杢㕂䙁䄸睓求䡁䅫睕あ䝁䅅䅤穂䙁䄸杤硁䍁䄰睑療䡁䅁入畁䡁䅧䅢穂䝁䄰兘䱂䝁䅕入時䙁䅍䅤桂䡁䅑督湁䍁䅅䅊䙂䍁䅑杍ㅁ䑁䅯䅊䭂䍁䅑杍ㅁ䅁䅁克䅕䙁䅷䅁扂䙁䅍䅕䡂䙁䄸睑療䝁䄰䅣桂䝁䄴入時䕁䅳党㕂䙁䅍䅤桂䡁䅑督時䡁䅙杍畁䡁䅧䅢穂䝁䄰兘䱂䝁䅕入時䙁䅍䅤桂䡁䅑督桁䍁䅑村歁䑁䅙杍䅁佁䠴䅁坂䅁䅁睗呂䙁䅁睒時䕁䅍睢瑂䡁䅁兙畂䡁䅫睘䱂䝁䅕入呂䡁䅑兙あ䡁䅍睘㉂䑁䅉杌㑂䝁䅷督瑂䙁䄰睕潂䝁䅕党あ䑁䅅光歁䕁䅫䅊硁䑁䅅䅁摃杂䅁䅤䅁䍁䅣睗乂䕁䅫睘䑂䝁䄸兢睂䝁䅅杢㕂䙁䄸睓求䡁䅫睕あ䝁䅅䅤穂䙁䄸杤硁䍁䄰睑療䡁䅁入畁䡁䅧䅢穂䝁䄰兘䱂䝁䅕入時䙁䅍䅤桂䡁䅑督湁䍁䅅䅊䙂䍁䅑杍㉁䑁䅯䅊䭂䍁䅑杍㉁䅁䅁睋䅕䍁䅙䅁䩂䙁䅅睘塂䕁䅅杕卂䕁䅅杔啂䙁䅍睘䙂䕁䄴䅒時䕁䄸睕䅁䙁䑉䅁煁䅁䅁兓剂䙁䄸䅒䑂䙁䅍睘乂䕁䅅䅖噂䙁䅉兓啂䙁䅫睘䕂䕁䅅䅖䙂䅁䅁䅭䅙䡁䅑䅁湁䙁䅳兔䩂䙁䄸睑療䝁䄰䅣桂䝁䄴入時䕁䅳党㕂䙁䅍䅤桂䡁䅑督時䡁䅙免瑁䕁䅍睢睂䡁䅫杌㑂䝁䅷督瑂䙁䄰睓求䡁䅫睘呂䡁䅑兙あ䡁䅍睊桁䍁䅑兒歁䑁䅉李㙁䍁䅑䅔歁䑁䅉李䅁䙁䙍䅁潂䅁䅁睊扂䕁䄰兓時䕁䅍睢瑂䡁䅁兙畂䡁䅫睘䱂䝁䅕入呂䡁䅑兙あ䡁䅍睘㉂䑁䅅兌䑂䝁䄸䅣㕂䍁䄴䅥獂䡁䅍兢摂䕁䅳党㕂䙁䄸睕あ䝁䅅䅤穂䍁䅣光歁䕁䅕䅊㉁䑁䅉䅁婂兂䅁䅏䅁䕁䅍兙睂䍁䄴䅉䵂䝁䅕兙穂䝁䅕督癁䍁䅁䅖療䡁䅑兙獂䍁䅁䅒求䝁䅉䅤杁䍁䅧兊灁䅁䅁眫䅁䑁䅧䅁呂䝁䅕睙療䝁䄴䅚杁䕁䅷兡求䝁䄴䅉䕂䝁䅕杙あ䍁䅁䅋卂䝁䅕䅣療䡁䅉䅤求䝁䅑克䅁䕁䉣䅁歁䅁䅁兓剂䙁䄸睖啂䕁䅑睘䉂䙁䅙睒時䕁䅫杕時䕁䅍兗硁䅁䅁儷䅅䝁䅧䅁湁䙁䅳兔䩂䙁䄸睑療䝁䄰䅣桂䝁䄴入時䕁䅳党㕂䙁䅍䅤桂䡁䅑督時䡁䅙免瑁䕁䅍睢睂䡁䅫杌㑂䝁䅷督瑂䙁䄰睓求䡁䅫睘呂䡁䅑兙あ䡁䅍睊桁䍁䅑兒歁䑁䅙睍䅁䙁䙳䅁獂䅁䅁睊扂䕁䄰兓時䕁䅍睢瑂䡁䅁兙畂䡁䅫睘䱂䝁䅕入呂䡁䅑兙あ䡁䅍睘㉂䑁䅅兌䑂䝁䄸䅣㕂䍁䄴䅥獂䡁䅍兢摂䙁䅁党畂䡁䅍兡療䝁䄴兌偂䙁䅁兒䍂䍁䅣光歁䕁䅍䅊ぁ䅁䅁䅫䅕䕁䄴䅁䩂䙁䅅睘䩂䕁䄴䅖䙂䙁䅉兒呂䙁䅑睘兂䕁䅕杔䉂䕁䅷䅖䩂䕁䅕睕時䙁䅉兒䑂䕁䄸睒時䕁䅉睕時䙁䅁杕䙂䙁䄸䅖䉂䙁䅧䅁十睁䅁来䅁䍁䅣睗乂䕁䅫睘䑂䝁䄸兢睂䝁䅅杢㕂䙁䄸睓求䡁䅫睕あ䝁䅅䅤穂䙁䄸杤硁䍁䄰睑療䡁䅁入畁䡁䅧䅢穂䝁䄰兘兂䝁䅕杢穂䝁䅫睢畂䍁䄰睔兂䕁䅕村湁䍁䅅䅊䑂䍁䅑兏㙁䍁䅑睑歁䑁䅕李㑁䅁䅁杫䅕䥁䅧䅁湁䙁䅳睕兂䕁䅣睘䑂䝁䄸兢睂䝁䅅杢㕂䙁䄸睓求䡁䅫睕あ䝁䅅䅤穂䙁䄸杤祁䍁䅁免畁䡁䅧䅢穂䝁䄰兘䑂䝁䅅䅣灂䡁䅑兙獂䙁䄸睕あ䡁䅉兤橂䡁䅑兤祂䝁䅕睘杁䕁䅑党あ䝁䅅兡獂䡁䅍䅉湁䍁䅅䅊䱂䍁䅑睎㉁䅁䅁兊䅣䝁䅙䅁扂䕁䄰兓時䕁䅍睢瑂䡁䅁兙畂䡁䅫睘䱂䝁䅕入呂䡁䅑兙あ䡁䅍睘㉂䑁䅅杌㑂䝁䅷督瑂䙁䄰睓求䡁䅫睘呂䡁䅑兙あ䡁䅍光歁䕁䅍䅊祁䑁䅣杏歁䕁䅍䅊ㅁ䑁䅅䅁䝃䅂䅁杗䅁䙁䅳兔䩂䙁䄸睑療䝁䄰䅣桂䝁䄴入時䕁䅳党㕂䙁䅍䅤桂䡁䅑督時䡁䅙免畁䡁䅧䅢穂䝁䄰兘䱂䝁䅕入時䙁䅍䅤桂䡁䅑督桁䍁䅑兒歁䑁䅕睍䅁䥁䔰䅁㉂䅁䅁睊扂䕁䄰兓時䕁䅍睢瑂䡁䅁兙畂䡁䅫睘䱂䝁䅕入呂䡁䅑兙あ䡁䅍睘㉂䑁䅅兌䑂䝁䄸䅣㕂䍁䄴䅥獂䡁䅍兢摂䙁䅁党畂䡁䅍兡療䝁䄴兌偂䙁䅁兒䍂䍁䅣光歁䕁䅑䅊ぁ䑁䅯䅊䩂䍁䅑䅎䅁䩁䙅䅁畂䅁䅁睑桂䡁䅁兡あ䝁䅅䅢杁䕁䅷睢穂䡁䅍䅉䑂䝁䅅杣祂䡁䅫杚療䡁䅉睤桂䡁䅉䅚獁䍁䅁睑ㅂ䡁䅉杣求䝁䄴䅤杁䙁䅫党桂䡁䅉䅉牁䍁䅁杍杁䍁䅧杕求䡁䅁睢祂䡁䅑党歂䍁䅫䅁桄杁䅁䅣䅁䕁䄴党あ䡁䅑兡畂䝁䅣䅉桂䝁䄴䅚杁䕁䄸䅤潂䝁䅕杣杁䕁䅅䅚煂䡁䅕督あ䝁䄰党畂䡁䅑督杁䡁䅑睢杁䕁䅷兡桂䝁䅉兡獂䝁䅫䅤灂䝁䅕督杁䍁䅧杕求䡁䅁睢祂䡁䅑党歂䍁䅫䅁汁睁䅁杤䅁䍁䅣睗乂䕁䅫睘䑂䝁䄸兢睂䝁䅅杢㕂䙁䄸睓求䡁䅫睕あ䝁䅅䅤穂䙁䄸杤硁䍁䄰睑療䡁䅁入畁䡁䅧䅢穂䝁䄰兘兂䝁䅕杢穂䝁䅫睢畂䍁䄰睔兂䕁䅕村湁䍁䅅䅊䕂䍁䅑兎㙁䍁䅑兓歁䑁䅕䅁呃兂䅁杓䅁䙁䅳睓求䡁䅫睕あ䝁䅅䅤穂䙁䄸䅤求䡁䅍䅤浂䝁䅫䅢求䍁䄴䅥獂䡁䅍䅥摂䙁䅍䅡求䝁䅕䅤硁䍁䅅䅊䙂䍁䅑杍祁䅁䅁兗䅁䙁䅙䅁扂䕁䅳党㕂䙁䅍䅤桂䡁䅑督時䡁䅑党穂䡁䅑杚灂䝁䅷党畁䡁䅧䅢穂䡁䅧兘呂䝁䅧党求䡁䅑免桁䍁䅑睑歁䑁䅙䅍㙁䍁䅑睑歁䑁䅙䅏䅁䡁䅧䅁杂䅁䅁睊扂䕁䄰兓時䕁䅍睢瑂䡁䅁兙畂䡁䅫睘䱂䝁䅕入呂䡁䅑兙あ䡁䅍睘㉂䑁䅅兌䑂䝁䄸䅣㕂䍁䄴䅥獂䡁䅍兢摂䙁䅉兙あ䝁䅫睢穂䍁䅣光歁䕁䅍䅊ぁ䅁䅁䅩䅕䕁䅁䅁䩂䙁䅅睘䉂䕁䅑䅒時䙁䅑兑奂䙁䄸䅕偂䙁䅍兓啂䕁䅫睔佂䙁䅍睘䑂䙁䅕杕卂䕁䅕杔啂䙁䄸兗卂䅁䅁杂䅍䕁䅧䅁䑂䝁䄸杢㉂䝁䅕杣あ䝁䅫杙獂䝁䅕䅉䕂䝁䅕杙あ䍁䅁兌杁䙁䅑睢あ䝁䅅䅢杁䍁䅧杕求䡁䅁睢祂䡁䅑党歂䍁䅫䅁摁允䅁条䅁䍁䅣睗乂䕁䅫睘䑂䝁䄸兢睂䝁䅅杢㕂䙁䄸睓求䡁䅫睕あ䝁䅅䅤穂䙁䄸杤硁䍁䄰睑療䡁䅁入畁䡁䅧䅢穂䝁䄰兘卂䝁䅅䅤灂䝁䄸督湁䍁䅅䅊䕂䍁䅑兎㙁䍁䅑兓歁䑁䅕䅁䱃兂䅁来䅁䍁䅣睗乂䕁䅫睘䑂䝁䄸兢睂䝁䅅杢㕂䙁䄸睓求䡁䅫睕あ䝁䅅䅤穂䙁䄸杤硁䍁䄰睑療䡁䅁入畁䡁䅧䅢穂䝁䄰兘呂䡁䅕䅣睂䝁䅷党瑂䝁䅕杢あ䝁䅅䅢湁䍁䅅䅊䑂䍁䅑兏㙁䍁䅑睑歁䑁䅅李ぁ䅁䅁杪䅕䑁䅁䅁䩂䙁䅅睘䙂䕁䅉兓啂䕁䅅睘硁䙁䅫杕時䕁䅅杔佂䙁䄸睒卂䕁䄸睖啂䕁䅧䅁噁杁䅁杤䅁䍁䅣睗乂䕁䅫睘䑂䝁䄸兢睂䝁䅅杢㕂䙁䄸睓求䡁䅫睕あ䝁䅅䅤穂䙁䄸杤硁䍁䄰睑療䡁䅁入畁䡁䅧䅢穂䝁䄰兘呂䡁䅕䅣睂䝁䅷党瑂䝁䅕杢あ䝁䅅䅢湁䍁䅅䅊䕂䍁䅑䅎㙁䍁䅑兓歁䑁䅑䅁乃兂䅁䅯䅁䍁䅣睗䑂䝁䄸䅣㕂䍁䅁睢浂䍁䅁睕兂䕁䅣睘䑂䝁䄸兢睂䝁䅅杢㕂䙁䄸睓求䡁䅫睕あ䝁䅅䅤穂䙁䄸杤祁䙁䄸杢求䡁䅣杌㑂䝁䅷督瑂䙁䄰睑桂䡁䅁兡あ䝁䅅䅢時䙁䅍䅤祂䡁䅕睙あ䡁䅕杣求䙁䄸睕ㅂ䝁䄰兢桂䡁䅉入湁䍁䅅䅊䙂䍁䅑睎㙁䍁䅑睔歁䑁䅣䅁婂睂䅁杤䅁䍁䅣睗乂䕁䅫睘䑂䝁䄸兢睂䝁䅅杢㕂䙁䄸睓求䡁䅫睕あ䝁䅅䅤穂䙁䄸杤硁䍁䄰睑療䡁䅁入畁䡁䅧䅢穂䝁䄰兘呂䡁䅕䅣睂䝁䅷党瑂䝁䅕杢あ䝁䅅䅢湁䍁䅅䅊䕂䍁䅑兎㙁䍁䅑兓歁䑁䅕䅁偃兂䅁杣䅁䍁䅣睗乂䕁䅫睘䑂䝁䄸兢睂䝁䅅杢㕂䙁䄸睓求䡁䅫睕あ䝁䅅䅤穂䙁䄸杤硁䍁䄴䅥獂䡁䅍兢摂䙁䅁党畂䡁䅍兡療䝁䄴兌偂䙁䅁兒䍂䍁䅣光歁䕁䅍䅊硁䑁䅅杏歁䕁䅍䅊ㅁ䑁䅣䅍䅁䵁䘴䅁䥂䅁䅁睗䱂䝁䅕入呂䡁䅑兙あ䡁䅍睘あ䝁䅕督あ䝁䅙兡獂䝁䅕杌㑂䝁䅷督㑂䙁䄰睕潂䝁䅕党あ䑁䅉光歁䕁䅑䅊ㅁ䅁䅁兊䅁䍁䅙䅁䩂䙁䅅睘䭂䙁䅉睘呂䙁䅕村時䕁䅑兒䍂䙁䅑睘兂䕁䅍䅖䅁䍁䉑䅁楂䅁䅁睊扂䕁䄰兓時䕁䅍睢瑂䡁䅁兙畂䡁䅫睘䱂䝁䅕入呂䡁䅑兙あ䡁䅍睘㉂䑁䅅杌㑂䝁䅷督瑂䙁䄰䅕求䝁䄴督灂䝁䄸杢瑁䕁䄸䅕䙂䕁䅉睊桁䍁䅑睑歁䑁䅑䅁獁䅂䅁杪䅁䍁䅣睗䑂䝁䄸䅣㕂䍁䅁睢浂䍁䅁睕兂䕁䅣睘䑂䝁䄸兢睂䝁䅅杢㕂䙁䄸睓求䡁䅫睕あ䝁䅅䅤穂䙁䄸杤祁䙁䄸杢求䡁䅣杌㑂䝁䅷督瑂䙁䄰兓畂䝁䅍睢瑂䝁䅕睘呂䡁䅑兙あ䝁䅕兢求䝁䄴䅤湁䍁䅅䅊䙂䍁䅑睎㙁䍁䅑䅕歁䑁䅣䅁䉂睂䅁杏䅁䕁䅣杣療䡁䅍督杁䙁䅁杣療䝁䅙兡あ䍁䅷䅉祁䍁䅁兗祂䍁䄴䅉䑂䕁䅅睒卂䍁䅁䅋汁䍁䅫䅁䭂杁䅁䅣䅁䍁䅣睗乂䕁䅫睘䑂䝁䄸兢睂䝁䅅杢㕂䙁䄸睓求䡁䅫睕あ䝁䅅䅤穂䙁䄸杤硁䍁䄴䅥獂䡁䅍兢摂䙁䅁党畂䡁䅍兡療䝁䄴兌偂䙁䅁兒䍂䍁䅣光歁䕁䅍䅊㕁䑁䅯䅊䑂䍁䅑兎㉁䑁䅧䅁畁䅂䅁杚䅁䙁䅳兔䩂䙁䄸睑療䝁䄰䅣桂䝁䄴入時䕁䅳党㕂䙁䅍䅤桂䡁䅑督時䡁䅙免畁䡁䅧䅢穂䝁䄰兘䑂䝁䅅督潂䙁䄸杒獂䝁䄸睤桁䍁䅑睑歁䑁䅅免㙁䍁䅑睑歁䑁䅫杍䅁䱁䙯䅁䍂䅁䅁睔睂䡁䅑兡療䝁䄴督㙁䕁䅍兤祂䡁䅉児噂䙁䅍䅒獁䕁䄰兙湂䑁䄰睕佂䕁䅷睕あ䝁䅅杢歂䝁䅅杣歂䅁䅁眱䅍䝁䅷䅁湁䙁䅳兔䩂䙁䄸睑療䝁䄰䅣桂䝁䄴入時䕁䅳党㕂䙁䅍䅤桂䡁䅑督時䡁䅙免畁䡁䅧䅢穂䝁䄰兘兂䝁䅕杢穂䝁䅫睢畂䍁䄰睔兂䕁䅕村湁䍁䅅䅊䕂䍁䅑䅎㙁䍁䅑兓歁䑁䅑䅁瑁䅂䅁䅢䅁䍁䅣睗乂䕁䅫睘䑂䝁䄸兢睂䝁䅅杢㕂䙁䄸睓求䡁䅫睕あ䝁䅅䅤穂䙁䄸杤硁䍁䄴䅥獂䡁䅍兢摂䙁䅁党畂䡁䅍兡療䝁䄴兌偂䙁䅁兒䍂䍁䅣光歁䕁䅑䅊ㅁ䑁䅯䅊䩂䍁䅑兎䅁䍁䔸䅁ぁ䅁䅁杓祂䍁䄴䅉呂䡁䅕杙杁䕁䅑党楂䡁䅑䅉癁䍁䅁兒䍂䕁䅫䅖䕂䕁䅅䅉潁䡁䅧克䅁䩁䉁䅁㙂䅁䅁睊扂䙁䅍䅕䡂䙁䄸睑療䝁䄰䅣桂䝁䄴入時䕁䅳党㕂䙁䅍䅤桂䡁䅑督時䡁䅙免杁䍁䅧杍灁䍁䄴䅥獂䡁䅍兢摂䕁䅍兙睂䝁䅫䅤桂䝁䅷兡㙂䝁䅅䅤灂䝁䄸杢湁䍁䅅䅊䙂䍁䅑兎㙁䍁䅑杓歁䑁䅕䅁穁杂䅁杨䅁䍁䅣睗䑂䝁䄸䅣㕂䍁䅁睢浂䍁䅁睕兂䕁䅣睘䑂䝁䄸兢睂䝁䅅杢㕂䙁䄸睓求䡁䅫睕あ䝁䅅䅤穂䙁䄸杤祁䙁䄸杢求䡁䅣杌㑂䝁䅷督瑂䙁䄰睑桂䡁䅍䅡時䕁䅙䅢療䡁䅣睊桁䍁䅑睑歁䑁䅅免㙁䍁䅑睑歁䑁䅅䅍硁䅁䅁兴䅣䝁䅷䅁湁䙁䅳兔䩂䙁䄸睑療䝁䄰䅣桂䝁䄴入時䕁䅳党㕂䙁䅍䅤桂䡁䅑督時䡁䅙免畁䡁䅧䅢穂䝁䄰兘兂䝁䅕杢穂䝁䅫睢畂䍁䄰睔兂䕁䅕村湁䍁䅅䅊䕂䍁䅑李㙁䍁䅑兓歁䑁䅙䅁乄兂䅁杗䅁䙁䅳兔䩂䙁䄸杕䙂䕁䅫䅖時䙁䅍兙瑂䝁䅕睕あ䝁䄸杣求䙁䅑党瑂䡁䅁䅢桂䡁䅑党時䡁䅙免畁䡁䅧䅢穂䙁䄰䅒桂䡁䅑兙桁䍁䅑䅓歁䑁䅑兎䅁乁䑳䅁⭂䅁䅁睊扂䙁䅍䅕䡂䙁䄸睑療䝁䄰䅣桂䝁䄴入時䕁䅳党㕂䙁䅍䅤桂䡁䅑督時䡁䅙免杁䍁䅧杍灁䍁䄴䅥獂䡁䅍兢摂䕁䅍兙睂䝁䅫䅤桂䝁䅷兡㙂䝁䅅䅤灂䝁䄸杢湁䍁䅅䅊䙂䍁䅑兎硁䑁䅯䅊䭂䍁䅑兎硁䅁䅁兎䅙䙁䅁䅁呂䝁䅕䅢獂䝁䅫杢湂䍁䅁睒求䝁䄴党祂䝁䅅䅢杁䍁䅙䅉䉂䝁䅑兢灂䝁䄴䅉䙂䡁䅧䅣畁䍁䅁䅋卂䝁䅕䅣療䡁䅉䅤求䝁䅑克䅁䭁䅕䅁祁䅁䅁睕祂䍁䄴䅉呂䡁䅕杙畁䍁䅁䅒求䝁䅉䅤杁䍁䅧杕求䡁䅁睢祂䡁䅑党歂䍁䅫䅁噁允䅁䅢䅁䍁䅣睗乂䕁䅫睘䑂䝁䄸兢睂䝁䅅杢㕂䙁䄸睓求䡁䅫睕あ䝁䅅䅤穂䙁䄸杤硁䍁䄴䅥獂䡁䅍兢摂䙁䅁党畂䡁䅍兡療䝁䄴兌偂䙁䅁兒䍂䍁䅣光歁䕁䅑䅊㍁䑁䅯䅊䩂䍁䅑睎䅁䵁䘸䅁歂䅁䅁睊扂䕁䄰兓時䕁䅍睢瑂䡁䅁兙畂䡁䅫睘䱂䝁䅕入呂䡁䅑兙あ䡁䅍睘㉂䑁䅅睘畁䡁䅧䅢穂䝁䄰兘兂䝁䅕杢穂䝁䅫睢畂䍁䄰睔兂䕁䅕村湁䍁䅅䅊䑂䍁䅑䅎䅁䅁䙅䅁坂䅁䅁睗呂䙁䅁睒時䕁䅍睢瑂䡁䅁兙畂䡁䅫睘䱂䝁䅕入呂䡁䅑兙あ䡁䅍睘㉂䑁䅉杌㑂䝁䅷督瑂䙁䄰睕潂䝁䅕党あ䑁䅅光歁䕁䅯䅊㍁䑁䅕䅁㝃杂䅁杕䅁䕁䅑兡獂䡁䅕䅤求䝁䅑䅉䙂䙁䅁睕杁䕁䅉党浂䝁䄸杣求䍁䅁兒㑂䡁䅑杣桂䍁䅷䅉ㅁ䍁䅁兗祂䍁䄴䅉䑂䕁䅅睒卂䍁䅁䅋汁䍁䅫䅁慃杁䅁杣䅁䍁䅣睗乂䕁䅫睘䑂䝁䄸兢睂䝁䅅杢㕂䙁䄸睓求䡁䅫睕あ䝁䅅䅤穂䙁䄸杤硁䙁䄸杌㑂䝁䅷督瑂䙁䄰䅕求䝁䄴督灂䝁䄸杢瑁䕁䄸䅕䙂䕁䅉睊桁䍁䅑睑歁䑁䅫杏歁䕁䅍䅊ㅁ䑁䅙䅏䅁䅁䙍䅁獂䅁䅁睗乂䕁䅫睘䑂䝁䄸兢睂䝁䅅杢㕂䙁䄸睓求䡁䅫睕あ䝁䅅䅤穂䙁䄸杤硁䕁䄸䅢歂䍁䄴䅥獂䡁䅍兢摂䕁䅳党㕂䙁䄸睕あ䝁䅅䅤穂䍁䅅䅊䭂䍁䅑杍祁䑁䅯䅊䵂䍁䅑杍祁䅁䅁睥䅑䝁䅧䅁䑂䝁䄸杢あ䡁䅉兙橂䡁䅑兤桂䝁䅷䅉偂䝁䅉䅢灂䝁䅣兙あ䝁䅫睢畂䡁䅍䅉䕂䡁䅕党獁䍁䅁兑浂䡁䅑党祂䍁䅁兎杁䙁䅫杣穂䍁䅁䅋卂䝁䅕䅣療䡁䅉䅤求䝁䅑克䅁佁䉁䅁㑂䅁䅁睊扂䙁䅍䅕䡂䙁䄸睑療䝁䄰䅣桂䝁䄴入時䕁䅳党㕂䙁䅍䅤桂䡁䅑督時䡁䅙免杁䍁䅧杍灁䍁䄴䅥獂䡁䅍兢摂䕁䅳党㕂䙁䄸睕あ䝁䅅䅤穂䍁䅣光歁䕁䅕䅊硁䑁䅁睎㙁䍁䅑睒歁䑁䅅䅍㍁䅁䅁睇䅙䩁䅧䅁偂䡁䅁䅤灂䝁䄸杢穂䑁䅯䅉䑂䡁䅕杣祂䑁䄰兖呂䕁䅑䅌杁䕁䄰兙湂䑁䄰兔灂䝁䅷䅢灂䝁䄸杢穂䍁䅷睑療䝁䄴杤乂䝁䅕䅤潂䝁䄸䅚㥁䕁䄰兓祂䝁䅕睙療䝁䄰兢求䝁䄴䅚求䝁䅑䅌杁䕁䄴兑㥁䕁䄴兑獁䍁䅁䅖求䡁䅉兢㥁䝁䅕杢瑁䙁䅕睕䅁䥁䅫䅁坂䅁䅁睗呂䙁䅁睒時䕁䅍睢瑂䡁䅁兙畂䡁䅫睘䱂䝁䅕入呂䡁䅑兙あ䡁䅍睘㉂䑁䅉杌㑂䝁䅷督瑂䙁䄰睕潂䝁䅕党あ䑁䅅光歁䕁䅧䅊硁䑁䅅䅁慃杂䅁杢䅁䍁䅣睗乂䕁䅫睘䑂䝁䄸兢睂䝁䅅杢㕂䙁䄸睓求䡁䅫睕あ䝁䅅䅤穂䙁䄸杤硁䙁䄸杌㑂䝁䅷督瑂䙁䄰䅕求䝁䄴督灂䝁䄸杢瑁䕁䄸䅕䙂䕁䅉睊桁䍁䅑䅒歁䑁䅕杏歁䕁䅫䅊ㅁ䅁䅁䅂䅕䙁䅉䅁湁䙁䅳兔䩂䙁䄸睓求䡁䅫睕あ䝁䅅䅤穂䙁䄸杤硁䍁䄴䅥獂䡁䅍兢摂䙁䅁党畂䡁䅍兡療䝁䄴兌偂䙁䅁兒䍂䍁䅣光歁䕁䅍䅊ぁ䅁䅁䅴䅍䑁䅁䅁啂䝁䄸䅤桂䝁䅷䅉䕂䝁䅕杙あ䍁䅁睌杁䕁䅕村䩂䙁䅑䅒䉂䍁䅁䅋㑂䍁䅫䅁㡂允䅁䅙䅁䍁䅣睗乂䕁䅫睘䱂䝁䅕入呂䡁䅑兙あ䡁䅍睘㉂䑁䅅杌㑂䝁䅷督瑂䙁䄰䅕求䝁䄴督灂䝁䄸杢瑁䕁䄸䅕䙂䕁䅉睊桁䍁䅑睑歁䑁䅫杏歁䕁䅍䅊ㅁ䑁䅙䅏䅁䱁䑙䅁㑂䅁䅁睗䱂䝁䅕入呂䡁䅑兙あ䡁䅍睘あ䝁䅕督あ䝁䅙兡獂䝁䅕杌㑂䝁䅷督瑂䙁䄰睑桂䡁䅁兡あ䝁䅅䅢時䙁䅍䅤祂䡁䅕睙あ䡁䅕杣求䙁䄸睕ㅂ䝁䄰兢桂䡁䅉入桁䍁䅑杒歁䑁䅕杏歁䕁䄴䅊ㅁ䅁䅁儷䅁䝁䅙䅁扂䕁䄰兓時䕁䅍睢瑂䡁䅁兙畂䡁䅫睘䱂䝁䅕入呂䡁䅑兙あ䡁䅍睘㉂䑁䅅睘畁䡁䅧䅢穂䝁䄰兘䑂䝁䅅䅣灂䡁䅑兙獂䝁䅫来桂䡁䅑兡療䝁䄴光歁䕁䅍䅊ㅁ䑁䅁䅁牄䅂䅁杨䅁䍁䅣睗呂䙁䅁睒時䕁䅍睢瑂䡁䅁兙畂䡁䅫睘䱂䝁䅕入呂䡁䅑兙あ䡁䅍睘㉂䑁䅅䅉潁䑁䅉克畁䡁䅧䅢穂䝁䄰兘䑂䝁䅅䅣灂䡁䅑兙獂䙁䄸睕あ䡁䅉兤橂䡁䅑兤祂䝁䅕睘呂䡁䅕兢瑂䝁䅅杣㕂䍁䅣光歁䕁䅍䅊㉁䅁䅁䅐䅙䝁䅙䅁扂䕁䅳党㕂䙁䅍䅤桂䡁䅑督時䡁䅑党穂䡁䅑杚灂䝁䅷党畁䡁䅧䅢穂䝁䄰兘䑂䝁䅅䅣灂䡁䅑兙獂䝁䅫来桂䡁䅑兡療䝁䄴光歁䕁䅑䅊ㅁ䑁䅍杏歁䕁䅑䅊ㅁ䑁䅑䅁扄䅁䅁䅚䅁䍁䅣睗呂䙁䅁睒時䕁䅍睢瑂䡁䅁兙畂䡁䅫睘䱂䝁䅕入呂䡁䅑兙あ䡁䅍睘㉂䑁䅉䅉硁䍁䄴䅥獂䡁䅍兢摂䕁䅳党㕂䙁䄸睕あ䝁䅅䅤穂䍁䅣光歁䕁䅕䅊㉁䑁䅉䅁兄杂䅁䅘䅁䍁䅣睗乂䕁䅫睘䱂䝁䅕入呂䡁䅑兙あ䡁䅍睘㉂䑁䅅杌㑂䝁䅷督瑂䙁䄰䅕求䝁䄴督灂䝁䄸杢瑁䕁䄸䅕䙂䕁䅉睊桁䍁䅑䅒歁䑁䅕杏歁䕁䅫䅊ㅁ䅁䅁睴䅍䝁䅑䅁扂䙁䅍䅕䡂䙁䄸睑療䝁䄰䅣桂䝁䄴入時䕁䅳党㕂䙁䅍䅤桂䡁䅑督時䡁䅙杍畁䡁䅧䅢穂䝁䄰兘乂䡁䅕䅢あ䝁䅫䅣獂䝁䅕督桁䍁䅑兒歁䑁䅧杏歁䕁䅷䅊㑁䅁䅁兣䅙䡁䄴䅁湁䙁䅳睕兂䕁䅣睘䑂䝁䄸兢睂䝁䅅杢㕂䙁䄸睓求䡁䅫睕あ䝁䅅䅤穂䙁䄸杤硁䍁䅁䅋祁䍁䅫杌㑂䝁䅷督瑂䙁䄰村桂䝁䅷兙畂䝁䅍党時䙁䅍䅡求䝁䅕䅤湁䍁䅅䅊䑂䍁䅑免硁䑁䅯䅊䑂䍁䅑免㉁䑁䅍䅁煁杂䅁杆䅁䑁䅁兏癁䑁䅅兎癁䑁䅉䅍祁䑁䅁䅁桃兂䅁杋䅁䕁䅫兕時䕁䅍兑兂䙁䄸䅔偂䙁䅍睕時䕁䅍杒時䙁䅑睔啂䕁䅅䅔䅁佁䌴䅁歂䅁䅁睊扂䙁䅍䅕䡂䙁䄸睑療䝁䄰䅣桂䝁䄴入時䕁䅳党㕂䙁䅍䅤桂䡁䅑督時䡁䅙免畁䡁䅧䅢穂䝁䄰兘兂䝁䅕杢穂䝁䅫睢畂䍁䄰睔兂䕁䅕村湁䍁䅅䅊䑂䍁䅑李䅁䅁䝷䅁畂䅁䅁睊扂䙁䅍䅕䡂䙁䄸睑療䝁䄰䅣桂䝁䄴入時䕁䅳党㕂䙁䅍䅤桂䡁䅑督時䡁䅙免杁䍁䅧杍灁䍁䄴䅥獂䡁䅍兢摂䕁䅉兙獂䝁䅅杢橂䝁䅕睘呂䝁䅧党求䡁䅑睊桁䍁䅑睑歁䑁䅙䅁潁杂䅁䅈䅁䕁䅫兕時䙁䅕杔䕂䙁䅉兑塂䕁䄴睘卂䕁䅍䅁䕁允䅁䅤䅁䍁䅣睗呂䙁䅁睒時䕁䅍睢瑂䡁䅁兙畂䡁䅫睘䱂䝁䅕入呂䡁䅑兙あ䡁䅍睘㉂䑁䅅䅉潁䑁䅉克畁䡁䅧䅢穂䝁䄰兘䱂䝁䅕入時䙁䅍䅤桂䡁䅑督湁䍁䅅䅊乂䍁䅑杍㉁䑁䅯䅊偂䍁䅑杍㉁䅁䅁睆䅙䑁䅑䅁䩂䙁䅅睘佂䕁䅫睘佂䕁䄸杕乂䙁䄸免婂䙁䅉睘䉂䕁䄴杔時䕁䅣杕偂䙁䅣䅖䥂䅁䅁睆䅉䡁䅧䅁湁䙁䅳睕兂䕁䅣睘䑂䝁䄸兢睂䝁䅅杢㕂䙁䄸睓求䡁䅫睕あ䝁䅅䅤穂䙁䄸杤硁䍁䅁䅋祁䍁䅫杌㑂䝁䅷督瑂䙁䄰村桂䝁䅷兙畂䝁䅍党時䙁䅍䅡求䝁䅕䅤湁䍁䅅䅊䙂䍁䅑李㙁䍁䅑䅕歁䑁䅙䅁灁杂䅁䅥䅁䍁䅣睗呂䙁䅁睒時䕁䅍睢瑂䡁䅁兙畂䡁䅫睘䱂䝁䅕入呂䡁䅑兙あ䡁䅍睘㉂䑁䅅䅉潁䑁䅉克畁䡁䅧䅢穂䝁䄰兘䍂䝁䅅䅢桂䝁䄴睙求䙁䄸睕潂䝁䅕党あ䍁䅣光歁䕁䅕䅊㍁䑁䅯䅊兂䍁䅑睎䅁䍁䝳䅁慁䅁䅁䅐⭁䑁䅁兏癁䑁䅅李癁䑁䅉䅍祁䑁䅁䅁楃兂䅁䅣䅁䙁䅳兔䩂䙁䄸睑療䝁䄰䅣桂䝁䄴入時䕁䅳党㕂䙁䅍䅤桂䡁䅑督時䡁䅙免偂䝁䅷䅚畁䡁䅧䅢穂䝁䄰兘䱂䝁䅕入時䙁䅍䅤桂䡁䅑督桁䍁䅑睑歁䑁䅅䅍ㅁ䑁䅯䅊䑂䍁䅑免睁䑁䅫䅁䅃䅂䅁䅘䅁䙁䅳兔䩂䙁䄸睓求䡁䅫睕あ䝁䅅䅤穂䙁䄸杤硁䍁䄴䅥獂䡁䅍兢摂䙁䅍兤睂䡁䅁䅢求䝁䄰党畂䡁䅑兙獂䍁䅅䅊䑂䍁䅑兏㙁䍁䅑睑歁䑁䅅李ぁ䅁䅁杹䅍䩁䅙䅁湁䙁䅳睕兂䕁䅣睘䑂䝁䄸兢睂䝁䅅杢㕂䙁䄸睓求䡁䅫睕あ䝁䅅䅤穂䙁䄸杤硁䍁䅁䅋祁䍁䅫杌㑂䝁䅷督瑂䙁䄰睑桂䡁䅁兡あ䝁䅅䅢時䙁䅍䅤祂䡁䅕睙あ䡁䅕杣求䙁䄸睕ㅂ䝁䄰兢桂䡁䅉入湁䍁䅅䅊䑂䍁䅑免ㅁ䑁䅯䅊䑂䍁䅑免ㅁ䑁䅉䅁⭁杂䅁䅋䅁䕁䅫兕時䙁䅑睔啂䕁䅅䅔時䙁䅍杕時䙁䅍兒䑂䙁䅕杕䙂䕁䅑䅁ぁ允䅁杖䅁䙁䅳睓求䡁䅫睕あ䝁䅅䅤穂䙁䄸䅤求䡁䅍䅤浂䝁䅫䅢求䍁䄴䅥獂䡁䅍䅥摂䙁䅍䅡求䝁䅕䅤硁䍁䅅䅊䙂䍁䅑杍祁䑁䅯䅊䩂䍁䅑杍祁䅁䅁杔䅁䙁䅙䅁扂䙁䅍䅕䡂䙁䄸睑療䝁䄰䅣桂䝁䄴入時䕁䅳党㕂䙁䅍䅤桂䡁䅑督時䡁䅙杍畁䡁䅧䅢穂䝁䄰兘呂䝁䅧党求䡁䅑免桁䍁䅑杒歁䑁䅣兎䅁䱁䝙䅁啃䅁䅁睊扂䙁䅍䅕䡂䙁䄸睑療䝁䄰䅣桂䝁䄴入時䕁䅳党㕂䙁䅍䅤桂䡁䅑督時䡁䅙免杁䍁䅧杍灁䍁䄴䅥獂䡁䅍兢摂䕁䅍兙睂䝁䅫䅤桂䝁䅷睘呂䡁䅑杣ㅂ䝁䅍䅤ㅂ䡁䅉党時䙁䅍兤瑂䝁䄰兙祂䡁䅫睊桁䍁䅑䅒歁䑁䅉兏㙁䍁䅑䅒歁䑁䅧䅍䅁䕁䝉䅁㙂䅁䅁睗乂䕁䅫睘䑂䝁䄸兢睂䝁䅅杢㕂䙁䄸睓求䡁䅫睕あ䝁䅅䅤穂䙁䄸杤硁䙁䄸杌㑂䝁䅷督瑂䙁䄰兓畂䝁䅍睢瑂䝁䅕睘呂䡁䅑兙あ䝁䅕兢求䝁䄴䅤桁䍁䅑兒歁䑁䅅睎㍁䑁䅯䅊兂䍁䅑免㍁䑁䅣䅁奄䅂䅁杣䅁䍁䅣睗呂䙁䅁睒時䕁䅍睢瑂䡁䅁兙畂䡁䅫睘䱂䝁䅕入呂䡁䅑兙あ䡁䅍睘㉂䑁䅅䅉潁䑁䅉克畁䡁䅧䅢穂䝁䄰兘䑂䝁䅅䅣灂䡁䅑兙獂䝁䅫来桂䡁䅑兡療䝁䄴睊桁䍁䅑睑歁䑁䅑䅏䅁䑁䝧䅁元䅁䅁睊扂䙁䅍䅕䡂䙁䄸睑療䝁䄰䅣桂䝁䄴入時䕁䅳党㕂䙁䅍䅤桂䡁䅑督時䡁䅙免杁䍁䅧杍灁䍁䄴䅥獂䡁䅍兢摂䕁䅍兙睂䝁䅫䅤桂䝁䅷睘呂䡁䅑杣ㅂ䝁䅍䅤ㅂ䡁䅉党時䙁䅍兤瑂䝁䄰兙祂䡁䅫睊桁䍁䅑兒歁䑁䅙杏歁䕁䄸䅊㉁䅁䅁児䅙䩁䅑䅁湁䙁䅳睕兂䕁䅣睘䑂䝁䄸兢睂䝁䅅杢㕂䙁䄸睓求䡁䅫睕あ䝁䅅䅤穂䙁䄸杤硁䍁䅁䅋祁䍁䅫杌㑂䝁䅷督瑂䙁䄰睑桂䡁䅁兡あ䝁䅅䅢時䙁䅍䅤祂䡁䅕睙あ䡁䅕杣求䙁䄸睕ㅂ䝁䄰兢桂䡁䅉入湁䍁䅅䅊䝂䍁䅑免硁䑁䅯䅊兂䍁䅑免硁䅁䅁睑䅙䝁䅧䅁扂䙁䅍䅕䡂䙁䄸睑療䝁䄰䅣桂䝁䄴入時䕁䅳党㕂䙁䅍䅤桂䡁䅑督時䡁䅙免畁䡁䅧䅢穂䝁䄰兘䩂䝁䄴睙療䝁䄰党時䙁䅍䅤桂䡁䅑党瑂䝁䅕杢あ䍁䅅䅊䑂䍁䅑李䅁佁䙑䅁䕃䅁䅁睊扂䕁䅍睢睂䡁䅫䅉療䝁䅙䅉呂䙁䅁睒時䕁䅍睢瑂䡁䅁兙畂䡁䅫睘䱂䝁䅕入呂䡁䅑兙あ䡁䅍睘㉂䑁䅉睘畂䝁䅕睤畁䡁䅧䅢穂䝁䄰兘䱂䝁䅕入時䙁䅍䅤桂䡁䅑督湁䍁䅅䅊䙂䍁䅑杍ㅁ䑁䅯䅊䭂䍁䅑杍ㅁ䅁䅁睊䅣䡁䅁䅁湁䙁䅳睕兂䕁䅣睘䑂䝁䄸兢睂䝁䅅杢㕂䙁䄸睓求䡁䅫睕あ䝁䅅䅤穂䙁䄸杤硁䍁䅁䅋祁䍁䅫杌㑂䝁䅷督瑂䙁䄰睑桂䡁䅁兡あ䝁䅅䅢灂䡁䅯兙あ䝁䅫睢畂䍁䅣光歁䕁䅍䅊ぁ䅁䅁䅍䅙䝁䅧䅁䑂䝁䅅䅣灂䡁䅑兙獂䍁䅁䅔療䡁䅍督杁䕁䅍兙祂䡁䅉入浂䝁䄸杣㍂䝁䅅杣歂䍁䅷䅉佂䝁䄸䅉䙂䡁䅧䅣灂䡁䅉兙あ䝁䅫睢畂䍁䅁䅋卂䝁䅕䅣療䡁䅉䅤求䝁䅑克䅁佁䌰䅁祂䅁䅁睊扂䙁䅍䅕䡂䙁䄸睑療䝁䄰䅣桂䝁䄴入時䕁䅳党㕂䙁䅍䅤桂䡁䅑督時䡁䅙免杁䍁䅧杍灁䍁䄴䅥獂䡁䅍兢摂䕁䅍兙睂䝁䅫䅤桂䝁䅷兡㙂䝁䅅䅤灂䝁䄸杢湁䍁䅅䅊䑂䍁䅑䅎㍁䅁䅁䅎䅙䝁䅯䅁扂䕁䄰兓時䕁䅍睢瑂䡁䅁兙畂䡁䅫睘䱂䝁䅕入呂䡁䅑兙あ䡁䅍睘㉂䑁䅅杌㑂䝁䅷督瑂䙁䄰睓求䡁䅫睘呂䡁䅑兙あ䡁䅍光歁䕁䅕䅊硁䑁䅁睍㙁䍁䅑睒歁䑁䅅䅍穁䅁䅁儹䅍䝁䅧䅁扂䕁䄰兓時䕁䅍睢瑂䡁䅁兙畂䡁䅫睘䱂䝁䅕入呂䡁䅑兙あ䡁䅍睘㉂䑁䅅睘畁䡁䅧䅢穂䝁䄰兘䩂䝁䄴睙療䝁䄰党時䙁䅍䅤桂䡁䅑党瑂䝁䅕杢あ䍁䅅䅊䑂䍁䅑䅎䅁乁䕅䅁䥃䅁䅁睊扂䕁䅍睢睂䡁䅫䅉療䝁䅙䅉呂䙁䅁睒時䕁䅍睢瑂䡁䅁兙畂䡁䅫睘䱂䝁䅕入呂䡁䅑兙あ䡁䅍睘㉂䑁䅉睘畂䝁䅕睤畁䡁䅧䅢穂䝁䄰兘䱂䝁䅕入時䙁䅍䅤桂䡁䅑督湁䍁䅅䅊䡂䍁䅑免睁䑁䅣杏歁䕁䅫䅊硁䑁䅁睎䅁䩁䡳䅁捁䅁䅁兓剂䙁䄸睑䵂䙁䄸䅒噂䕁䅕睘䑂䙁䅫免䅁䭁䉳䅁䥂䅁䅁睗䱂䝁䅕入呂䡁䅑兙あ䡁䅍睘あ䝁䅕督あ䝁䅙兡獂䝁䅕杌㑂䝁䅷督瑂䙁䄰杕桂䡁䅑兡療䡁䅍光歁䕁䅍䅊ぁ䅁䅁眸䅅䙁䅷䅁扂䕁䅳党㕂䙁䅍䅤桂䡁䅑督時䡁䅑党穂䡁䅑杚灂䝁䅷党畁䡁䅧䅢穂䝁䄰兘䱂䝁䅕入時䙁䅍䅤桂䡁䅑督桁䍁䅑杓歁䑁䅉睍㙁䍁䅑䅔歁䑁䅉睍䅁䩁䅷䅁千䅁䅁睊扂䙁䅍䅕䡂䙁䄸睑療䝁䄰䅣桂䝁䄴入時䕁䅳党㕂䙁䅍䅤桂䡁䅑督時䡁䅙杍杁䑁䅅杌㑂䝁䅷督瑂䙁䄰睑桂䡁䅁兡あ䝁䅅䅢時䙁䅍䅤祂䡁䅕睙あ䡁䅕杣求䙁䄸睕ㅂ䝁䄰兢桂䡁䅉入湁䍁䅅䅊䑂䍁䅑免ㅁ䑁䅯䅊䑂䍁䅑免㍁䑁䅁䅁硄杂䅁䅖䅁䙁䅑睢あ䝁䅅䅢杁䙁䅍杣畁䍁䅁村療䝁䄴䅚穂䍁䅁兙畂䝁䅑䅉佂䝁䄸䅤求䡁䅍睌杁䙁䅑睢あ䝁䅅䅢杁䕁䅑党楂䡁䅑䅉潁䍁䅕克䅁偁䅣䅁祂䅁䅁睊扂䙁䅍䅕䡂䙁䄸睑療䝁䄰䅣桂䝁䄴入時䕁䅳党㕂䙁䅍䅤桂䡁䅑督時䡁䅙免杁䍁䅧杍灁䍁䄴䅥獂䡁䅍兢摂䕁䅍兙睂䝁䅫䅤桂䝁䅷兡㙂䝁䅅䅤灂䝁䄸杢湁䍁䅅䅊䑂䍁䅑兎睁䅁䅁杏䅙䑁䅉䅁䩂䙁䅅睘䙂䕁䅉兓啂䕁䅑兑時䑁䅅兗卂䙁䄸兑佂䕁䄴睘䡂䙁䅉睔塂䙁䅑䅓䅁䍁䍍䅁㑂䅁䅁睊扂䕁䅍睢睂䡁䅫䅉療䝁䅙䅉呂䙁䅁睒時䕁䅍睢瑂䡁䅁兙畂䡁䅫睘䱂䝁䅕入呂䡁䅑兙あ䡁䅍睘㉂䑁䅉睘畂䝁䅕睤畁䡁䅧䅢穂䝁䄰兘䱂䝁䅕入時䙁䅍䅤桂䡁䅑督湁䍁䅅䅊䍂䍁䅑李祁䅁䅁杌䅣䡁䅷䅁湁䙁䅳睕兂䕁䅣睘䑂䝁䄸兢睂䝁䅅杢㕂䙁䄸睓求䡁䅫睕あ䝁䅅䅤穂䙁䄸杤硁䍁䅁䅋祁䍁䅫杌㑂䝁䅷督瑂䙁䄰睑桂䡁䅁兡あ䝁䅅䅢灂䡁䅯兙あ䝁䅫睢畂䍁䅣光歁䕁䅍䅊㕁䑁䅯䅊䑂䍁䅑杍ㅁ䅁䅁杍䅙䙁䄴䅁扂䕁䅳党㕂䙁䅍䅤桂䡁䅑督時䡁䅑党穂䡁䅑杚灂䝁䅷党畁䡁䅧䅢穂䝁䄰兘呂䡁䅕䅣睂䝁䅷党瑂䝁䅕杢あ䝁䅅䅢桁䍁䅑杒歁䑁䅑杏歁䕁䅳䅊ぁ䅁䅁睘䅍䑁䅁䅁䩂䙁䅅睘䑂䕁䅅䅕䙂䙁䅧睘硁䙁䅫杕時䕁䅅杔佂䙁䄸睒卂䕁䄸睖啂䕁䅧䅁穁杁䅁䅡䅁䙁䅳睕兂䕁䅣睘䑂䝁䄸兢睂䝁䅅杢㕂䙁䄸睓求䡁䅫睕あ䝁䅅䅤穂䙁䄸杤硁䍁䄴䅥獂䡁䅍兢摂䕁䅳党㕂䙁䄸睕あ䝁䅅䅤穂䍁䅅䅊坂䍁䅑兎㍁䑁䅯䅊塂䍁䅑兎㍁䅁䅁朴䅕䡁䄴䅁湁䙁䅳睕兂䕁䅣睘䑂䝁䄸兢睂䝁䅅杢㕂䙁䄸睓求䡁䅫睕あ䝁䅅䅤穂䙁䄸杤硁䍁䅁䅋祁䍁䅫杌㑂䝁䅷督瑂䙁䄰睑桂䡁䅁兡あ䝁䅅䅢灂䡁䅯兙あ䝁䅫睢畂䍁䅣光歁䕁䅕䅊ぁ䑁䅣杏歁䕁䅯䅊ぁ䑁䅣䅁㕁杂䅁杦䅁䍁䅣睗呂䙁䅁睒時䕁䅍睢瑂䡁䅁兙畂䡁䅫睘䱂䝁䅕入呂䡁䅑兙あ䡁䅍睘㉂䑁䅅䅉潁䑁䅉克畁䡁䅧䅢穂䝁䄰兘䑂䝁䅅䅣灂䡁䅑兙獂䝁䅫来桂䡁䅑兡療䝁䄴睊桁䍁䅑兒歁䑁䅑䅏㙁䍁䅑杓歁䑁䅑䅏䅁䑁䝳䅁啂䅁䅁睗乂䕁䅫睘䱂䝁䅕入呂䡁䅑兙あ䡁䅍睘㉂䑁䅅杌㑂䝁䅷督瑂䙁䄰睑桂䡁䅁兡あ䝁䅅䅢灂䡁䅯兙あ䝁䅫睢畂䍁䅅䅊䑂䍁䅑兎睁䅁䅁睯䅍䙁䅙䅁扂䕁䅳党㕂䙁䅍䅤桂䡁䅑督時䡁䅑党穂䡁䅑杚灂䝁䅷党畁䡁䅧䅢穂䝁䄰兘呂䝁䅧党求䡁䅑免桁䍁䅑睑歁䑁䅉兎㙁䍁䅑睑歁䑁䅑兏䅁䡁䄰䅁㙂䅁䅁睊扂䙁䅍䅕䡂䙁䄸睑療䝁䄰䅣桂䝁䄴入時䕁䅳党㕂䙁䅍䅤桂䡁䅑督時䡁䅙免杁䍁䅧杍灁䍁䄴䅥獂䡁䅍兢摂䕁䅍兙睂䝁䅫䅤桂䝁䅷兡㙂䝁䅅䅤灂䝁䄸杢湁䍁䅅䅊䙂䍁䅑䅎㙁䍁䅑杓歁䑁䅑䅁硁杂䅁杔䅁䕁䅍兙穂䝁䅧䅉䝂䡁䅉睢瑂䍁䅁睔睂䝁䅕杣桂䡁䅑兡療䝁䄴督獁䍁䅁免杁䙁䅫杣畁䍁䅁睒祂䝁䄸睤あ䝁䅧䅉潁䍁䅕克䅁䑁䍉䅁⭂䅁䅁睊扂䙁䅍䅕䡂䙁䄸睑療䝁䄰䅣桂䝁䄴入時䕁䅳党㕂䙁䅍䅤桂䡁䅑督時䡁䅙免杁䍁䅧杍灁䍁䄴䅥獂䡁䅍兢摂䕁䅍兙睂䝁䅫䅤桂䝁䅷兡㙂䝁䅅䅤灂䝁䄸杢湁䍁䅅䅊䙂䍁䅑兎祁䑁䅯䅊䭂䍁䅑兎祁䅁䅁睎䅙䥁䅧䅁湁䙁䅳睕兂䕁䅣睘䑂䝁䄸兢睂䝁䅅杢㕂䙁䄸睓求䡁䅫睕あ䝁䅅䅤穂䙁䄸杤祁䍁䅁免畁䡁䅧䅢穂䝁䄰兘䑂䝁䅅䅣灂䡁䅑兙獂䙁䄸睕あ䡁䅉兤橂䡁䅑兤祂䝁䅕睘杁䕁䅑党あ䝁䅅兡獂䡁䅍䅉湁䍁䅅䅊䍂䍁䅑免祁䅁䅁睁䅣䍁䅉䅁䑂䝁䄸杢㉂䝁䅕杣あ䝁䅫杙獂䝁䅕䅉啂䝁䅕䅥あ䅁䅁杯䅙䍁䅁䅁䙂䕁䅉兓啂䍁䅁兔桂䡁䅉睚灂䝁䄴䅉潁䍁䅕克䅁䅁䍧䅁潂䅁䅁睗呂䙁䅁睒時䕁䅍睢瑂䡁䅁兙畂䡁䅫睘䱂䝁䅕入呂䡁䅑兙あ䡁䅍睘㉂䑁䅅杌㑂䝁䅷督瑂䙁䄰睓求䡁䅫睘呂䡁䅑兙あ䡁䅍光歁䕁䅍䅊㉁䑁䅕杏歁䕁䅍䅊㍁䑁䅅䅁敄兂䅁䅤䅁䍁䅣睗呂䙁䅁睒時䕁䅍睢瑂䡁䅁兙畂䡁䅫睘䱂䝁䅕入呂䡁䅑兙あ䡁䅍睘㉂䑁䅅䅉潁䑁䅉克畁䡁䅧䅢穂䝁䄰兘䑂䝁䅅督潂䙁䄸杒獂䝁䄸睤湁䍁䅅䅊䑂䍁䅑免硁䑁䅯䅊䑂䍁䅑兏祁䅁䅁杌䅙䕁䅑䅁䕂䝁䅕杚求䡁䅉杣求䝁䅑䅉䝂䝁䄸杣求䝁䅫睚畂䍁䅁䅖桂䡁䅧党穂䍁䅁䅋卂䝁䅕䅣療䡁䅉䅤求䝁䅑克䅁䩁䑁䅁浂䅁䅁睊扂䙁䅍䅕䡂䙁䄸睑療䝁䄰䅣桂䝁䄴入時䕁䅳党㕂䙁䅍䅤桂䡁䅑督時䡁䅙免杁䍁䅧杍灁䍁䄴䅥獂䡁䅍兢摂䕁䅍兙穂䝁䅧睘䝂䝁䅷睢㍂䍁䅣光歁䕁䅍䅊㉁䅁䅁䅌䅙䑁䅷䅁䉂䡁䅙党祂䝁䅅睚求䍁䅁兓畂䡁䅑党祂䝁䅕督あ䍁䅁杕桂䡁䅑党杁䍁䅳䅉ぁ䍁䅁䅋汁䍁䅫䅁浄允䅁杓䅁䕁䅍兙穂䝁䅧䅉流䍁䅁睕潂䝁䄸杣あ䍁䅁䅖求䡁䅉兢杁䕁䅫杢㉂䝁䅕督あ䝁䄰党畂䡁䅑督杁䍁䅧䅊睁䑁䅁䅍灁䅁䅁䅢䅁䉁䅙䅁䩂䙁䅅睘呂䙁䅉睘䕂䕁䅕村啂䅁䅁䅇䅅䑁䅁䅁䩂䙁䅅睘䑂䕁䅅䅕䙂䙁䅧睘祁䙁䅫杕時䕁䅅杔佂䙁䄸睒卂䕁䄸睖啂䕁䅧䅁⽁杁䅁杍䅁䕁䅫兕時䕁䅕村䩂䙁䅑䅒䉂䙁䄸杍婂䙁䅉睘䉂䕁䄴杔時䕁䅣杕偂䙁䅣䅖䥂䅁䅁睒䅉䡁䅁䅁湁䙁䅳睕兂䕁䅣睘䑂䝁䄸兢睂䝁䅅杢㕂䙁䄸睓求䡁䅫睕あ䝁䅅䅤穂䙁䄸杤硁䍁䅁䅋祁䍁䅫杌㑂䝁䅷督瑂䙁䄰睑桂䡁䅍䅡時䕁䅙䅢療䡁䅣睊桁䍁䅑兒歁䑁䅣杏歁䙁䅁䅊㍁䅁䅁睌䅙䥁䅑䅁湁䙁䅳睕兂䕁䅣睘䑂䝁䄸兢睂䝁䅅杢㕂䙁䄸睓求䡁䅫睕あ䝁䅅䅤穂䙁䄸杤硁䍁䅁䅋祁䍁䅫杌㑂䝁䅷督瑂䙁䄰兓畂䝁䅍睢瑂䝁䅕睘呂䡁䅑兙あ䝁䅕兢求䝁䄴䅤湁䍁䅅䅊䑂䍁䅑免硁䑁䅯䅊䑂䍁䅑免㑁䑁䅁䅁流杂䅁䅐䅁䙁䅑睢あ䝁䅅䅢杁䙁䅁杣求䝁䅙党祂䡁䅉党歂䍁䅁兒硂䡁䅕兡あ䡁䅫䅉潁䍁䅑䅍睁䑁䅁克䅁䝁䄴䅁⭂䅁䅁睊扂䙁䅍䅕䡂䙁䄸睑療䝁䄰䅣桂䝁䄴入時䕁䅳党㕂䙁䅍䅤桂䡁䅑督時䡁䅙免杁䍁䅧杍灁䍁䄴䅥獂䡁䅍兢摂䕁䅫杢橂䝁䄸兢求䙁䄸睕あ䝁䅅䅤求䝁䄰党畂䡁䅑睊桁䍁䅑兒歁䑁䅙杏歁䙁䅁䅊㉁䅁䅁兊䅙䝁䅯䅁湁䙁䅳睕兂䕁䅣睘䑂䝁䄸兢睂䝁䅅杢㕂䙁䄸睓求䡁䅫睕あ䝁䅅䅤穂䙁䄸杤硁䍁䅁䅋祁䍁䅫杌㑂䝁䅷督瑂䙁䄰睓求䡁䅫睘呂䡁䅑兙あ䡁䅍睊桁䍁䅑村歁䑁䅅䅍㉁䅁䅁䅇䅙䑁䅑䅁噂䝁䄴督求䝁䅍兤祂䝁䅕䅚杁䕁䅑党楂䡁䅑䅉潁䙁䅉党睂䝁䄸杣あ䝁䅕䅚灁䅁䅁睎䅅䡁䅑䅁湁䙁䅳睕兂䕁䅣睘䑂䝁䄸兢睂䝁䅅杢㕂䙁䄸睓求䡁䅫睕あ䝁䅅䅤穂䙁䄸杤硁䍁䅁䅋祁䍁䅫杌㑂䝁䅷督瑂䙁䄰睓求䡁䅫睘呂䡁䅑兙あ䡁䅍睊桁䍁䅑兒歁䑁䅉兎㙁䍁䅑杓歁䑁䅉兎䅁䉁䝅䅁敂䅁䅁睗呂䙁䅁睒時䕁䅍睢瑂䡁䅁兙畂䡁䅫睘䱂䝁䅕入呂䡁䅑兙あ䡁䅍睘㉂䑁䅉杌㑂䝁䅷督瑂䙁䄰睓求䡁䅫睘呂䡁䅑兙あ䡁䅍光歁䕁䅉䅊硁䑁䅁李䅁偁䡉䅁潂䅁䅁睊扂䙁䅍䅕䡂䙁䄸睑療䝁䄰䅣桂䝁䄴入時䕁䅳党㕂䙁䅍䅤桂䡁䅑督時䡁䅙免杁䍁䅧杍灁䍁䄴䅥獂䡁䅍兢摂䕁䅳党㕂䙁䄸睕あ䝁䅅䅤穂䍁䅣光歁䕁䅉䅊祁䑁䅕䅁允杂䅁䅡䅁䍁䅣睗呂䙁䅁睒時䕁䅍睢瑂䡁䅁兙畂䡁䅫睘䱂䝁䅕入呂䡁䅑兙あ䡁䅍睘㉂䑁䅅䅉潁䑁䅉克畁䡁䅧䅢穂䝁䄰兘䱂䝁䅕入時䙁䅍䅤桂䡁䅑督湁䍁䅅䅊䍂䍁䅑杍㉁䅁䅁䅆䅙䝁䅧䅁湁䙁䅳睕兂䕁䅣睘䑂䝁䄸兢睂䝁䅅杢㕂䙁䄸睓求䡁䅫睕あ䝁䅅䅤穂䙁䄸杤硁䍁䅁䅋祁䍁䅫杌㑂䝁䅷督瑂䙁䄰睓求䡁䅫睘呂䡁䅑兙あ䡁䅍睊桁䍁䅑村歁䑁䅙杍䅁䉁䝷䅁㑂䅁䅁睊扂䙁䅍䅕䡂䙁䄸睑療䝁䄰䅣桂䝁䄴入時䕁䅳党㕂䙁䅍䅤桂䡁䅑督時䡁䅙免杁䍁䅧杍灁䍁䄴䅥獂䡁䅍兢摂䕁䅳党㕂䙁䄸睕あ䝁䅅䅤穂䍁䅣光歁䕁䅍䅊硁䑁䅁兏㙁䍁䅑睑歁䑁䅅免ㅁ䅁䅁杇䅙䝁䅯䅁扂䕁䄰兓時䕁䅍睢瑂䡁䅁兙畂䡁䅫睘䱂䝁䅕入呂䡁䅑兙あ䡁䅍睘㉂䑁䅅杌㑂䝁䅷督瑂䙁䄰兓畂䝁䅍睢瑂䝁䅕睘呂䡁䅑兙あ䝁䅕兢求䝁䄴䅤桁䍁䅑睑歁䑁䅅睎㕁䅁䅁睯䅑䥁䅉䅁湁䙁䅳睕兂䕁䅣睘䑂䝁䄸兢睂䝁䅅杢㕂䙁䄸睓求䡁䅫睕あ䝁䅅䅤穂䙁䄸杤祁䍁䅁免畁䡁䅧䅢穂䝁䄰兘䑂䝁䅅䅣灂䡁䅑兙獂䙁䄸睕あ䡁䅉兤橂䡁䅑兤祂䝁䅕睘呂䡁䅕兢瑂䝁䅅杣㕂䍁䅣光歁䕁䅍䅊㍁䅁䅁眸䅙䡁䅑䅁湁䙁䅳睕兂䕁䅣睘䑂䝁䄸兢睂䝁䅅杢㕂䙁䄸睓求䡁䅫睕あ䝁䅅䅤穂䙁䄸杤硁䍁䅁䅋祁䍁䅫杌㑂䝁䅷督瑂䙁䄰睓求䡁䅫睘呂䡁䅑兙あ䡁䅍睊桁䍁䅑睑歁䑁䅙兎㙁䍁䅑睑歁䑁䅣免䅁䉁䜴䅁䥃䅁䅁睊扂䙁䅍䅕䡂䙁䄸睑療䝁䄰䅣桂䝁䄴入時䕁䅳党㕂䙁䅍䅤桂䡁䅑督時䡁䅙杍杁䑁䅅杌㑂䝁䅷督瑂䙁䄰睑桂䡁䅁兡あ䝁䅅䅢時䙁䅍䅤祂䡁䅕睙あ䡁䅕杣求䙁䄸䅉䕂䝁䅕䅤桂䝁䅫䅢穂䍁䅁睊桁䍁䅑兓歁䑁䅅杍䅁䅁䠸䅁獂䅁䅁睗乂䕁䅫睘䑂䝁䄸兢睂䝁䅅杢㕂䙁䄸睓求䡁䅫睕あ䝁䅅䅤穂䙁䄸杤硁䙁䄸杌㑂䝁䅷督瑂䙁䄰兓畂䝁䅍睢瑂䝁䅕睘呂䡁䅑兙あ䝁䅕兢求䝁䄴䅤桁䍁䅑睑歁䑁䅅睎㉁䅁䅁儱䅑䡁䅑䅁湁䙁䅳睕兂䕁䅣睘䑂䝁䄸兢睂䝁䅅杢㕂䙁䄸睓求䡁䅫睕あ䝁䅅䅤穂䙁䄸杤硁䍁䅁䅋祁䍁䅫杌㑂䝁䅷督瑂䙁䄰睓求䡁䅫睘呂䡁䅑兙あ䡁䅍睊桁䍁䅑䅒歁䑁䅉䅏㙁䍁䅑䅒歁䑁䅕杍䅁䉁䝙䅁卂䅁䅁䅖療䡁䅑兙獂䍁䅁䅔灂䝁䅅杙灂䝁䅷兡あ䝁䅫党穂䍁䅁兌杁䙁䅕杌呂䍁䄴䅉䡂䕁䅅兑兂䍁䅁䅋卂䝁䅕䅣療䡁䅉䅤求䝁䅑克䅁䵁䍕䅁あ䅁䅁睊扂䙁䅍䅕䡂䙁䄸睑療䝁䄰䅣桂䝁䄴入時䕁䅳党㕂䙁䅍䅤桂䡁䅑督時䡁䅙免杁䍁䅧杍灁䍁䄴䅥獂䡁䅍兢摂䕁䅳党㕂䙁䄸睕あ䝁䅅䅤穂䍁䅣光歁䕁䅕䅊祁䑁䅙杏歁䕁䅯䅊祁䑁䅙䅁呁杂䅁䅂䅁䑁䅅䅁䉃杂䅁䅡䅁䍁䅣睗呂䙁䅁睒時䕁䅍睢瑂䡁䅁兙畂䡁䅫睘䱂䝁䅕入呂䡁䅑兙あ䡁䅍睘㉂䑁䅅䅉潁䑁䅉克畁䡁䅧䅢穂䝁䄰兘䱂䝁䅕入時䙁䅍䅤桂䡁䅑督湁䍁䅅䅊䙂䍁䅑李祁䅁䅁先䅙䵁䅙䅁偂䡁䅁䅤灂䝁䄸杢穂䑁䅯䅉䑂䡁䅕杣祂䑁䄰兖呂䕁䅑䅌杁䕁䄰兙湂䑁䄰兔灂䝁䅷䅢灂䝁䄸杢穂䍁䅷睑療䝁䄴杤乂䝁䅕䅤潂䝁䄸䅚㥁䕁䄰杕呂䡁䅁睢あ䍁䅷䅉佂䕁䅅児佂䕁䅅䅌杁䙁䅑党祂䝁䄰児求䝁䄴兌噂䙁䅍䅌䝂䝁䅫䅢灂䝁䄴睚坂䝁䅕杣㥁䕁䄸杣灂䝁䅣兡畂䝁䅅䅢獂䡁䅫䅉卂䝁䅕䅣療䡁䅉䅤求䝁䅑䅁浃睂䅁䅤䅁䍁䅣睗呂䙁䅁睒時䕁䅍睢瑂䡁䅁兙畂䡁䅫睘䱂䝁䅕入呂䡁䅑兙あ䡁䅍睘㉂䑁䅅䅉潁䑁䅉克畁䡁䅧䅢穂䝁䄰兘䱂䝁䅕入時䙁䅍䅤桂䡁䅑督湁䍁䅅䅊乂䍁䅑杍ㅁ䑁䅯䅊偂䍁䅑杍ㅁ䅁䅁兆䅙䝁䅑䅁扂䕁䅳党㕂䙁䅍䅤桂䡁䅑督時䡁䅑党穂䡁䅑杚灂䝁䅷党畁䡁䅧䅢穂䝁䄰兘䑂䝁䅅䅣灂䡁䅑兙獂䝁䅫来桂䡁䅑兡療䝁䄴光歁䕁䅑䅊㕁䑁䅯䅊䕂䍁䅑杍㑁䅁䅁兺䅁䑁䅑䅁䩂䙁䅅睘佂䕁䅫睘佂䕁䄸杕乂䙁䄸杍婂䙁䅉睘䉂䕁䄴杔時䕁䅣杕偂䙁䅣䅖䥂䅁䅁兑䅉䝁䅧䅁湁䙁䅳睕兂䕁䅣睘䑂䝁䄸兢睂䝁䅅杢㕂䙁䄸睓求䡁䅫睕あ䝁䅅䅤穂䙁䄸杤硁䍁䅁䅋祁䍁䅫杌㑂䝁䅷督瑂䙁䄰睓求䡁䅫睘呂䡁䅑兙あ䡁䅍睊桁䍁䅑睕歁䑁䅕兎䅁䍁䝁䅁あ䅁䅁睊扂䙁䅍䅕䡂䙁䄸睑療䝁䄰䅣桂䝁䄴入時䕁䅳党㕂䙁䅍䅤桂䡁䅑督時䡁䅙免杁䍁䅧杍灁䍁䄴䅥獂䡁䅍兢摂䕁䅳党㕂䙁䄸睕あ䝁䅅䅤穂䍁䅣光歁䙁䅍䅊ㅁ䑁䅧杏歁䙁䅍䅊㉁䑁䅅䅁桁杂䅁䅙䅁䙁䅳睓求䡁䅫睕あ䝁䅅䅤穂䙁䄸䅤求䡁䅍䅤浂䝁䅫䅢求䍁䄴䅥獂䡁䅍兢摂䕁䅳党㕂䙁䄸睕あ䝁䅅䅤穂䍁䅅䅊䑂䍁䅑免睁䑁䅁杏歁䕁䅍䅊硁䑁䅁兎䅁䩁䅉䅁あ䅁䅁睊扂䙁䅍䅕䡂䙁䄸睑療䝁䄰䅣桂䝁䄴入時䕁䅳党㕂䙁䅍䅤桂䡁䅑督時䡁䅙免杁䍁䅧杍灁䍁䄴䅥獂䡁䅍兢摂䕁䅳党㕂䙁䄸睕あ䝁䅅䅤穂䍁䅣光歁䙁䅙䅊ㅁ䑁䅣杏歁䙁䅣䅊ㅁ䑁䅣䅁楁杂䅁䅥䅁䙁䅳睕兂䕁䅣睘䑂䝁䄸兢睂䝁䅅杢㕂䙁䄸睓求䡁䅫睕あ䝁䅅䅤穂䙁䄸杤祁䍁䄴䅥獂䡁䅍兢摂䕁䅫杢橂䝁䄸兢求䙁䄸睕あ䝁䅅䅤求䝁䄰党畂䡁䅑光歁䕁䅍䅊硁䑁䅅杏歁䕁䅍䅊硁䑁䅫免䅁佁䡑䅁䵂䅁䅁兒㑂䡁䅁䅢療䡁䅉兙あ䝁䅫睢畂䍁䄸䅒祂䝁䅫䅢獂䝁䅫杢湂䍁䅁睑療䡁䅍䅤穂䍁䅁䅋卂䝁䅕䅣療䡁䅉䅤求䝁䅑克䅁䭁䅫䅁㡂䅁䅁睊扂䙁䅍䅕䡂䙁䄸睑療䝁䄰䅣桂䝁䄴入時䕁䅳党㕂䙁䅍䅤桂䡁䅑督時䡁䅙免杁䍁䅧杍灁䍁䄴䅥獂䡁䅍兢摂䙁䅁党畂䡁䅍兡療䝁䄴兌偂䙁䅁兒䍂䍁䅣光歁䕁䅍䅊硁䑁䅅杏歁䕁䅍䅊ㅁ䑁䅣䅍䅁䕁䜴䅁佂䅁䅁䅔求䡁䅙党祂䝁䅕䅚杁䕁䅙杣求䝁䅕䅉䑂䝁䅅督潂䍁䅁杒獂䝁䄸睤獁䍁䅁睍杁䙁䅫杣畁䍁䅁睑䉂䕁䅣杕杁䍁䅧兊灁䅁䅁䅨䅉䡁䅙䅁湁䙁䅳睕兂䕁䅣睘䑂䝁䄸兢睂䝁䅅杢㕂䙁䄸睓求䡁䅫睕あ䝁䅅䅤穂䙁䄸杤硁䍁䅁䅋祁䍁䅫杌㑂䝁䅷督瑂䙁䄰䅕求䝁䄴督灂䝁䄸杢瑁䕁䄸䅕䙂䕁䅉睊桁䍁䅑䅒歁䑁䅣杏歁䕁䅫䅊㍁䅁䅁睔䅙䡁䅁䅁湁䙁䅳睕兂䕁䅣睘䑂䝁䄸兢睂䝁䅅杢㕂䙁䄸睓求䡁䅫睕あ䝁䅅䅤穂䙁䄸杤硁䍁䅁䅋祁䍁䅫杌㑂䝁䅷督瑂䙁䄰杕桂䡁䅑兡療䡁䅍睊桁䍁䅑睑歁䑁䅅免㙁䍁䅑睑歁䑁䅅兎祁䅁䅁杒䅙䝁䅑䅁湁䙁䅳睕兂䕁䅣睘䑂䝁䄸兢睂䝁䅅杢㕂䙁䄸睓求䡁䅫睕あ䝁䅅䅤穂䙁䄸杤祁䍁䅁免畁䡁䅧䅢穂䝁䄰兘䱂䝁䅕入時䙁䅍䅤桂䡁䅑督湁䍁䅅䅊䍂䍁䅑李祁䅁䅁睺䅙䉁䅙䅁䩂䙁䅅睘䑂䕁䄸杔坂䕁䅕杕啂䅁䅁䅈䅅䝁䅷䅁湁䙁䅳睕兂䕁䅣睘䑂䝁䄸兢睂䝁䅅杢㕂䙁䄸睓求䡁䅫睕あ䝁䅅䅤穂䙁䄸杤硁䍁䅁䅋祁䍁䅫杌㑂䝁䅷督瑂䙁䄰睕ㅂ䡁䅁䅣獂䝁䅕兢求䝁䄴䅤桂䝁䅷睊桁䍁䅑睑歁䑁䅙䅁䥂杂䅁杇䅁䑁䅷材睁䑁䅫睌祁䑁䅅睌祁䑁䅁杍睁䅁䅁䅰䅕䥁䅧䅁湁䙁䅳睕兂䕁䅣睘䑂䝁䄸兢睂䝁䅅杢㕂䙁䄸睓求䡁䅫睕あ䝁䅅䅤穂䙁䄸杤祁䍁䅁免畁䡁䅧䅢穂䝁䄰兘䑂䝁䅅䅣灂䡁䅑兙獂䙁䄸睕あ䡁䅉兤橂䡁䅑兤祂䝁䅕睘杁䕁䅑党あ䝁䅅兡獂䡁䅍䅉湁䍁䅅䅊䭂䍁䅑免祁䅁䅁䅅䅣䑁䅷䅁偂䡁䅁䅤灂䝁䄸杢穂䑁䅯睕あ䝁䅅䅤灂䡁䅍䅤灂䝁䅍児呂䙁䅑䅒䙂䙁䅙䅌佂䕁䅅児佂䕁䅅䅁剄睂䅁䅡䅁䙁䅳睕兂䕁䅣睘䑂䝁䄸兢睂䝁䅅杢㕂䙁䄸睓求䡁䅫睕あ䝁䅅䅤穂䙁䄸杤硁䍁䄴䅥獂䡁䅍兢摂䕁䅳党㕂䙁䄸睕あ䝁䅅䅤穂䍁䅅䅊䑂䍁䅑杍㑁䑁䅯䅊䑂䍁䅑兎祁䅁䅁朰䅕䥁䅧䅁湁䙁䅳睕兂䕁䅣睘䑂䝁䄸兢睂䝁䅅杢㕂䙁䄸睓求䡁䅫睕あ䝁䅅䅤穂䙁䄸杤祁䍁䅁免畁䡁䅧䅢穂䝁䄰兘䑂䝁䅅䅣灂䡁䅑兙獂䙁䄸睕あ䡁䅉兤橂䡁䅑兤祂䝁䅕睘杁䕁䅑党あ䝁䅅兡獂䡁䅍䅉湁䍁䅅䅊䱂䍁䅑䅎ぁ䅁䅁先䅣䡁䅙䅁湁䙁䅳睕兂䕁䅣睘䑂䝁䄸兢睂䝁䅅杢㕂䙁䄸睓求䡁䅫睕あ䝁䅅䅤穂䙁䄸杤硁䍁䅁䅋祁䍁䅫杌㑂䝁䅷督瑂䙁䄰睕ㅂ䡁䅁䅣獂䝁䅕兢求䝁䄴䅤桂䝁䅷睊桁䍁䅑䅒歁䑁䅙杏歁䕁䅫䅊㉁䅁䅁兓䅙䥁䅧䅁湁䙁䅳睕兂䕁䅣睘䑂䝁䄸兢睂䝁䅅杢㕂䙁䄸睓求䡁䅫睕あ䝁䅅䅤穂䙁䄸杤祁䍁䅁免畁䡁䅧䅢穂䝁䄰兘䑂䝁䅅䅣灂䡁䅑兙獂䙁䄸睕あ䡁䅉兤橂䡁䅑兤祂䝁䅕睘杁䕁䅑党あ䝁䅅兡獂䡁䅍䅉湁䍁䅅䅊䥂䍁䅑免祁䅁䅁䅄䅣䍁䅁䅁䩂䙁䅅睘䕂䕁䅍睕時䙁䅍兒䑂䙁䅕杕䩂䙁䅑兗䅁䥁䝫䅁允䅁䅁杍睁䑁䅉李䝂䙁䅅睍䅁䱁䥧䅁睂䅁䅁睊扂䙁䅍䅕䡂䙁䄸睑療䝁䄰䅣桂䝁䄴入時䕁䅳党㕂䙁䅍䅤桂䡁䅑督時䡁䅙杍杁䑁䅅杌㑂䝁䅷督瑂䙁䄰睓求䡁䅫睘呂䡁䅑兙あ䡁䅍睊桁䍁䅑睑歁䑁䅙兎㙁䍁䅑睑歁䑁䅣免䅁乁䝅䅁㉂䅁䅁睊扂䙁䅍䅕䡂䙁䄸睑療䝁䄰䅣桂䝁䄴入時䕁䅳党㕂䙁䅍䅤桂䡁䅑督時䡁䅙免杁䍁䅧杍灁䍁䄴䅥獂䡁䅍兢摂䙁䅍兤睂䡁䅁䅢求䝁䄰党畂䡁䅑兙獂䍁䅣光歁䕁䅑䅊㍁䑁䅯䅊䩂䍁䅑睎䅁䕁䝳䅁慁䅁䅁兓剂䙁䄸䅕䙂䙁䅉兓偂䕁䅑兑啂䕁䅕䅁㡂杂䅁杅䅁䙁䅍党橂䡁䅕杣求䝁䅑睐䅁䩁䜸䅁畂䅁䅁睊扂䙁䅍䅕䡂䙁䄸睑療䝁䄰䅣桂䝁䄴入時䕁䅳党㕂䙁䅍䅤桂䡁䅑督時䡁䅙免畁䡁䅧䅢穂䝁䄰兘兂䝁䅕杢穂䝁䅫睢畂䍁䄰睔兂䕁䅕村湁䍁䅅䅊䕂䍁䅑李㙁䍁䅑兓歁䑁䅙䅁乁杂䅁杓䅁䕁䅍兙睂䍁䄴䅉䵂䝁䅕兙穂䝁䅕䅉兂䝁䅅入瑂䝁䅕杢あ䍁䅁䅒ㅂ䝁䅕䅉牁䑁䅕䅉潁䙁䅉党睂䝁䄸杣あ䝁䅕䅚灁䅁䅁䅳䅅䝁䄴䅁湁䙁䅳睕兂䕁䅣睘䑂䝁䄸兢睂䝁䅅杢㕂䙁䄸睓求䡁䅫睕あ䝁䅅䅤穂䙁䄸杤硁䍁䄴䅥獂䡁䅍兢摂䙁䅁党畂䡁䅍兡療䝁䄴兌偂䙁䅁兒䍂䍁䅣光歁䕁䅑䅊㍁䑁䅯䅊䩂䍁䅑睎䅁䅁䜸䅁浂䅁䅁睗乂䕁䅫睘䑂䝁䄸兢睂䝁䅅杢㕂䙁䄸睓求䡁䅫睕あ䝁䅅䅤穂䙁䄸杤硁䍁䄴䅥獂䡁䅍兢摂䕁䅳党㕂䙁䄸睕あ䝁䅅䅤穂䍁䅅䅊䙂䍁䅑杍穁䑁䅯䅊䵂䍁䅑杍穁䅁䅁睤䅑䕁䅷䅁偂䡁䅁䅤灂䝁䄸杢穂䑁䅯䅉䑂䡁䅕杣祂䑁䄰兖呂䕁䅑䅌䑂䝁䄸杢㉂䕁䄰党あ䝁䅧睢歂䑁䄰睕獁䍁䅁杔䉂䑁䄰杔䉂䅁䅁朱䅣䉁䅧䅁䩂䙁䅅睘呂䙁䅕村時䕁䅑兒䍂䙁䅑䅁坁允䅁杏䅁䕁䅫兕時䕁䅕兑卂䕁䄴兓佂䕁䅣睘䑂䕁䄸睘穁䙁䅫杕時䕁䅅杔佂䙁䄸睒卂䕁䄸睖啂䕁䅧䅁牂杁䅁䅥䅁䙁䅳睓求䡁䅫睕あ䝁䅅䅤穂䙁䄸䅤求䡁䅍䅤浂䝁䅫䅢求䍁䄴䅥獂䡁䅍兢摂䕁䅍兙睂䝁䅫䅤桂䝁䅷睘呂䡁䅑杣ㅂ䝁䅍䅤ㅂ䡁䅉党時䙁䅍兤瑂䝁䄰兙祂䡁䅫光歁䕁䅣䅊㕁䑁䅯䅊偂䍁䅑兏䅁䡁䉫䅁㙂䅁䅁睊扂䙁䅍䅕䡂䙁䄸睑療䝁䄰䅣桂䝁䄴入時䕁䅳党㕂䙁䅍䅤桂䡁䅑督時䡁䅙杍杁䑁䅅杌㑂䝁䅷督瑂䙁䄰村桂䝁䅷兙畂䝁䅍党時䙁䅍䅡求䝁䅕䅤湁䍁䅅䅊䑂䍁䅑免硁䑁䅯䅊䑂䍁䅑杍睁䑁䅅䅁摄杂䅁䅥䅁䙁䅳睓求䡁䅫睕あ䝁䅅䅤穂䙁䄸䅤求䡁䅍䅤浂䝁䅫䅢求䍁䄴䅥獂䡁䅍兢摂䕁䅍兙睂䝁䅫䅤桂䝁䅷睘呂䡁䅑杣ㅂ䝁䅍䅤ㅂ䡁䅉党時䙁䅍兤瑂䝁䄰兙祂䡁䅫光歁䕁䅙䅊ぁ䑁䅯䅊佂䍁䅑䅎䅁佁䅷䅁䵃䅁䅁睊扂䙁䅍䅕䡂䙁䄸睑療䝁䄰䅣桂䝁䄴入時䕁䅳党㕂䙁䅍䅤桂䡁䅑督時䡁䅙杍杁䑁䅅杌㑂䝁䅷督瑂䙁䄰睑桂䡁䅁兡あ䝁䅅䅢時䙁䅍䅤祂䡁䅕睙あ䡁䅕杣求䙁䄸睕ㅂ䝁䄰兢桂䡁䅉入湁䍁䅅䅊䙂䍁䅑睎㙁䍁䅑睔歁䑁䅣䅁祄杂䅁来䅁䕁䅍䅡桂䝁䄴睚求䡁䅍䅉灂䝁䄴䅉噂䝁䄴杣求䝁䅍睢湂䍁䄴䅉啂䝁䅅䅥杁䕁䅉党畂䝁䅕杚灂䡁䅑䅉㍂䍁䄸兡畂䍁䅁免杁䙁䅫党桂䡁䅉䅉瑁䍁䅁兔桂䡁䅧䅉潁䙁䅉党睂䝁䄸杣あ䝁䅕䅚灁䅁䅁儸䅉䍁䅷䅁䩂䙁䅅睘啂䕁䅅䅗時䕁䅉兒佂䕁䅕杒䩂䙁䅑睘䑂䕁䅙睘穁䙁䅫杕䅁偁䍧䅁⭁䅁䅁兓剂䙁䄸䅖偂䙁䅑兑䵂䙁䄸兑呂䙁䅍兒啂䙁䅍睘祁䙁䅫杕時䕁䅅杔佂䙁䄸睒卂䕁䄸睖啂䕁䅧䅁噂杁䅁杗䅁䕁䄸䅣あ䝁䅫睢畂䡁䅍杏杁䕁䅙兡獂䝁䅫杢湂䙁䅙党祂䑁䄰睔祂䝁䅫睚灂䝁䄴兙獂䝁䅷入杁䙁䅉党睂䝁䄸杣あ䝁䅕䅚獁䕁䄴兑㥁䕁䄴兑䅁䱁䡷䅁煂䅁䅁睊扂䙁䅍䅕䡂䙁䄸睑療䝁䄰䅣桂䝁䄴入時䕁䅳党㕂䙁䅍䅤桂䡁䅑督時䡁䅙杍杁䑁䅅杌㑂䝁䅷督瑂䙁䄰村桂䝁䅷兙畂䝁䅍党時䙁䅍䅡求䝁䅕䅤湁䍁䅅䅊䑂䍁䅑李䅁乁䝳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䩂䍁䅑免祁䅁䅁杣䅣䕁䅁䅁䑂䝁䄸兢瑂䝁䄸杢杁䕁䅕兣ㅂ䝁䅫䅤㕂䍁䅷䅉硁䍁䅁兗祂䍁䄴䅉䡂䡁䅉睢㍂䡁䅑䅡杁䍁䅧兊灁䅁䅁䅍䅉䑁䅉䅁䭂䡁䅉杌杁䙁䅍兤楂䍁䄴䅉䕂䝁䅕杙あ䍁䅁䅋卂䝁䅕䅣療䡁䅉䅤求䝁䅑克䅁䉁䉍䅁あ䅁䅁睊扂䙁䅍䅕䡂䙁䄸睑療䝁䄰䅣桂䝁䄴入時䕁䅳党㕂䙁䅍䅤桂䡁䅑督時䡁䅙杍杁䑁䅅杌㑂䝁䅷督瑂䙁䄰村桂䝁䅷兙畂䝁䅍党時䙁䅍䅡求䝁䅕䅤湁䍁䅅䅊䙂䍁䅑睎㙁䍁䅑䅕歁䑁䅣䅁敄杂䅁杌䅁䕁䅫兕時䙁䅉兒呂䙁䅑兑啂䕁䅕兔䙂䕁䄴䅖時䙁䅑兗兂䕁䅕睘䍂䙁䅍䅁煁睁䅁䅥䅁䍁䅣睗呂䙁䅁睒時䕁䅍睢瑂䡁䅁兙畂䡁䅫睘䱂䝁䅕入呂䡁䅑兙あ䡁䅍睘㉂䑁䅉䅉硁䍁䄴䅥獂䡁䅍兢摂䙁䅁党畂䡁䅍兡療䝁䄴兌偂䙁䅁兒䍂䍁䅣光歁䕁䅍䅊硁䑁䅅杏歁䕁䅍䅊ㅁ䑁䅣兎䅁䅁䡅䅁䥃䅁䅁睊扂䙁䅍䅕䡂䙁䄸睑療䝁䄰䅣桂䝁䄴入時䕁䅳党㕂䙁䅍䅤桂䡁䅑督時䡁䅙杍杁䑁䅅杌㑂䝁䅷督瑂䙁䄰睑桂䡁䅁兡あ䝁䅅䅢時䙁䅍䅤祂䡁䅕睙あ䡁䅕杣求䙁䄸䅉䕂䝁䅕䅤桂䝁䅫䅢穂䍁䅁睊桁䍁䅑兑䉂䍁䅑兎䅁䅁䡕䅁䥃䅁䅁睊扂䙁䅍䅕䡂䙁䄸睑療䝁䄰䅣桂䝁䄴入時䕁䅳党㕂䙁䅍䅤桂䡁䅑督時䡁䅙杍杁䑁䅅杌㑂䝁䅷督瑂䙁䄰睑桂䡁䅁兡あ䝁䅅䅢時䙁䅍䅤祂䡁䅕睙あ䡁䅕杣求䙁䄸䅉䕂䝁䅕䅤桂䝁䅫䅢穂䍁䅁睊桁䍁䅑兒歁䑁䅑䅎䅁䉁䡣䅁慂䅁䅁睗呂䙁䅁睒時䕁䅍睢瑂䡁䅁兙畂䡁䅫睘䱂䝁䅕入呂䡁䅑兙あ䡁䅍睘㉂䑁䅅杌㑂䝁䅷督瑂䙁䄰睑桂䡁䅍䅡時䕁䅙䅢療䡁䅣光歁䕁䅍䅊㉁䅁䅁䄷䅕䥁䅑䅁湁䙁䅳睑療䡁䅁入杁䝁䄸杚杁䙁䅍䅕䡂䙁䄸睑療䝁䄰䅣桂䝁䄴入時䕁䅳党㕂䙁䅍䅤桂䡁䅑督時䡁䅙杍時䝁䄴党㍂䍁䄴䅥獂䡁䅍兢摂䕁䅳党㕂䙁䄸睕あ䝁䅅䅤穂䍁䅣光歁䕁䄴䅊祁䑁䅙杏歁䙁䅁䅊祁䑁䅙䅁元睂䅁䅩䅁䍁䅣睗呂䙁䅁睒時䕁䅍睢瑂䡁䅁兙畂䡁䅫睘䱂䝁䅕入呂䡁䅑兙あ䡁䅍睘㉂䑁䅉䅉硁䍁䄴䅥獂䡁䅍兢摂䕁䅍兙睂䝁䅫䅤桂䝁䅷睘呂䡁䅑杣ㅂ䝁䅍䅤ㅂ䡁䅉党時䍁䅁䅒求䡁䅑兙灂䝁䅷督杁䍁䅣光歁䕁䅅兑歁䑁䅙䅁呁睂䅁杈䅁䕁䅫兕時䕁䅷䅖䕂䙁䄸䅒噂䕁䅕睘䑂䙁䅫睍䅁䭁䉅䅁坁䅁䅁䅍㕁䍁䄸免㉁䍁䄸杍睁䑁䅉䅍䅁䭁䙍䅁捂䅁䅁䅔療䝁䄴睚瑁䙁䅑党祂䝁䄰䅉䕂䝁䅕杙あ䍁䅁䅋䩂䝁䄴睙獂䍁䄴䅉䑂䝁䅅䅣畁䍁䅁䅔求䝁䅅督求䡁䅍克杁䍁䅧杕求䡁䅁睢祂䡁䅑党歂䍁䅫䅁癁允䅁䅘䅁䙁䅳兔䩂䙁䄸睑療䝁䄰䅣桂䝁䄴入時䕁䅳党㕂䙁䅍䅤桂䡁䅑督時䡁䅙免時䍁䄴䅥獂䡁䅍兢摂䕁䅳党㕂䙁䄸睕あ䝁䅅䅤穂䍁䅅䅊䍂䍁䅑杍㉁䅁䅁具䅑䍁䅑䅁䩂䙁䅅睘䡂䙁䅣睘䩂䕁䄴䅖䉂䕁䄴睘䉂䕁䄰睔卂䙁䅑䅁睃䅁䅁䅩䅁䍁䅣睗呂䙁䅁睒時䕁䅍睢瑂䡁䅁兙畂䡁䅫睘䱂䝁䅕入呂䡁䅑兙あ䡁䅍睘㉂䑁䅉䅉硁䍁䄴䅥獂䡁䅍兢摂䕁䅍兙睂䝁䅫䅤桂䝁䅷睘呂䡁䅑杣ㅂ䝁䅍䅤ㅂ䡁䅉党時䍁䅁䅒求䡁䅑兙灂䝁䅷督杁䍁䅣光歁䕁䅅兑歁䑁䅣䅁佁睂䅁䅩䅁䍁䅣睗呂䙁䅁睒時䕁䅍睢瑂䡁䅁兙畂䡁䅫睘䱂䝁䅕入呂䡁䅑兙あ䡁䅍睘㉂䑁䅉䅉硁䍁䄴䅥獂䡁䅍兢摂䕁䅍兙睂䝁䅫䅤桂䝁䅷睘呂䡁䅑杣ㅂ䝁䅍䅤ㅂ䡁䅉党時䍁䅁䅒求䡁䅑兙灂䝁䅷督杁䍁䅣光歁䕁䅉䅊㍁䑁䅙䅁敁睂䅁杋䅁䙁䅉党あ䡁䅕杣畂䍁䅁睢畂䍁䅁兒硂䡁䅕兡あ䡁䅫䅉潁䍁䅕克䅁䅁䍁䅁䥃䅁䅁睊扂䙁䅍䅕䡂䙁䄸睑療䝁䄰䅣桂䝁䄴入時䕁䅳党㕂䙁䅍䅤桂䡁䅑督時䡁䅙杍杁䑁䅅杌㑂䝁䅷督瑂䙁䄰睑桂䡁䅁兡あ䝁䅅䅢時䙁䅍䅤祂䡁䅕睙あ䡁䅕杣求䙁䄸䅉䕂䝁䅕䅤桂䝁䅫䅢穂䍁䅁睊桁䍁䅑睑歁䑁䅅杍䅁䅁䡧䅁䥃䅁䅁睊扂䙁䅍䅕䡂䙁䄸睑療䝁䄰䅣桂䝁䄴入時䕁䅳党㕂䙁䅍䅤桂䡁䅑督時䡁䅙杍杁䑁䅅杌㑂䝁䅷督瑂䙁䄰睑桂䡁䅁兡あ䝁䅅䅢時䙁䅍䅤祂䡁䅕睙あ䡁䅕杣求䙁䄸䅉䕂䝁䅕䅤桂䝁䅫䅢穂䍁䅁睊桁䍁䅑䅒歁䑁䅅杍䅁䅁䡣䅁歃䅁䅁睊扂䕁䅍睢睂䡁䅫䅉療䝁䅙䅉呂䙁䅁睒時䕁䅍睢瑂䡁䅁兙畂䡁䅫睘䱂䝁䅕入呂䡁䅑兙あ䡁䅍睘㉂䑁䅉睘畂䝁䅕睤畁䡁䅧䅢穂䝁䄰兘䑂䝁䅅䅣灂䡁䅑兙獂䙁䄸睕あ䡁䅉兤橂䡁䅑兤祂䝁䅕睘呂䡁䅕兢瑂䝁䅅杣㕂䍁䅣光歁䕁䅙䅊硁䑁䅁杏歁䙁䅁䅊硁䑁䅁䅁扂睂䅁䅩䅁䍁䅣睗呂䙁䅁睒時䕁䅍睢瑂䡁䅁兙畂䡁䅫睘䱂䝁䅕入呂䡁䅑兙あ䡁䅍睘㉂䑁䅉䅉硁䍁䄴䅥獂䡁䅍兢摂䕁䅍兙睂䝁䅫䅤桂䝁䅷睘呂䡁䅑杣ㅂ䝁䅍䅤ㅂ䡁䅉党時䍁䅁䅒求䡁䅑兙灂䝁䅷督杁䍁䅣光歁䕁䅑䅊ぁ䑁䅑䅁坁睂䅁䅩䅁䍁䅣睗呂䙁䅁睒時䕁䅍睢瑂䡁䅁兙畂䡁䅫睘䱂䝁䅕入呂䡁䅑兙あ䡁䅍睘㉂䑁䅉䅉硁䍁䄴䅥獂䡁䅍兢摂䕁䅍兙睂䝁䅫䅤桂䝁䅷睘呂䡁䅑杣ㅂ䝁䅍䅤ㅂ䡁䅉党時䍁䅁䅒求䡁䅑兙灂䝁䅷督杁䍁䅣光歁䕁䅕䅊㍁䑁䅙䅁杁睂䅁䅚䅁䙁䅳兔䩂䙁䄸睓求䡁䅫睕あ䝁䅅䅤穂䙁䄸杤硁䍁䄴䅥獂䡁䅍兢摂䕁䅫杢橂䝁䄸兢求䙁䄸睕あ䝁䅅䅤求䝁䄰党畂䡁䅑光歁䕁䅍䅊㕁䑁䅯䅊䑂䍁䅑免㉁䑁䅙䅁楄睁䅁䅣䅁䍁䅣睗呂䙁䅁睒時䕁䅍睢瑂䡁䅁兙畂䡁䅫睘䱂䝁䅕入呂䡁䅑兙あ䡁䅍睘㉂䑁䅉䅉硁䍁䄴䅥獂䡁䅍兢摂䕁䅳党㕂䙁䄸睕あ䝁䅅䅤穂䍁䅣光歁䙁䅍䅊ㅁ䑁䅧杏歁䙁䅍䅊㉁䑁䅅䅁䥄杂䅁䅢䅁䙁䅳兔䩂䙁䄸睑療䝁䄰䅣桂䝁䄴入時䕁䅳党㕂䙁䅍䅤桂䡁䅑督時䡁䅙免偂䝁䅷䅚畁䡁䅧䅢穂䝁䄰兘䱂䝁䅕入時䙁䅍䅤桂䡁䅑督桁䍁䅑杓歁䑁䅉睍㙁䍁䅑䅔歁䑁䅉睍䅁䡁䔰䅁敁䅁䅁兓剂䙁䄸杓卂䙁䄸睕噂䕁䅉睘䕂䕁䅕村啂䅁䅁杅䅅䥁䅧䅁湁䙁䅳睕兂䕁䅣睘䑂䝁䄸兢睂䝁䅅杢㕂䙁䄸睓求䡁䅫睕あ䝁䅅䅤穂䙁䄸杤祁䍁䅁免畁䡁䅧䅢穂䝁䄰兘䑂䝁䅅䅣灂䡁䅑兙獂䙁䄸睕あ䡁䅉兤橂䡁䅑兤祂䝁䅕睘杁䕁䅑党あ䝁䅅兡獂䡁䅍䅉湁䍁䅅䅊䕂䍁䅑睎㉁䅁䅁睈䅣䙁䅯䅁扂䙁䅍䅕䡂䙁䄸睑療䝁䄰䅣桂䝁䄴入時䕁䅳党㕂䙁䅍䅤桂䡁䅑督時䡁䅙杍畁䡁䅧䅢穂䝁䄰兘䑂䝁䅅督潂䙁䄸杒獂䝁䄸睤桁䍁䅑睑歁䑁䅙䅁敄睂䅁杌䅁䕁䅫兕時䕁䅙兓奂䕁䅕䅒時䙁䅉兑啂䕁䅕睘䕂䕁䅕村啂䙁䄸䅕䑂䙁䅑䅁畂允䅁䅩䅁䍁䅣睗呂䙁䅁睒時䕁䅍睢瑂䡁䅁兙畂䡁䅫睘䱂䝁䅕入呂䡁䅑兙あ䡁䅍睘㉂䑁䅉䅉硁䍁䄴䅥獂䡁䅍兢摂䕁䅍兙睂䝁䅫䅤桂䝁䅷睘呂䡁䅑杣ㅂ䝁䅍䅤ㅂ䡁䅉党時䍁䅁䅒求䡁䅑兙灂䝁䅷督杁䍁䅣光歁䕁䅙䅊硁䑁䅉䅁䱁睂䅁䅩䅁䍁䅣睗呂䙁䅁睒時䕁䅍睢瑂䡁䅁兙畂䡁䅫睘䱂䝁䅕入呂䡁䅑兙あ䡁䅍睘㉂䑁䅉䅉硁䍁䄴䅥獂䡁䅍兢摂䕁䅍兙睂䝁䅫䅤桂䝁䅷睘呂䡁䅑杣ㅂ䝁䅍䅤ㅂ䡁䅉党時䍁䅁䅒求䡁䅑兙灂䝁䅷督杁䍁䅣光歁䕁䅣䅊硁䑁䅉䅁䩁睂䅁杉䅁䕁䅕村䩂䙁䅑兑杁䕁䄰兙祂䝁䅣兡畂䍁䅁䅋汁䍁䅫䅁䝁杁䅁䅩䅁䍁䅣睗呂䙁䅁睒時䕁䅍睢瑂䡁䅁兙畂䡁䅫睘䱂䝁䅕入呂䡁䅑兙あ䡁䅍睘㉂䑁䅉䅉硁䍁䄴䅥獂䡁䅍兢摂䕁䅍兙睂䝁䅫䅤桂䝁䅷睘呂䡁䅑杣ㅂ䝁䅍䅤ㅂ䡁䅉党時䍁䅁䅒求䡁䅑兙灂䝁䅷督杁䍁䅣光歁䕁䅧䅊ぁ䑁䅑䅁慁睂䅁杊䅁䕁䅫兕時䕁䄴兒啂䙁䄸䅒䙂䕁䅉䅖時䕁䅕村䩂䙁䅑䅒䉂䅁䅁全䅅䥁䅧䅁湁䙁䅳睕兂䕁䅣睘䑂䝁䄸兢睂䝁䅅杢㕂䙁䄸睓求䡁䅫睕あ䝁䅅䅤穂䙁䄸杤祁䍁䅁免畁䡁䅧䅢穂䝁䄰兘䑂䝁䅅䅣灂䡁䅑兙獂䙁䄸睕あ䡁䅉兤橂䡁䅑兤祂䝁䅕睘杁䕁䅑党あ䝁䅅兡獂䡁䅍䅉湁䍁䅅䅊䥂䍁䅑睎㉁䅁䅁睉䅣䑁䅷䅁䩂䙁䅅睘䵂䙁䅑睘䕂䕁䅕村啂䙁䄸睑䉂䙁䅁兓啂䕁䅅䅔時䕁䅷兒䉂䙁䅍兒呂䙁䄸䅕䑂䙁䅑䅁啂允䅁䅩䅁䍁䅣睗呂䙁䅁睒時䕁䅍睢瑂䡁䅁兙畂䡁䅫睘䱂䝁䅕入呂䡁䅑兙あ䡁䅍睘㉂䑁䅉䅉硁䍁䄴䅥獂䡁䅍兢摂䕁䅍兙睂䝁䅫䅤桂䝁䅷睘呂䡁䅑杣ㅂ䝁䅍䅤ㅂ䡁䅉党時䍁䅁䅒求䡁䅑兙灂䝁䅷督杁䍁䅣光歁䕁䅫䅊ぁ䑁䅑䅁扁睂䅁䅩䅁䍁䅣睗呂䙁䅁睒時䕁䅍睢瑂䡁䅁兙畂䡁䅫睘䱂䝁䅕入呂䡁䅑兙あ䡁䅍睘㉂䑁䅉䅉硁䍁䄴䅥獂䡁䅍兢摂䕁䅍兙睂䝁䅫䅤桂䝁䅷睘呂䡁䅑杣ㅂ䝁䅍䅤ㅂ䡁䅉党時䍁䅁䅒求䡁䅑兙灂䝁䅷督杁䍁䅣光歁䕁䅫䅊㍁䑁䅙䅁乁睂䅁杕䅁䙁䅳睓求䡁䅫睕あ䝁䅅䅤穂䙁䄸䅤求䡁䅍䅤浂䝁䅫䅢求䍁䄴䅥獂䡁䅍䅥摂䙁䅍䅡求䝁䅕䅤祁䍁䅅䅊䝂䍁䅑李㙁䍁䅑睒歁䑁䅙䅁煁䅁䅁杏䅁䕁䅫兕時䕁䅷兑兂䙁䅍兒時䙁䅍䅖䉂䙁䅑兖啂䕁䅕睘䵂䕁䅫兔䩂䙁䅑兑啂䕁䅫睔佂䙁䅍䅁䅄杁䅁䅋䅁䕁䅍兤祂䡁䅉党畂䡁䅑䅉䑂䝁䄸兤睂䝁䄸杢杁䙁䅑入睂䝁䅕䅁坃杂䅁䅩䅁䍁䅣睗呂䙁䅁睒時䕁䅍睢瑂䡁䅁兙畂䡁䅫睘䱂䝁䅕入呂䡁䅑兙あ䡁䅍睘㉂䑁䅉䅉硁䍁䄴䅥獂䡁䅍兢摂䕁䅍兙睂䝁䅫䅤桂䝁䅷睘呂䡁䅑杣ㅂ䝁䅍䅤ㅂ䡁䅉党時䍁䅁䅒求䡁䅑兙灂䝁䅷督杁䍁䅣光歁䕁䅳䅊硁䑁䅉䅁剁睂䅁材䅁䕁䅫兕時䙁䅑睔啂䕁䅅䅔時䙁䅍兖䍂䙁䄸䅒䙂䕁䅉䅖時䕁䅕村䩂䙁䅑䅒䉂䙁䄸睑䉂䙁䅁兒奂䅁䅁內䅅䩁䅁䅁湁䙁䅳睕兂䕁䅣睘䑂䝁䄸兢睂䝁䅅杢㕂䙁䄸睓求䡁䅫睕あ䝁䅅䅤穂䙁䄸杤祁䍁䅁免畁䡁䅧䅢穂䝁䄰兘䑂䝁䅅䅣灂䡁䅑兙獂䙁䄸睕あ䡁䅉兤橂䡁䅑兤祂䝁䅕睘呂䡁䅕兢瑂䝁䅅杣㕂䍁䅣光歁䕁䅑䅊祁䑁䅫杏歁䕁䅑䅊㑁䑁䅁䅁ㅄ杂䅁杬䅁䕁䄸䅣あ䝁䅫睢畂䡁䅍杏杁䕁䅍兤祂䡁䅉児噂䙁䅍䅒獁䍁䅁兔桂䝁䅣児啂䝁䅧睢ㅂ䡁䅍兙畂䝁䅑督獁䕁䅍睢畂䡁䅙兔求䡁䅑䅡療䝁䅑児乂䕁䅫杣求䝁䅍睢瑂䝁䄰党畂䝁䅑党歂䍁䅷䅉佂䕁䅅児獁䍁䅁䅖求䡁䅉兢㥁䝁䅕杢瑁䙁䅕睕䅁䕁䅕䅁元䅁䅁睊扂䙁䅍䅕䡂䙁䄸睑療䝁䄰䅣桂䝁䄴入時䕁䅳党㕂䙁䅍䅤桂䡁䅑督時䡁䅙杍杁䑁䅅杌㑂䝁䅷督瑂䙁䄰睑桂䡁䅁兡あ䝁䅅䅢時䙁䅍䅤祂䡁䅕睙あ䡁䅕杣求䙁䄸睕ㅂ䝁䄰兢桂䡁䅉入湁䍁䅅䅊䝂䍁䅑免硁䑁䅯䅊兂䍁䅑免硁䅁䅁朹䅙䝁䅷䅁湁䙁䅳睕兂䕁䅣睘䑂䝁䄸兢睂䝁䅅杢㕂䙁䄸睓求䡁䅫睕あ䝁䅅䅤穂䙁䄸杤祁䍁䅁免畁䡁䅧䅢穂䝁䄰兘䑂䝁䅅䅣灂䡁䅑兙獂䝁䅫来桂䡁䅑兡療䝁䄴睊桁䍁䅑睑歁䑁䅑䅁橄杂䅁杢䅁䍁䅣睗呂䙁䅁睒時䕁䅍睢瑂䡁䅁兙畂䡁䅫睘䱂䝁䅕入呂䡁䅑兙あ䡁䅍睘㉂䑁䅉䅉硁䍁䄴䅥獂䡁䅍兢摂䕁䅍兙睂䝁䅫䅤桂䝁䅷兡㙂䝁䅅䅤灂䝁䄸杢湁䍁䅅䅊䑂䍁䅑䅎㉁䅁䅁眵䅙䡁䅧䅁扂䕁䄰兓時䕁䅳党㕂䙁䅍䅤桂䡁䅑督時䡁䅙免畁䡁䅧䅢穂䝁䄰兘䑂䝁䅅䅣灂䡁䅑兙獂䙁䄸睕あ䡁䅉兤橂䡁䅑兤祂䝁䅕睘呂䡁䅕兢瑂䝁䅅杣㕂䍁䅅䅊䑂䍁䅑免穁䑁䅯䅊䑂䍁䅑免ㅁ䑁䅁䅁䕄睁䅁材䅁䕁䅫兕時䙁䅑睔啂䕁䅅䅔時䕁䅅睕呂䕁䅕䅖呂䙁䄸兎婂䙁䅉睘䉂䕁䄴杔時䕁䅣杕偂䙁䅣䅖䥂䅁䅁睮䅉䡁䅁䅁湁䙁䅳睕兂䕁䅣睘䑂䝁䄸兢睂䝁䅅杢㕂䙁䄸睓求䡁䅫睕あ䝁䅅䅤穂䙁䄸杤祁䍁䅁免畁䡁䅧䅢穂䝁䄰兘䱂䝁䅕入時䙁䅍䅤桂䡁䅑督湁䍁䅅䅊䙂䍁䅑杍ㅁ䑁䅯䅊䭂䍁䅑杍ㅁ䅁䅁䅸䅙䩁䅁䅁湁䙁䅳睑療䡁䅁入杁䝁䄸杚杁䙁䅍䅕䡂䙁䄸睑療䝁䄰䅣桂䝁䄴入時䕁䅳党㕂䙁䅍䅤桂䡁䅑督時䡁䅙免時䕁䅙兡畂䝁䅅䅢畁䡁䅧䅢穂䝁䄰兘䑂䝁䅅䅣灂䡁䅑兙獂䝁䅫来桂䡁䅑兡療䝁䄴睊桁䍁䅑睑歁䑁䅫杏歁䕁䅍䅊祁䑁䅑䅁求䅃䅁杆䅁䕁䅫兕時䙁䅍䅖時䕁䅑兒䍂䙁䅑䅁佁允䅁杢䅁䍁䅣睗呂䙁䅁睒時䕁䅍睢瑂䡁䅁兙畂䡁䅫睘䱂䝁䅕入呂䡁䅑兙あ䡁䅍睘㉂䑁䅉䅉硁䍁䄴䅥獂䡁䅍兢摂䕁䅍兙睂䝁䅫䅤桂䝁䅷兡㙂䝁䅅䅤灂䝁䄸杢湁䍁䅅䅊䑂䍁䅑䅎㍁䅁䅁眶䅙䡁䅉䅁湁䙁䅳睕兂䕁䅣睘䑂䝁䄸兢睂䝁䅅杢㕂䙁䄸睓求䡁䅫睕あ䝁䅅䅤穂䙁䄸杤祁䍁䅁免畁䡁䅧䅢穂䝁䄰兘兂䝁䅕杢穂䝁䅫睢畂䍁䄰睔兂䕁䅕村湁䍁䅅䅊䕂䍁䅑睎㙁䍁䅑兓歁䑁䅣䅁䍁睂䅁䅡䅁䕁䅍兤祂䡁䅉杌杁䙁䅁睢祂䡁䅑杌杁䝁䄸杚杁䕁䅷䅖杁䕁䅑党楂䡁䅑䅉流䍁䅁睑桂䡁䅁䅉䵂䝁䅕兙穂䝁䅕督癁䍁䅁䅖療䡁䅑兙獂䍁䅁䅒求䝁䅉䅤杁䍁䅧兊灁䅁䅁睕䅅䝁䄴䅁湁䙁䅳睕兂䕁䅣睘䑂䝁䄸兢睂䝁䅅杢㕂䙁䄸睓求䡁䅫睕あ䝁䅅䅤穂䙁䄸杤祁䍁䅁免畁䡁䅧䅢穂䝁䄰兘䑂䝁䅅䅣灂䡁䅑兙獂䝁䅫来桂䡁䅑兡療䝁䄴睊桁䍁䅑睑歁䑁䅑兏䅁佁䜰䅁㑂䅁䅁睊扂䕁䅍睢睂䡁䅫䅉療䝁䅙䅉呂䙁䅁睒時䕁䅍睢瑂䡁䅁兙畂䡁䅫睘䱂䝁䅕入呂䡁䅑兙あ䡁䅍睘㉂䑁䅉睘畂䝁䅕睤畁䡁䅧䅢穂䝁䄰兘䱂䝁䅕入時䙁䅍䅤桂䡁䅑督湁䍁䅅䅊䍂䍁䅑杍ㅁ䅁䅁杊䅣䡁䅁䅁䵂䙁䅑䅉䕂䝁䅕杙あ䍁䅁䅋䩂䝁䄴睙獂䍁䄴䅉䑂䝁䅅䅣畁䍁䅁䅔求䝁䅅督求䡁䅍克杁䕁䅑兤求䍁䅷䅉䉂䝁䅙䅤求䡁䅉䅉ㅁ䍁䅁兗祂䡁䅍䅉潁䙁䅉党睂䝁䄸杣あ䝁䅕䅚灁䅁䅁杰䅅䉁䅑䅁䩂䙁䅅睘卂䕁䅑睘䙂䙁䅧䅕䅁䱁䅉䅁䭂䅁䅁睑桂䡁䅁杌杁䕁䅷党桂䡁䅍党杁䙁䅁兙㕂䝁䄰党畂䡁䅑䅉䕂䡁䅕党杁䍁䅳杍杁䍁䅧杕求䡁䅁睢祂䡁䅑党歂䍁䅫䅁獃允䅁䅥䅁䙁䅳兔䩂䙁䄸睑療䝁䄰䅣桂䝁䄴入時䕁䅳党㕂䙁䅍䅤桂䡁䅑督時䡁䅙免畁䡁䅧䅢穂䝁䄰兘䑂䝁䅅䅣灂䡁䅑兙獂䙁䄸睕あ䡁䅉兤橂䡁䅑兤祂䝁䅕睘呂䡁䅕兢瑂䝁䅅杣㕂䍁䅅䅊䑂䍁䅑兎䅁䍁䕁䅁㙂䅁䅁睊扂䙁䅍䅕䡂䙁䄸睑療䝁䄰䅣桂䝁䄴入時䕁䅳党㕂䙁䅍䅤桂䡁䅑督時䡁䅙杍杁䑁䅅杌㑂䝁䅷督瑂䙁䄰睑桂䡁䅁兡あ䝁䅅䅢灂䡁䅯兙あ䝁䅫睢畂䍁䅣光歁䕁䅍䅊ㅁ䑁䅉杏歁䕁䅍䅊ㅁ䑁䅍䅁灄杂䅁䅯䅁䍁䅣睗䑂䝁䄸䅣㕂䍁䅁睢浂䍁䅁睕兂䕁䅣睘䑂䝁䄸兢睂䝁䅅杢㕂䙁䄸睓求䡁䅫睕あ䝁䅅䅤穂䙁䄸杤硁䙁䄸杒灂䝁䄴兙獂䍁䄴䅥獂䡁䅍兢摂䕁䅍兙睂䝁䅫䅤桂䝁䅷睘呂䡁䅑杣ㅂ䝁䅍䅤ㅂ䡁䅉党時䍁䅁䅒求䡁䅑兙灂䝁䅷督杁䍁䅣光歁䕁䅅兑歁䑁䅣䅁䵂䅃䅁䅐䅁䕁䅅杤求䡁䅉兙湂䝁䅕䅉䩂䝁䄴䅤求䡁䅉党穂䡁䅑䅉卂䝁䅅䅤求䍁䅁睋杁䑁䅕䅉潁䍁䅕克䅁偁䉁䅁慂䅁䅁睔睂䝁䅕杣桂䡁䅑兡畂䝁䅣䅉䵂䝁䅕兙穂䝁䅕䅉䑂䝁䄸兢瑂䝁䅫䅤瑂䝁䅕杢あ䍁䅁䅒ㅂ䝁䅕䅉牁䑁䅑䅉潁䙁䅉党睂䝁䄸杣あ䝁䅕䅚灁䅁䅁杶䅅䍁䅯䅁䩂䙁䅅睘䙂䕁䅅杕佂䕁䅫杔䡂䙁䄸睑偂䙁䄸兔䉂䙁䅉睒䩂䕁䄴䅁䩁杁䅁䅥䅁䍁䅣睗呂䙁䅁睒時䕁䅍睢瑂䡁䅁兙畂䡁䅫睘䱂䝁䅕入呂䡁䅑兙あ䡁䅍睘㉂䑁䅉䅉硁䍁䄴䅥獂䡁䅍兢摂䕁䅍兙睂䝁䅫䅤桂䝁䅷兡㙂䝁䅅䅤灂䝁䄸杢湁䍁䅅䅊䑂䍁䅑兏㙁䍁䅑睑歁䑁䅉䅎䅁佁䝕䅁ぁ䅁䅁兓畂䡁䅙党畂䡁䅑睢祂䡁䅫䅌杁䑁䅕䅉婂䡁䅉杌杁䕁䅍兑䡂䙁䅉䅉潁䍁䅕克䅁䩁䍧䅁獁䅁䅁兓剂䙁䄸䅒兂䙁䅍睘硁䙁䅫杕時䕁䅅杔佂䙁䄸睒卂䕁䄸睖啂䕁䅧䅁㍁杁䅁权䅁䕁䅙兗牁䑁䅅䅁㥁䅁䅁杤䅁䍁䅣睗呂䙁䅁睒時䕁䅍睢瑂䡁䅁兙畂䡁䅫睘䱂䝁䅕入呂䡁䅑兙あ䡁䅍睘㉂䑁䅉䅉硁䍁䄴䅥獂䡁䅍兢摂䕁䅍兙睂䝁䅫䅤桂䝁䅷兡㙂䝁䅅䅤灂䝁䄸杢湁䍁䅅䅊䙂䍁䅑䅎㙁䍁䅑杓歁䑁䅑䅁歄杂䅁来䅁䍁䅣睗呂䙁䅁睒時䕁䅍睢瑂䡁䅁兙畂䡁䅫睘䱂䝁䅕入呂䡁䅑兙あ䡁䅍睘㉂䑁䅉䅉硁䍁䄴䅥獂䡁䅍兢摂䕁䅍兙睂䝁䅫䅤桂䝁䅷兡㙂䝁䅅䅤灂䝁䄸杢湁䍁䅅䅊䙂䍁䅑兎睁䑁䅯䅊䭂䍁䅑兎睁䅁䅁䄶䅙䝁䅉䅁湁䙁䅳睕兂䕁䅣睘䑂䝁䄸兢睂䝁䅅杢㕂䙁䄸睓求䡁䅫睕あ䝁䅅䅤穂䙁䄸杤祁䍁䅁免畁䡁䅧䅢穂䝁䄰兘䑂䝁䅅督潂䙁䄸杒獂䝁䄸睤湁䍁䅅䅊䑂䍁䅑李䅁乁䜸䅁㉂䅁䅁睊扂䙁䅍䅕䡂䙁䄸睑療䝁䄰䅣桂䝁䄴入時䕁䅳党㕂䙁䅍䅤桂䡁䅑督時䡁䅙杍杁䑁䅅杌㑂䝁䅷督瑂䙁䄰睑桂䡁䅁兡あ䝁䅅䅢灂䡁䅯兙あ䝁䅫睢畂䍁䅣光歁䕁䅕䅊ㅁ䑁䅯䅊䭂䍁䅑兎䅁佁䝙䅁睂䅁䅁睊扂䙁䅍䅕䡂䙁䄸睑療䝁䄰䅣桂䝁䄴入時䕁䅳党㕂䙁䅍䅤桂䡁䅑督時䡁䅙杍杁䑁䅅杌㑂䝁䅷督瑂䙁䄰睑桂䡁䅍䅡時䕁䅙䅢療䡁䅣睊桁䍁䅑睑歁䑁䅅免㙁䍁䅑睑歁䑁䅫李䅁佁䝅䅁捃䅁䅁睊扂䕁䅍睢睂䡁䅫䅉療䝁䅙䅉呂䙁䅁睒時䕁䅍睢瑂䡁䅁兙畂䡁䅫睘䱂䝁䅕入呂䡁䅑兙あ䡁䅍睘㉂䑁䅉睘畂䝁䅕睤畁䡁䅧䅢穂䝁䄰兘䑂䝁䅅䅣灂䡁䅑兙獂䙁䄸睕あ䡁䅉兤橂䡁䅑兤祂䝁䅕睘杁䕁䅑党あ䝁䅅兡獂䡁䅍䅉湁䍁䅅䅊䭂䍁䅑䅎ぁ䅁䅁睧䅣䝁䅷䅁湁䙁䅳睕兂䕁䅣睘䑂䝁䄸兢睂䝁䅅杢㕂䙁䄸睓求䡁䅫睕あ䝁䅅䅤穂䙁䄸杤祁䍁䅁免畁䡁䅧䅢穂䝁䄰兘䑂䝁䅅督潂䙁䄸杒獂䝁䄸睤湁䍁䅅䅊䙂䍁䅑李㙁䍁䅑䅕歁䑁䅙䅁杄杂䅁杣䅁䙁䅳兔䩂䙁䄸睓求䡁䅫睕あ䝁䅅䅤穂䙁䄸杤硁䍁䄴䅥獂䡁䅍兢摂䕁䅍兙睂䝁䅫䅤桂䝁䅷睘呂䡁䅑杣ㅂ䝁䅍䅤ㅂ䡁䅉党時䙁䅍兤瑂䝁䄰兙祂䡁䅫光歁䕁䅙䅊㕁䑁䅯䅊佂䍁䅑兏䅁䭁䐸䅁䅃䅁䅁睊扂䙁䅍䅕䡂䙁䄸睑療䝁䄰䅣桂䝁䄴入時䕁䅳党㕂䙁䅍䅤桂䡁䅑督時䡁䅙杍杁䑁䅅杌㑂䝁䅷督瑂䙁䄰兓畂䝁䅍睢瑂䝁䅕睘呂䡁䅑兙あ䝁䅕兢求䝁䄴䅤湁䍁䅅䅊䑂䍁䅑免硁䑁䅯䅊䑂䍁䅑免㕁䑁䅧䅁婄杂䅁杚䅁䙁䅳兔䩂䙁䄸睑療䝁䄰䅣桂䝁䄴入時䕁䅳党㕂䙁䅍䅤桂䡁䅑督時䡁䅙免畁䡁䅧䅢穂䝁䄰兘䱂䝁䅕入時䙁䅍䅤桂䡁䅑督桁䍁䅑睑歁䑁䅉兎㙁䍁䅑睑歁䑁䅑兏䅁偁䑉䅁畂䅁䅁兓畂䡁䅑党祂䝁䄴兙あ䝁䅫睢畂䝁䅅䅢杁䕁䅉兤穂䝁䅫杢求䡁䅍督杁䕁䄰兙橂䝁䅧兡畂䝁䅕督杁䕁䅍睢祂䡁䅁睢祂䝁䅅䅤灂䝁䄸杢杁䍁䅧杔婂䙁䅍兒㙁䕁䅫村乂䍁䅫䅁ㅂ杂䅁䅣䅁䍁䅣睗呂䙁䅁睒時䕁䅍睢瑂䡁䅁兙畂䡁䅫睘䱂䝁䅕入呂䡁䅑兙あ䡁䅍睘㉂䑁䅉䅉硁䍁䄴䅥獂䡁䅍兢摂䕁䅫杢橂䝁䄸兢求䙁䄸睕あ䝁䅅䅤求䝁䄰党畂䡁䅑睊桁䍁䅑睑歁䑁䅙䅁塄杂䅁杓䅁䕁䅍兙穂䝁䅧䅉䝂䡁䅉睢瑂䍁䅁睔睂䝁䅕杣桂䡁䅑兡療䝁䄴督獁䍁䅁睍杁䙁䅫杣畁䍁䅁睑䉂䕁䅣杕杁䍁䅧兊灁䅁䅁䅧䅉䍁䅷䅁䩂䙁䅅睘啂䕁䅉杖時䑁䅍兗卂䙁䄸兑佂䕁䄴睘䡂䙁䅉睔塂䙁䅑䅓䅁䡁䍳䅁㉁䅁䅁兓剂䙁䄸䅒䙂䕁䅙兒卂䙁䅉兒䕂䙁䄸䅒偂䕁䄰兒呂䙁䅑兓䑂䙁䄸䅖䉂䙁䅧兒呂䅁䅁兪䅍䙁䅉䅁䕂䝁䅫䅢ㅂ䡁䅑党歂䍁䅁兒兂䙁䅍䅉䙂䡁䅧睙獂䍁䄴䅉䙂䡁䅧䅤祂䝁䅅䅉䩂䡁䅑党瑂䡁䅍䅉潁䙁䅉党睂䝁䄸杣あ䝁䅕䅚灁䅁䅁充䅁䩁䅁䅁偂䡁䅁䅤灂䝁䄸杢穂䑁䅯䅉䑂䡁䅕杣祂䑁䄰睒䍂䙁䅁䅌乂䝁䅅睚㥁䕁䅅睙あ䡁䅕兙獂䡁䅍䅌䑂䝁䄸杢㉂䕁䄰党あ䝁䅧睢歂䑁䄰兔䩂䡁䅉党橂䝁䄸兢瑂䝁䅕杢歂䝁䅕䅚獁䍁䅁杔䉂䑁䄰䅌杁䙁䅑党祂䝁䄰児求䝁䄴兌噂䙁䅍䅁㉁䅁䅁杉䅁䕁䅫兕時䕁䄸䅖䥂䕁䅕杕時䙁䅕杔䕂䙁䅉兑塂䕁䄴䅁䭁允䅁杚䅁䍁䅣睗呂䙁䅁睒時䕁䅍睢瑂䡁䅁兙畂䡁䅫睘䱂䝁䅕入呂䡁䅑兙あ䡁䅍睘㉂䑁䅉䅉硁䍁䄴䅥獂䡁䅍兢摂䕁䅳党㕂䙁䄸睕あ䝁䅅䅤穂䍁䅣光歁䕁䅉䅊硁䑁䅁睎䅁䱁䜸䅁㑂䅁䅁睊扂䙁䅍䅕䡂䙁䄸睑療䝁䄰䅣桂䝁䄴入時䕁䅳党㕂䙁䅍䅤桂䡁䅑督時䡁䅙杍杁䑁䅅杌㑂䝁䅷督瑂䙁䄰睕ㅂ䡁䅁䅣獂䝁䅕兢求䝁䄴䅤桂䝁䅷睊桁䍁䅑睑歁䑁䅅免㙁䍁䅑睑歁䑁䅅李㑁䅁䅁儯䅙䝁䅧䅁扂䕁䄰兓時䕁䅍睢瑂䡁䅁兙畂䡁䅫睘䱂䝁䅕入呂䡁䅑兙あ䡁䅍睘㉂䑁䅅杌㑂䝁䅷督瑂䙁䄰睕ㅂ䡁䅁䅣獂䝁䅕兢求䝁䄴䅤桂䝁䅷光歁䕁䅑䅊㍁䑁䅯䅊䩂䍁䅑睎䅁䵁䙳䅁䅃䅁䅁睔睂䡁䅑兡療䝁䄴督㙁䕁䅍兤祂䡁䅉児卂䝁䅕䅣療䡁䅉䅤求䝁䅑䅉橂䡁䅕杣祂䝁䅕杢橂䡁䅫䅌乂䝁䅅睚㥁䕁䄰兓穂䡁䅑兙畂䝁䅑兙祂䝁䅑䅌䑂䝁䄸杢㉂䕁䄰党あ䝁䅧睢歂䑁䄰兔卂䡁䅍䅣療䡁䅑䅁䑁䅁䅁来䅁䙁䅳睕兂䕁䅣睘䑂䝁䄸兢睂䝁䅅杢㕂䙁䄸睓求䡁䅫睕あ䝁䅅䅤穂䙁䄸杤祁䍁䄴䅥獂䡁䅍兢摂䕁䅍兙睂䝁䅫䅤桂䝁䅷睘呂䡁䅑杣ㅂ䝁䅍䅤ㅂ䡁䅉党時䙁䅍兤瑂䝁䄰兙祂䡁䅫光歁䕁䅍䅊㉁䅁䅁杁䅧䝁䅑䅁湁䙁䅳睕兂䕁䅣睘䑂䝁䄸兢睂䝁䅅杢㕂䙁䄸睓求䡁䅫睕あ䝁䅅䅤穂䙁䄸杤祁䍁䅁免畁䡁䅧䅢穂䝁䄰兘䱂䝁䅕入時䙁䅍䅤桂䡁䅑督湁䍁䅅䅊䍂䍁䅑杍㉁䅁䅁睹䅙䙁䅯䅁扂䕁䄰兓時䕁䅍睢瑂䡁䅁兙畂䡁䅫睘䱂䝁䅕入呂䡁䅑兙あ䡁䅍睘㉂䑁䅅杌㑂䝁䅷督瑂䙁䄰睓求䡁䅫睘呂䡁䅑兙あ䡁䅍光歁䕁䅉䅊ㅁ䑁䅍䅁䵃䅂䅁䅤䅁䍁䅣睗呂䙁䅁睒時䕁䅍睢瑂䡁䅁兙畂䡁䅫睘䱂䝁䅕入呂䡁䅑兙あ䡁䅍睘㉂䑁䅉䅉硁䍁䄴䅥獂䡁䅍兢摂䕁䅳党㕂䙁䄸睕あ䝁䅅䅤穂䍁䅣光歁䕁䅍䅊硁䑁䅁兏㙁䍁䅑睑歁䑁䅅免ㅁ䅁䅁儱䅙䑁䅁䅁䩂䙁䅅睘䙂䕁䅉兓啂䕁䅅睘祁䙁䅫杕時䕁䅅杔佂䙁䄸睒卂䕁䄸睖啂䕁䅧䅁乂杁䅁䅈䅁䕁䅫兕時䕁䅍䅔時䕁䅑兖䙂䙁䄸睑婂䑁䅑䅁癃允䅁杓䅁䙁䅳兔䩂䙁䄸睓求䡁䅫睕あ䝁䅅䅤穂䙁䄸杤硁䍁䄴䅥獂䡁䅍兢摂䕁䅳党㕂䙁䄸睕あ䝁䅅䅤穂䍁䅅䅊䍂䍁䅑兎祁䅁䅁兤䅍䑁䄴䅁啂䝁䄸䅤桂䝁䅷䅉乂䝁䅫杢療䡁䅉兡あ䡁䅫䅉䩂䝁䄴䅤求䡁䅉党穂䡁䅑䅉潁䍁䅑䅍睁䑁䅁克䅁䝁䄸䅁坂䅁䅁睗䱂䝁䅕入呂䡁䅑兙あ䡁䅍睘あ䝁䅕督あ䝁䅙兡獂䝁䅕杌㑂䝁䅷督㑂䙁䄰睕潂䝁䅕党あ䑁䅅光歁䕁䅍䅊祁䑁䅕杏歁䕁䅍䅊㉁䑁䅧䅁祂䅁䅁䅣䅁䍁䅣睗呂䙁䅁睒時䕁䅍睢瑂䡁䅁兙畂䡁䅫睘䱂䝁䅕入呂䡁䅑兙あ䡁䅍睘㉂䑁䅉䅉硁䍁䄴䅥獂䡁䅍兢摂䕁䅳党㕂䙁䄸睕あ䝁䅅䅤穂䍁䅣光歁䕁䅍䅊祁䑁䅧杏歁䕁䅍䅊ㅁ䑁䅉䅁䙄杂䅁杇䅁䑁䅷材睁䑁䅫睌硁䑁䅧睌祁䑁䅁杍睁䅁䅁䅱䅕䩁䅧䅁湁䙁䅳睑療䡁䅁入杁䝁䄸杚杁䙁䅍䅕䡂䙁䄸睑療䝁䄰䅣桂䝁䄴入時䕁䅳党㕂䙁䅍䅤桂䡁䅑督時䡁䅙免時䕁䅙兡畂䝁䅅䅢畁䡁䅧䅢穂䝁䄰兘䩂䝁䄴睙療䝁䄰党時䙁䅍䅤桂䡁䅑党瑂䝁䅕杢あ䍁䅣光歁䕁䅍䅊硁䑁䅅杏歁䕁䅍䅊硁䑁䅫䅍䅁䙁䥫䅁㙁䅁䅁兓剂䙁䄸兒䉂䙁䅉杔䩂䕁䄴睒時䕁䅍睔時䑁䅉兗卂䙁䄸兑佂䕁䄴睘䡂䙁䅉睔塂䙁䅑䅓䅁䕁䍕䅁䭂䅁䅁睗䱂䝁䅕入呂䡁䅑兙あ䡁䅍睘あ䝁䅕督あ䝁䅙兡獂䝁䅕杌㑂䝁䅷督㑂䙁䄰睕潂䝁䅕党あ䑁䅅光歁䕁䅍䅊ㅁ䑁䅕䅁摂䅁䅁䅣䅁䍁䅣睗呂䙁䅁睒時䕁䅍睢瑂䡁䅁兙畂䡁䅫睘䱂䝁䅕入呂䡁䅑兙あ䡁䅍睘㉂䑁䅉䅉硁䍁䄴䅥獂䡁䅍兢摂䕁䅳党㕂䙁䄸睕あ䝁䅅䅤穂䍁䅣光歁䕁䅑䅊祁䑁䅧杏歁䕁䅑䅊ㅁ䑁䅉䅁乄杂䅁䅖䅁䙁䅳睓求䡁䅫睕あ䝁䅅䅤穂䙁䄸䅤求䡁䅍䅤浂䝁䅫䅢求䍁䄴䅥獂䡁䅍兢摂䙁䅉兙あ䝁䅫睢穂䍁䅅䅊䕂䍁䅑兏㙁䍁䅑䅒歁䑁䅫䅍䅁偁䉕䅁楂䅁䅁睗䱂䝁䅕入呂䡁䅑兙あ䡁䅍睘あ䝁䅕督あ䝁䅙兡獂䝁䅕杌㑂䝁䅷督瑂䙁䄰睕ㅂ䡁䅁䅣獂䝁䅕兢求䝁䄴䅤桂䝁䅷光歁䕁䅑䅊㕁䑁䅯䅊䕂䍁䅑免穁䑁䅫䅁杂睁䅁䅄䅁䕁䅫兕時䕁䅣䅕䅁䅁䅣䅁睂䅁䅁睊扂䙁䅍䅕䡂䙁䄸睑療䝁䄰䅣桂䝁䄴入時䕁䅳党㕂䙁䅍䅤桂䡁䅑督時䡁䅙杍杁䑁䅅杌㑂䝁䅷督瑂䙁䄰睓求䡁䅫睘呂䡁䅑兙あ䡁䅍睊桁䍁䅑兒歁䑁䅉李㙁䍁䅑杓歁䑁䅉李䅁䵁䝙䅁䕂䅁䅁兓剂䙁䄸睑偂䕁䄴䅖卂䕁䅅睑啂䙁䄸睔䍂䕁䅷兓䡂䕁䅅䅖䩂䕁䄸杔時䕁䅅杒啂䕁䅕杕時䕁䅙兓坂䕁䅕䅁晄允䅁䅤䅁䍁䅣睗呂䙁䅁睒時䕁䅍睢瑂䡁䅁兙畂䡁䅫睘䱂䝁䅕入呂䡁䅑兙あ䡁䅍睘㉂䑁䅉䅉硁䍁䄴䅥獂䡁䅍兢摂䕁䅳党㕂䙁䄸睕あ䝁䅅䅤穂䍁䅣光歁䕁䅙䅊硁䑁䅁李㙁䍁䅑䅓歁䑁䅅䅍㉁䅁䅁䄱䅙䝁䅑䅁湁䙁䅳睕兂䕁䅣睘䑂䝁䄸兢睂䝁䅅杢㕂䙁䄸睓求䡁䅫睕あ䝁䅅䅤穂䙁䄸杤祁䍁䅁免畁䡁䅧䅢穂䝁䄰兘䱂䝁䅕入時䙁䅍䅤桂䡁䅑督湁䍁䅅䅊䝂䍁䅑免ㅁ䅁䅁杂䅣䥁䅧䅁湁䙁䅳睑療䡁䅁入杁䝁䄸杚杁䙁䅍䅕䡂䙁䄸睑療䝁䄰䅣桂䝁䄴入時䕁䅳党㕂䙁䅍䅤桂䡁䅑督時䡁䅙免時䕁䅙兡畂䝁䅅䅢畁䡁䅧䅢穂䝁䄰兘䱂䝁䅕入時䙁䅍䅤桂䡁䅑督湁䍁䅅䅊䑂䍁䅑李ㅁ䑁䅯䅊䑂䍁䅑睎硁䅁䅁䅕䅧䍁䅷䅁䩂䙁䅅睘䙂䙁䅁睕時䑁䅉兗卂䙁䄸兑佂䕁䄴睘䡂䙁䅉睔塂䙁䅑䅓䅁䙁䍍䅁楂䅁䅁睊扂䙁䅍䅕䡂䙁䄸睑療䝁䄰䅣桂䝁䄴入時䕁䅳党㕂䙁䅍䅤桂䡁䅑督時䡁䅙杍杁䑁䅅杌㑂䝁䅷督瑂䙁䄰睓求䡁䅫睘呂䡁䅑兙あ䡁䅍睊桁䍁䅑杒歁䑁䅫䅁䕁睂䅁䅡䅁䙁䅳睕兂䕁䅣睘䑂䝁䄸兢睂䝁䅅杢㕂䙁䄸睓求䡁䅫睕あ䝁䅅䅤穂䙁䄸杤祁䍁䄴䅥獂䡁䅍兢摂䕁䄰兤獂䡁䅑兡睂䝁䅷党穂䍁䅅䅊䙂䍁䅑免睁䑁䅯䅊䵂䍁䅑免睁䅁䅁杣䅙䑁䅯䅁佂䕁䅅杕䙂䕁䅫䅖時䙁䅍兙瑂䝁䅕睕あ䝁䄸杣求䙁䄸睑療䝁䄰䅣桂䝁䄴入䵂䝁䅫督あ䅁䅁儲䅍䉁䅯䅁呂䙁䅁睘䙂䕁䄴䅖䩂䙁䅑兗時䕁䅫䅒䅁䍁䅁䅁睂䅁䅁睊扂䙁䅍䅕䡂䙁䄸睑療䝁䄰䅣桂䝁䄴入時䕁䅳党㕂䙁䅍䅤桂䡁䅑督時䡁䅙杍杁䑁䅅杌㑂䝁䅷督瑂䙁䄰睓求䡁䅫睘呂䡁䅑兙あ䡁䅍睊桁䍁䅑兔歁䑁䅉兎㙁䍁䅑睔歁䑁䅉兎䅁䵁䝷䅁睂䅁䅁睊扂䙁䅍䅕䡂䙁䄸睑療䝁䄰䅣桂䝁䄴入時䕁䅳党㕂䙁䅍䅤桂䡁䅑督時䡁䅙杍杁䑁䅅杌㑂䝁䅷督瑂䙁䄰睓求䡁䅫睘呂䡁䅑兙あ䡁䅍睊桁䍁䅑兔歁䑁䅉李㙁䍁䅑睔歁䑁䅉李䅁䵁䜴䅁歂䅁䅁睊扂䙁䅍䅕䡂䙁䄸睑療䝁䄰䅣桂䝁䄴入時䕁䅳党㕂䙁䅍䅤桂䡁䅑督時䡁䅙杍杁䑁䅅杌㑂䝁䅷督瑂䙁䄰睓求䡁䅫睘呂䡁䅑兙あ䡁䅍睊桁䍁䅑睕歁䑁䅕兎䅁䵁䝣䅁䭃䅁䅁睗呂䙁䅁睒時䕁䅍睢瑂䡁䅁兙畂䡁䅫睘䱂䝁䅕入呂䡁䅑兙あ䡁䅍睘㉂䑁䅅杌㑂䝁䅷督瑂䙁䄰睑桂䡁䅁兡あ䝁䅅䅢時䙁䅍䅤祂䡁䅕睙あ䡁䅕杣求䙁䄸睕ㅂ䝁䄰兢桂䡁䅉入桁䍁䅑睑歁䑁䅅兎㙁䍁䅑睑歁䑁䅅兎祁䅁䅁术䅕䡁䅁䅁湁䙁䅳睕兂䕁䅣睘䑂䝁䄸兢睂䝁䅅杢㕂䙁䄸睓求䡁䅫睕あ䝁䅅䅤穂䙁䄸杤祁䍁䅁免畁䡁䅧䅢穂䝁䄰兘䱂䝁䅕入時䙁䅍䅤桂䡁䅑督湁䍁䅅䅊啂䍁䅑兎㑁䑁䅯䅊啂䍁䅑李硁䅁䅁杹䅙䑁䅙䅁䩂䙁䅅睘䑂䕁䄸杔啂䙁䅉兑䑂䙁䅑睘偂䕁䅉䅔䩂䕁䅣兑啂䕁䅫睔佂䙁䄸睑婂䑁䅍䅁婄允䅁䅣䅁䍁䅣睗呂䙁䅁睒時䕁䅍睢瑂䡁䅁兙畂䡁䅫睘䱂䝁䅕入呂䡁䅑兙あ䡁䅍睘㉂䑁䅉䅉硁䍁䄴䅥獂䡁䅍兢摂䕁䅳党㕂䙁䄸睕あ䝁䅅䅤穂䍁䅣光歁䙁䅙䅊ㅁ䑁䅣杏歁䙁䅣䅊ㅁ䑁䅣䅁䩄杂䅁䅡䅁䍁䅣睗呂䙁䅁睒時䕁䅍睢瑂䡁䅁兙畂䡁䅫睘䱂䝁䅕入呂䡁䅑兙あ䡁䅍睘㉂䑁䅉䅉硁䍁䄴䅥獂䡁䅍兢摂䙁䅁党畂䡁䅍兡療䝁䄴兌偂䙁䅁兒䍂䍁䅣光歁䕁䅍䅊㉁䅁䅁眯䅙䕁䄴䅁啂䝁䄸䅤桂䝁䅷䅉䑂䝁䄸兢瑂䝁䅕杣橂䝁䅫兙獂䍁䅁䅕桂䡁䅁党祂䍁䄸䅉啂䝁䄸䅤桂䝁䅷䅉䕂䝁䅕杙あ䍁䅁䅋汁䍁䅫䅁癄䅁䅁杣䅁䍁䅣睗呂䙁䅁睒時䕁䅍睢瑂䡁䅁兙畂䡁䅫睘䱂䝁䅕入呂䡁䅑兙あ䡁䅍睘㉂䑁䅉䅉硁䍁䄴䅥獂䡁䅍兢摂䙁䅁党畂䡁䅍兡療䝁䄴兌偂䙁䅁兒䍂䍁䅣光歁䕁䅑䅊㉁䑁䅯䅊䩂䍁䅑李䅁䅁䡁䅁䍂䅁䅁杗求䡁䅉睢杁䕁䅍睢ㅂ䡁䅁睢畂䍁䅁䅒求䝁䅉䅤癁䍁䅁䅖療䡁䅑兙獂䍁䅁䅒求䝁䅉䅤杁䍁䅧兊灁䅁䅁兢䅅䕁䅷䅁扂䕁䄰兓時䕁䅳党㕂䙁䅍䅤桂䡁䅑督時䡁䅙免畁䡁䅧䅢穂䝁䄰兘卂䝁䅅䅤灂䝁䄸督桁䍁䅑䅒歁䑁䅕杏歁䕁䅫䅊ㅁ䅁䅁睳䅍䙁䅷䅁湁䙁䅳睕兂䕁䅣睘䑂䝁䄸兢睂䝁䅅杢㕂䙁䄸睓求䡁䅫睕あ䝁䅅䅤穂䙁䄸杤祁䍁䅁免畁䡁䅧䅢穂䝁䄰兘卂䝁䅅䅤灂䝁䄸督湁䍁䅅䅊䑂䍁䅑李䅁偁䝣䅁浂䅁䅁睊扂䙁䅍䅕䡂䙁䄸睑療䝁䄰䅣桂䝁䄴入時䕁䅳党㕂䙁䅍䅤桂䡁䅑督時䡁䅙杍杁䑁䅅杌㑂䝁䅷督瑂䙁䄰杕桂䡁䅑兡療䡁䅍睊桁䍁䅑䅒歁䑁䅙杏歁䕁䅫䅊㉁䅁䅁䄫䅙䉁䅯䅁䩂䙁䅅睘佂䕁䅫睘乂䕁䅅杕䡂䕁䅫杔䅁䅁䍳䅁潁䅁䅁睒祂䝁䄸督穂䍁䅁䅕祂䝁䄸杚灂䡁䅑䅉潁䍁䅑䅍睁䑁䅁克䅁䝁䅧䅁潂䅁䅁睊扂䙁䅍䅕䡂䙁䄸睑療䝁䄰䅣桂䝁䄴入時䕁䅳党㕂䙁䅍䅤桂䡁䅑督時䡁䅙杍杁䑁䅅杌㑂䝁䅷督瑂䙁䄰睕ㅂ䡁䅁䅣獂䝁䅕兢求䝁䄴䅤桂䝁䅷睊桁䍁䅑睑歁䑁䅙䅁㝄杂䅁杣䅁䍁䅣睗呂䙁䅁睒時䕁䅍睢瑂䡁䅁兙畂䡁䅫睘䱂䝁䅕入呂䡁䅑兙あ䡁䅍睘㉂䑁䅉䅉硁䍁䄴䅥獂䡁䅍兢摂䙁䅍兤睂䡁䅁䅢求䝁䄰党畂䡁䅑兙獂䍁䅣光歁䕁䅑䅊㍁䑁䅯䅊䩂䍁䅑睎䅁偁䜴䅁坁䅁䅁䅍㕁䍁䄸免㑁䍁䄸杍睁䑁䅉䅍䅁䭁䙫䅁奂䅁䅁杔療䝁䄴䅉瑁䍁䅁睑ㅂ䡁䅉杣求䝁䄴䅤杁䕁䅅督穂䝁䅕䅤穂䍁䅁兌杁䙁䅕杌呂䍁䄴䅉䡂䕁䅅兑兂䍁䅁䅋卂䝁䅕䅣療䡁䅉䅤求䝁䅑克䅁䱁䌰䅁坁䅁䅁䅍㕁䍁䄸杍硁䍁䄸杍睁䑁䅉䅍䅁䭁䙕䅁䝁䅁䅁杍ㅁ䅁䅁杧䅙䝁䅧䅁扂䕁䄰兓時䕁䅍睢瑂䡁䅁兙畂䡁䅫睘䱂䝁䅕入呂䡁䅑兙あ䡁䅍睘㉂䑁䅅睘畁䡁䅧䅢穂䝁䄰兘䱂䝁䅕入時䙁䅍䅤桂䡁䅑督桁䍁䅑睑歁䑁䅙兎㙁䍁䅑睑歁䑁䅣免䅁䵁䕳䅁畂䅁䅁睑桂䡁䅁兡あ䝁䅅䅢杁䕁䅷睢穂䡁䅍䅉䑂䝁䅅杣祂䡁䅫杚療䡁䅉睤桂䡁䅉䅚獁䍁䅁兑浂䡁䅑党祂䍁䅁杒灂䡁䅙党杁䙁䅫党桂䡁䅉督杁䍁䅧杕求䡁䅁睢祂䡁䅑党歂䍁䅫䅁婄杁䅁杄䅁䑁䅉李㑁䑁䅙免㑁䅁䅁䅶䅉䑁䅙䅁呂䡁䅉杌杁䙁䅍兤楂䍁䄴䅉䕂䝁䅕杙あ䍁䅁睌杁䕁䅕村䩂䙁䅑䅒䉂䍁䅁䅋㑂䍁䅫䅁啃允䅁杇䅁䑁䅷材睁䑁䅍睌祁䑁䅫睌祁䑁䅁免㕁䅁䅁䅙䅁䙁䅷䅁扂䙁䅍䅕䡂䙁䄸睑療䝁䄰䅣桂䝁䄴入時䕁䅳党㕂䙁䅍䅤桂䡁䅑督時䡁䅙杍畁䡁䅧䅢穂䝁䄰兘乂䡁䅕䅢あ䝁䅫䅣獂䝁䅕督桁䍁䅑䅒歁䑁䅅睍䅁䝁䜴䅁慁䅁䅁䅐⭁䑁䅁兏癁䑁䅅兎癁䑁䅉䅍祁䑁䅁䅁权兂䅁䅔䅁䕁䅅睙橂䝁䄸兤畂䡁䅑督杁䙁䅉党橂䝁䅕兡㉂䝁䅅杙獂䝁䅕䅌杁䑁䅅䅉婂䡁䅉杌杁䕁䅣杣療䡁䅣䅤潂䍁䅁䅋汁䍁䅫䅁杁杁䅁杗䅁䙁䅳兔䩂䙁䄸睑療䝁䄰䅣桂䝁䄴入時䕁䅳党㕂䙁䅍䅤桂䡁䅑督時䡁䅙免畁䡁䅧䅢穂䝁䄰兘䱂䝁䅕入時䙁䅍䅤桂䡁䅑督桁䍁䅑兒歁䑁䅙杍䅁䩁䕍䅁䥂䅁䅁兑橂䝁䅍睢ㅂ䝁䄴䅤穂䍁䅁杕求䝁䅍党灂䡁䅙兙楂䝁䅷党獁䍁䅁杍杁䙁䅫杣畁䍁䅁睑䉂䕁䅣杕杁䍁䅧兊灁䅁䅁䅒䅉䕁䅧䅁䉂䝁䅍睙療䡁䅕杢あ䡁䅍䅉卂䝁䅕睙求䝁䅫杤桂䝁䅉䅢求䍁䅷䅉穁䍁䅁兗祂䍁䄴䅉䑂䕁䅅睒卂䍁䅁䅋汁䍁䅫䅁煂杁䅁杗䅁䙁䅳兔䩂䙁䄸睓求䡁䅫睕あ䝁䅅䅤穂䙁䄸杤硁䍁䄴䅥獂䡁䅍兢摂䕁䅉兙獂䝁䅅杢橂䝁䅕睘呂䝁䅧党求䡁䅑光歁䕁䅕䅊ㅁ䑁䅯䅊兂䍁䅑兎䅁䩁䑧䅁坂䅁䅁睑療䝁䄴䅤祂䝁䅅睙あ䡁䅕兙獂䍁䅁睔楂䝁䅷兡湂䝁䅅䅤灂䝁䄸杢穂䍁䅁䅒ㅂ䝁䅕䅉牁䍁䅁兎杁䍁䅧杕求䡁䅁睢祂䡁䅑党歂䍁䅫䅁捄允䅁䅥䅁䙁䅳睓求䡁䅫睕あ䝁䅅䅤穂䙁䄸䅤求䡁䅍䅤浂䝁䅫䅢求䍁䄴䅥獂䡁䅍兢摂䕁䅍兙睂䝁䅫䅤桂䝁䅷睘呂䡁䅑杣ㅂ䝁䅍䅤ㅂ䡁䅉党時䙁䅍兤瑂䝁䄰兙祂䡁䅫光歁䕁䅙䅊ㅁ䑁䅯䅊䭂䍁䅑兎䅁佁䅧䅁あ䅁䅁兑歂䝁䅑兡あ䝁䅫睢畂䡁䅍䅉䍂䝁䅅督求䝁䅑䅉療䝁䄴䅉啂䝁䅅䅥杁䙁䅁睢穂䝁䅫䅤灂䝁䄸杢穂䍁䅁兌杁䕁䅍兤祂䡁䅉党畂䡁䅑䅉婂䡁䅉杌杁䍁䅧杕求䡁䅁睢祂䡁䅑党歂䍁䅫䅁䡁睁䅁䅐䅁䕁䅅杤求䡁䅉兙湂䝁䅕䅉䩂䝁䄴䅤求䡁䅉党穂䡁䅑䅉卂䝁䅅䅤求䍁䅁睋杁䑁䅉䅉潁䍁䅕克䅁佁䈴䅁䵂䅁䅁䅒桂䝁䅫䅢㕂䍁䅁兑㉂䝁䅕杣桂䝁䅣党杁䙁䅉党㉂䝁䅕杢ㅂ䝁䅕䅉啂䡁䅉兙歂䝁䅕督杁䍁䅧兙橂䡁䅑兤桂䝁䅷克䅁䥁䑯䅁潁䅁䅁䅒桂䡁䅫䅉䑂䝁䅷睢穂䝁䅕䅉兂䡁䅉兡橂䝁䅕䅉潁䍁䅑克䅁䝁䅅䅁佂䅁䅁兑㉂䝁䅕杣桂䝁䅣党杁䕁䅫杢あ䝁䅕杣求䡁䅍䅤杁䙁䅉兙あ䝁䅕䅌杁䕁䅅杚あ䝁䅕杣杁䑁䅕䅉婂䡁䅉督杁䍁䅧兊灁䅁䅁䄵䅅䑁䅙䅁䑂䕁䅫兕杁䙁䅉党㉂䝁䅕杢ㅂ䝁䅕䅉䙂䡁䅍䅤杁䍁䅧杕求䡁䅁睢祂䡁䅑党歂䍁䅫䅁⭁䅁䅁杖䅁䙁䅳睕兂䕁䅣睘䑂䝁䄸兢睂䝁䅅杢㕂䙁䄸睓求䡁䅫睕あ䝁䅅䅤穂䙁䄸杤祁䍁䄴䅥獂䡁䅍兢摂䙁䅍䅡求䝁䅕䅤硁䍁䅅䅊䕂䍁䅑睎ㅁ䅁䅁睴䅙䍁䅯䅁䩂䙁䅅睘䕂䕁䅍睕時䙁䅍兒䑂䙁䅕杕䩂䙁䅑兗時䙁䅑兗兂䕁䅕䅁䭃杂䅁䅕䅁䕁䅍兓剂䍁䅁杕求䡁䅙党畂䡁䅕党杁䕁䅕督あ䍁䅁䅕求䡁䅉兡療䝁䅑䅉䙂䝁䄴䅚杁䍁䅧兢瑂䍁䄸䅚歂䍁䄸入㕂䡁䅫入灁䅁䅁䅓䅁䕁䅯䅁䑂䝁䅅䅣畁䍁䅁䅔求䝁䅅督求䍁䅁䅕桂䡁䅫兢求䝁䄴䅤杁䕁䅑兤求䍁䅁睋硁䍁䅁䅋卂䝁䅕䅣療䡁䅉䅤求䝁䅑克䅁䭁䉯䅁杂䅁䅁睔睂䡁䅑兡療䝁䄴督㙁䕁䅍兤祂䡁䅉児噂䙁䅍䅒獁䕁䄰兙湂䑁䄰兔灂䝁䅷䅢灂䝁䄸杢穂䍁䅷睑療䝁䄴杤㥁䕁䄰杕呂䡁䅁睢あ䍁䅷杔䉂䑁䄰杔䉂䅁䅁睰䅣䕁䅯䅁䑂䝁䅅䅣畁䍁䅁䅔求䝁䅅督求䍁䅁䅕桂䡁䅫兢求䝁䄴䅤杁䕁䅑兤求䍁䅁睋ぁ䍁䅁䅋卂䝁䅕䅣療䡁䅉䅤求䝁䅑克䅁䱁䉑䅁䭃䅁䅁睔睂䡁䅑兡療䝁䄴督㙁䍁䅁睑ㅂ䡁䅉杣㥁䙁䅕睕䕂䍁䅷䅉乂䝁䅅睚㥁䕁䄰兡獂䝁䅷兡療䝁䄴督獁䕁䅍睢畂䡁䅙兔求䡁䅑䅡療䝁䅑児乂䙁䅉睕睂䝁䄸䅤獁䍁䅁杔䉂䑁䄰杔䉂䍁䅷䅉啂䝁䅕杣瑂䑁䄰党畂䍁䄰兖呂䅁䅁公䅣䭁䅧䅁湁䙁䅳睑療䡁䅁入杁䝁䄸杚杁䙁䅍䅕䡂䙁䄸睑療䝁䄰䅣桂䝁䄴入時䕁䅳党㕂䙁䅍䅤桂䡁䅑督時䡁䅙免時䕁䅙兡畂䝁䅅䅢畁䡁䅧䅢穂䝁䄰兘䑂䝁䅅䅣灂䡁䅑兙獂䙁䄸睕あ䡁䅉兤橂䡁䅑兤祂䝁䅕睘呂䡁䅕兢瑂䝁䅅杣㕂䍁䅣光歁䕁䅑䅊祁䑁䅫杏歁䕁䅑䅊㍁䑁䅫䅁䕃䅃䅁杘䅁䕁䅍兙睂䍁䄴䅉䵂䝁䅕兙穂䝁䅕䅉兂䝁䅅入瑂䝁䅕杢あ䍁䅁䅒ㅂ䝁䅕䅌杁䕁䅅杚あ䝁䅕杣杁䑁䅕䅉婂䡁䅉督杁䍁䅧杕求䡁䅁睢祂䡁䅑党歂䍁䅫䅁祃允䅁䅯䅁䍁䅣睗䑂䝁䄸䅣㕂䍁䅁睢浂䍁䅁睕兂䕁䅣睘䑂䝁䄸兢睂䝁䅅杢㕂䙁䄸睓求䡁䅫睕あ䝁䅅䅤穂䙁䄸杤祁䙁䄸杢求䡁䅣杌㑂䝁䅷督瑂䙁䄰睑桂䡁䅁兡あ䝁䅅䅢時䙁䅍䅤祂䡁䅕睙あ䡁䅕杣求䙁䄸睕ㅂ䝁䄰兢桂䡁䅉入湁䍁䅅䅊䙂䍁䅑李㙁䍁䅑兕歁䑁䅙䅁䉄睂䅁䅍䅁䕁䄸䅣あ䝁䅫睢畂䡁䅍杏杁䙁䅍䅤桂䡁䅑兡穂䡁䅑兡橂䑁䄰䅓䩂䕁䅣䅓䅁䝁䝁䅁坂䅁䅁睗乂䕁䅫睘䱂䝁䅕入呂䡁䅑兙あ䡁䅍睘㉂䑁䅅杌㑂䝁䅷督瑂䙁䄰睓求䡁䅫睘呂䡁䅑兙あ䡁䅍光歁䕁䅑䅊ㅁ䑁䅑杏歁䕁䅑䅊ㅁ䑁䅕䅁㑂睁䅁䅨䅁䍁䅣睗䑂䝁䄸䅣㕂䍁䅁睢浂䍁䅁睕兂䕁䅣睘䑂䝁䄸兢睂䝁䅅杢㕂䙁䄸睓求䡁䅫睕あ䝁䅅䅤穂䙁䄸杤祁䙁䄸杢求䡁䅣杌㑂䝁䅷督瑂䙁䄰睓求䡁䅫睘呂䡁䅑兙あ䡁䅍睊桁䍁䅑䅒歁䑁䅉䅏㙁䍁䅑䅒歁䑁䅕杍䅁䍁䡷䅁捂䅁䅁睑桂䡁䅁杌杁䕁䅷党桂䡁䅍党杁䙁䅁兙㕂䝁䄰党畂䡁䅑䅉䕂䡁䅕党獁䍁䅁杔求䡁䅧䅤杁䑁䅕䅉婂䡁䅉督杁䍁䅧杕求䡁䅁睢祂䡁䅑党歂䍁䅫䅁㉃允䅁䅎䅁䕁䅫兕時䕁䅑兒䝂䕁䅕杕卂䕁䅕䅒時䕁䅙睔卂䕁䅕兓䡂䕁䄴睘啂䕁䅅䅗䙂䙁䅍䅁偃睁䅁杨䅁䙁䅳兔䩂䙁䄸睑療䝁䄰䅣桂䝁䄴入時䕁䅳党㕂䙁䅍䅤桂䡁䅑督時䡁䅙免畁䡁䅧䅢穂䝁䄰兘䑂䝁䅅䅣灂䡁䅑兙獂䙁䄸睕あ䡁䅉兤橂䡁䅑兤祂䝁䅕睘呂䡁䅕兢瑂䝁䅅杣㕂䍁䅅䅊䝂䍁䅑免硁䑁䅯䅊兂䍁䅑免硁䅁䅁睷䅕䕁䄴䅁䑂䝁䅅䅣灂䡁䅑兙獂䍁䅁兒㑂䡁䅁党畂䝁䅑兡あ䡁䅕杣求䡁䅍䅌杁䑁䅅䅉婂䡁䅉杌杁䕁䅣杣療䡁䅣䅤潂䍁䅁䅋汁䍁䅫䅁ぁ杁䅁杓䅁䕁䅍兙睂䝁䅫䅤桂䝁䅷䅉䙂䡁䅧䅣求䝁䄴䅚灂䡁䅑兤祂䝁䅕督獁䍁䅁杍杁䙁䅫杣畁䍁䅁睑䉂䕁䅣杕杁䍁䅧兊灁䅁䅁䅑䅉䉁䅷䅁䩂䙁䅅睘䩂䕁䄰䅕䉂䕁䅫杕時䕁䄸兓䵂䅁䅁䅴䅁䍁䅉䅁䩂䙁䅅睘啂䕁䅕杖時䙁䅑睔啂䕁䅅䅔時䙁䅉兒坂䅁䅁杖䅙䙁䅙䅁扂䙁䅍䅕䡂䙁䄸睑療䝁䄰䅣桂䝁䄴入時䕁䅳党㕂䙁䅍䅤桂䡁䅑督時䡁䅙杍畁䡁䅧䅢穂䝁䄰兘呂䝁䅧党求䡁䅑免桁䍁䅑兗歁䑁䅅䅏䅁䱁䜰䅁流䅁䅁兓剂䙁䄸睕噂䕁䅉睘䕂䕁䅕村啂䙁䄸兒䍂䕁䅫䅖䕂䕁䅅䅁噃允䅁杓䅁䕁䅍兙睂䝁䅫䅤桂䝁䅷䅉䙂䡁䅧䅣求䝁䄴䅚灂䡁䅑兤祂䝁䅕督獁䍁䅁兎杁䙁䅫杣畁䍁䅁睑䉂䕁䅣杕杁䍁䅧兊灁䅁䅁䅱䅉䑁䅧䅁䩂䙁䅅睘呂䙁䅉睘呂䙁䅕村時䕁䅑兒䍂䙁䅑睘䙂䕁䅉兓啂䕁䅑兑時䕁䅍兑兂䕁䅕䅗䅁䥁䉫䅁畁䅁䅁兓剂䙁䄸杔兂䙁䅁兒時䑁䅕兗卂䙁䄸兑佂䕁䄴睘䡂䙁䅉睔塂䙁䅑䅓䅁䩁䌰䅁䭂䅁䅁睗䱂䝁䅕入呂䡁䅑兙あ䡁䅍睘あ䝁䅕督あ䝁䅙兡獂䝁䅕杌㑂䝁䅷督㑂䙁䄰睕潂䝁䅕党あ䑁䅅光歁䕁䅑䅊ㅁ䑁䅕䅁敂䅁䅁杪䅁䍁䅣睗䑂䝁䄸䅣㕂䍁䅁睢浂䍁䅁睕兂䕁䅣睘䑂䝁䄸兢睂䝁䅅杢㕂䙁䄸睓求䡁䅫睕あ䝁䅅䅤穂䙁䄸杤祁䙁䄸杢求䡁䅣杌㑂䝁䅷督瑂䙁䄰兓畂䝁䅍睢瑂䝁䅕睘呂䡁䅑兙あ䝁䅕兢求䝁䄴䅤湁䍁䅅䅊䙂䍁䅑李㙁䍁䅑兕歁䑁䅙䅁歃睂䅁杚䅁䕁䅍兙睂䝁䅫䅤桂䝁䅷䅉䵂䝁䄸督穂䍁䅁睑桂䡁䅉杣㕂䝁䅙睢祂䡁䅣兙祂䝁䅑䅌杁䕁䅍兤祂䡁䅉党畂䡁䅑䅉婂䝁䅕兙祂䍁䅁䅋卂䝁䅕䅣療䡁䅉䅤求䝁䅑克䅁乁䌰䅁流䅁䅁兓剂䙁䄸睔兂䙁䅑兓偂䕁䄴睕時䕁䅣杕䉂䕁䄴䅖䙂䕁䅑䅁ぁ睁䅁䅙䅁䙁䅕杢歂䡁䅉兙㍂䝁䄴䅉䑂䡁䅉党歂䝁䅫䅤杁䙁䅁睢祂䡁䅑兡療䝁䄴䅉療䝁䅙䅉啂䝁䅕杣瑂䍁䅁䅔療䝁䅅杢穂䍁䅁䅋卂䝁䅕䅣療䡁䅉䅤求䝁䅑克䅁䅁䉫䅁捂䅁䅁睗乂䕁䅫睘䱂䝁䅕入呂䡁䅑兙あ䡁䅍睘㉂䑁䅅杌㑂䝁䅷督瑂䙁䄰睑桂䡁䅁兡あ䝁䅅䅢灂䡁䅯兙あ䝁䅫睢畂䍁䅅䅊䙂䍁䅑䅎㙁䍁䅑杓歁䑁䅑䅁敃睁䅁䅙䅁䙁䅳兔䩂䙁䄸睓求䡁䅫睕あ䝁䅅䅤穂䙁䄸杤硁䍁䄴䅥獂䡁䅍兢摂䕁䅍兙睂䝁䅫䅤桂䝁䅷兡㙂䝁䅅䅤灂䝁䄸杢桁䍁䅑兒歁䑁䅑䅏㙁䍁䅑杓歁䑁䅑䅏䅁䭁䑑䅁畂䅁䅁睑桂䡁䅁兡あ䝁䅅䅢杁䕁䅷睢穂䡁䅍䅉䑂䝁䅅杣祂䡁䅫杚療䡁䅉睤桂䡁䅉䅚獁䍁䅁睑ㅂ䡁䅉杣求䝁䄴䅤杁䙁䅫党桂䡁䅉䅉牁䍁䅁免杁䍁䅧杕求䡁䅁睢祂䡁䅑党歂䍁䅫䅁晄杁䅁䅨䅁䙁䅳兔䩂䙁䄸睑療䝁䄰䅣桂䝁䄴入時䕁䅳党㕂䙁䅍</x:t>
  </x:si>
  <x:si>
    <x:t xml:space="preserve">Total NOL Carryforward </x:t>
  </x:si>
  <x:si>
    <x:t>IQ_DAILY_AVG_REV_TRADES</x:t>
  </x:si>
  <x:si>
    <x:t>IQ_OTHER_CLIENTS_AUM</x:t>
  </x:si>
  <x:si>
    <x:t>IQ_EPS_5YR_ANN_GROWTH</x:t>
  </x:si>
  <x:si>
    <x:t>IQ_INV_5YR_ANN_GROWTH</x:t>
  </x:si>
  <x:si>
    <x:t>IQ_NI_5YR_ANN_GROWTH</x:t>
  </x:si>
  <x:si>
    <x:t>IQ_LFCF_5YR_ANN_GROWTH</x:t>
  </x:si>
  <x:si>
    <x:t>Real Estate Funds (AUM)</x:t>
  </x:si>
  <x:si>
    <x:t>Retail Clients (AUM)</x:t>
  </x:si>
  <x:si>
    <x:t>IQ_AUM_END_OF_PERIOD</x:t>
  </x:si>
  <x:si>
    <x:t>IQ_NET_CHANGE_IN_AUM</x:t>
  </x:si>
  <x:si>
    <x:t>IQ_DPS_5YR_ANN_GROWTH</x:t>
  </x:si>
  <x:si>
    <x:t>IQ_CFO_5YR_ANN_GROWTH</x:t>
  </x:si>
  <x:si>
    <x:t>IQ_MUTUAL_FUND_SALES</x:t>
  </x:si>
  <x:si>
    <x:t>Mutual Fund - Net Sales</x:t>
  </x:si>
  <x:si>
    <x:t>IQ_NUM_TRADES_EXECUTED</x:t>
  </x:si>
  <x:si>
    <x:t>IQ_NPPE_5YR_ANN_GROWTH</x:t>
  </x:si>
  <x:si>
    <x:t>IQ_CAP_LOSS_CF_NO_EXP</x:t>
  </x:si>
  <x:si>
    <x:t>IQ_CAP_LOSS_CF_TOTAL</x:t>
  </x:si>
  <x:si>
    <x:t>IQ_TAX_BENEFIT_CF_1YR</x:t>
  </x:si>
  <x:si>
    <x:t>IQ_TAX_BENEFIT_CF_2YR</x:t>
  </x:si>
  <x:si>
    <x:t>IQ_CAPEX_5YR_ANN_GROWTH</x:t>
  </x:si>
  <x:si>
    <x:t>IQ_TBV_5YR_ANN_GROWTH</x:t>
  </x:si>
  <x:si>
    <x:t>IQ_RETAIL_CLIENTS_AUM</x:t>
  </x:si>
  <x:si>
    <x:t>IQ_AVG_REV_PER_TRADE</x:t>
  </x:si>
  <x:si>
    <x:t>IQ_EBIT_5YR_ANN_GROWTH</x:t>
  </x:si>
  <x:si>
    <x:t>IQ_UFCF_5YR_ANN_GROWTH</x:t>
  </x:si>
  <x:si>
    <x:t>Assets Under Management</x:t>
  </x:si>
  <x:si>
    <x:t>AUM Beginning of Period</x:t>
  </x:si>
  <x:si>
    <x:t>AUM Other Adjustments</x:t>
  </x:si>
  <x:si>
    <x:t>Net New Client Assets</x:t>
  </x:si>
  <x:si>
    <x:t>IQ_NOL_CF_AFTER_FIVE</x:t>
  </x:si>
  <x:si>
    <x:t>IQ_OPTIONS_CANCELLED</x:t>
  </x:si>
  <x:si>
    <x:t>British Pound Sterling</x:t>
  </x:si>
  <x:si>
    <x:t>IQ_OPTIONS_EXERCISED</x:t>
  </x:si>
  <x:si>
    <x:t>IQ_TAX_BENEFIT_CF_3YR</x:t>
  </x:si>
  <x:si>
    <x:t>Employer Contributions</x:t>
  </x:si>
  <x:si>
    <x:t>IQ_PENSION_ASSETS_ACQ</x:t>
  </x:si>
  <x:si>
    <x:t>Plan Assets - Equities</x:t>
  </x:si>
  <x:si>
    <x:t>IQ_PENSION_BREAKDOWN_EQ</x:t>
  </x:si>
  <x:si>
    <x:t>IQ_TAX_BENEFIT_CF_4YR</x:t>
  </x:si>
  <x:si>
    <x:t>IQ_PENSION_BREAKDOWN_FI</x:t>
  </x:si>
  <x:si>
    <x:t>IQ_TOTAL_OPTIONS_END_OS</x:t>
  </x:si>
  <x:si>
    <x:t>Other Plan Adjustments</x:t>
  </x:si>
  <x:si>
    <x:t>IQ_PENSION_ASSETS_BEG</x:t>
  </x:si>
  <x:si>
    <x:t>IQ_PENSION_BREAKDOWN_RE</x:t>
  </x:si>
  <x:si>
    <x:t>IQ_TOTAL_OPTIONS_BEG_OS</x:t>
  </x:si>
  <x:si>
    <x:t>OPTIONS AND WARRANTS</x:t>
  </x:si>
  <x:si>
    <x:t>IQ_TAX_BENEFIT_CF_5YR</x:t>
  </x:si>
  <x:si>
    <x:t>IQ_WARRANTS_EXERCISED</x:t>
  </x:si>
  <x:si>
    <x:t>IQ_PENSION_SERVICE_COST</x:t>
  </x:si>
  <x:si>
    <x:t>IQ_TAX_BENEFIT_CF_TOTAL</x:t>
  </x:si>
  <x:si>
    <x:t>Def. Benefit Total Cost</x:t>
  </x:si>
  <x:si>
    <x:t>IQ_WARRANTS_CANCELLED</x:t>
  </x:si>
  <x:si>
    <x:t>IQ_PENSION_TOTAL_EXP</x:t>
  </x:si>
  <x:si>
    <x:t>Def. Benefit Other Cost</x:t>
  </x:si>
  <x:si>
    <x:t>Def. Contribution Cost</x:t>
  </x:si>
  <x:si>
    <x:t>Foreign Exchange Adj.</x:t>
  </x:si>
  <x:si>
    <x:t>Acq. Benefit Obligation</x:t>
  </x:si>
  <x:si>
    <x:t>Chinese Yuan Renminbi</x:t>
  </x:si>
  <x:si>
    <x:t>Total Pension Expense</x:t>
  </x:si>
  <x:si>
    <x:t>Acquired Plan Assets</x:t>
  </x:si>
  <x:si>
    <x:t>Other Plan Assets (%)</x:t>
  </x:si>
  <x:si>
    <x:t>IQ_OPEB_CI_TRANSITION</x:t>
  </x:si>
  <x:si>
    <x:t>IQ_OPEB_BREAKDOWN_EQ</x:t>
  </x:si>
  <x:si>
    <x:t>IQ_OPEB_ACCRUED_LIAB</x:t>
  </x:si>
  <x:si>
    <x:t>IQ_OPEB_INTAN_ASSETS</x:t>
  </x:si>
  <x:si>
    <x:t>IQ_PENSION_OTHER_ADJ</x:t>
  </x:si>
  <x:si>
    <x:t>Long Term Liabilities</x:t>
  </x:si>
  <x:si>
    <x:t>Prepaid Benefit Cost</x:t>
  </x:si>
  <x:si>
    <x:t>IQ_PENSION_PREPAID_COST</x:t>
  </x:si>
  <x:si>
    <x:t>IQ_OPEB_INTEREST_COST</x:t>
  </x:si>
  <x:si>
    <x:t>Most Recent Spot Rate</x:t>
  </x:si>
  <x:si>
    <x:t>IQ_OPEB_OBLIGATION_BEG</x:t>
  </x:si>
  <x:si>
    <x:t>IQ_PENSION_INTAN_ASSETS</x:t>
  </x:si>
  <x:si>
    <x:t>IQ_OPEB_OBLIGATION_ACQ</x:t>
  </x:si>
  <x:si>
    <x:t>IQ_OPEB_ASSETS_FX_ADJ</x:t>
  </x:si>
  <x:si>
    <x:t>IQ_PENSION_LT_ASSETS</x:t>
  </x:si>
  <x:si>
    <x:t>IQ_OPEB_DISC_RATE_MIN</x:t>
  </x:si>
  <x:si>
    <x:t>IQ_OPEB_DISC_RATE_MAX</x:t>
  </x:si>
  <x:si>
    <x:t>IQ_OPEB_BREAKDOWN_OTHER</x:t>
  </x:si>
  <x:si>
    <x:t>IQ_OPEB_EST_BENEFIT_1YR</x:t>
  </x:si>
  <x:si>
    <x:t>IQ_OPEB_BREAKDOWN_FI</x:t>
  </x:si>
  <x:si>
    <x:t>IQ_OPEB_EST_BENEFIT_2YR</x:t>
  </x:si>
  <x:si>
    <x:t>IQ_OPEB_EST_BENEFIT_5YR</x:t>
  </x:si>
  <x:si>
    <x:t>IQ_OPEB_AMT_RECOG_NEXT</x:t>
  </x:si>
  <x:si>
    <x:t>IQ_PENSION_ACCRUED_LIAB</x:t>
  </x:si>
  <x:si>
    <x:t>IQ_OPEB_TRANSITION_NEXT</x:t>
  </x:si>
  <x:si>
    <x:t>IQ_OPEB_OBLIGATION_PAID</x:t>
  </x:si>
  <x:si>
    <x:t>IQ_OPEB_BREAKDOWN_RE</x:t>
  </x:si>
  <x:si>
    <x:t>IQ_OPEB_EST_BENEFIT_3YR</x:t>
  </x:si>
  <x:si>
    <x:t>IQ_OPEB_ASSETS_CURTAIL</x:t>
  </x:si>
  <x:si>
    <x:t>IQ_OPEB_EST_BENEFIT_4YR</x:t>
  </x:si>
  <x:si>
    <x:t>IQ_OPEB_SERVICE_COST</x:t>
  </x:si>
  <x:si>
    <x:t>IQ_OPEB_PREPAID_COST</x:t>
  </x:si>
  <x:si>
    <x:t>IQ_OPEB_ASSETS_ACQ_DOM</x:t>
  </x:si>
  <x:si>
    <x:t>IQ_OPEB_OTHER_FOREIGN</x:t>
  </x:si>
  <x:si>
    <x:t>TEV/Total Revenue (x)</x:t>
  </x:si>
  <x:si>
    <x:t>IQ_GAIN_BARGAIN_ACQ_IS</x:t>
  </x:si>
  <x:si>
    <x:t>IQ_OPEB_EXP_RETURN_DOM</x:t>
  </x:si>
  <x:si>
    <x:t>IQ_OPEB_LT_ASSETS_DOM</x:t>
  </x:si>
  <x:si>
    <x:t>IQ_OPEB_ASSETS_FOREIGN</x:t>
  </x:si>
  <x:si>
    <x:t>IQ_GAIN_BARGAIN_ACQ_CF</x:t>
  </x:si>
  <x:si>
    <x:t>IQ_PENSION_CL_FOREIGN</x:t>
  </x:si>
  <x:si>
    <x:t>IQ_PENSION_ACT_NEXT_DOM</x:t>
  </x:si>
  <x:si>
    <x:t xml:space="preserve">Foreign Exchange Adj. </x:t>
  </x:si>
  <x:si>
    <x:t xml:space="preserve">Other Plan Adjustments </x:t>
  </x:si>
  <x:si>
    <x:t>IQ_OPEB_ACCUM_OTHER_CI</x:t>
  </x:si>
  <x:si>
    <x:t>IQ_PENSION_ASSETS_DOM</x:t>
  </x:si>
  <x:si>
    <x:t xml:space="preserve">Prepaid Benefit Cost </x:t>
  </x:si>
  <x:si>
    <x:t>IQ_PENSION_OTHER_DOM</x:t>
  </x:si>
  <x:si>
    <x:t>IQ_OPEB_OTHER_ADJ_DOM</x:t>
  </x:si>
  <x:si>
    <x:t>IQ_OPEB_LT_LIAB_FOREIGN</x:t>
  </x:si>
  <x:si>
    <x:t>IQ_OPEB_UNRECOG_PRIOR</x:t>
  </x:si>
  <x:si>
    <x:t>IQ_OPEB_TOTAL_COST_DOM</x:t>
  </x:si>
  <x:si>
    <x:t>IQ_OPEB_OTHER_COST_DOM</x:t>
  </x:si>
  <x:si>
    <x:t>IQ_OPEB_CI_ACT_FOREIGN</x:t>
  </x:si>
  <x:si>
    <x:t>Price/Tangible BV(x)</x:t>
  </x:si>
  <x:si>
    <x:t>Total Non-Current Debt</x:t>
  </x:si>
  <x:si>
    <x:t>IQ_PENSION_CI_ACT_DOM</x:t>
  </x:si>
  <x:si>
    <x:t>IQ_PENSION_LT_LIAB_DOM</x:t>
  </x:si>
  <x:si>
    <x:t xml:space="preserve">Employer Contributions </x:t>
  </x:si>
  <x:si>
    <x:t>IQ_OPEB_NET_ASSET_RECOG</x:t>
  </x:si>
  <x:si>
    <x:t xml:space="preserve">Plan Assets - Equities </x:t>
  </x:si>
  <x:si>
    <x:t xml:space="preserve">Acquired Plan Assets </x:t>
  </x:si>
  <x:si>
    <x:t>IQ_OPEB_ASSETS_BEG_DOM</x:t>
  </x:si>
  <x:si>
    <x:t>Key Stats - Standard</x:t>
  </x:si>
  <x:si>
    <x:t>Restructuring Charges</x:t>
  </x:si>
  <x:si>
    <x:t>In Process R &amp; D Exp.</x:t>
  </x:si>
  <x:si>
    <x:t>IQ_MERGER_RESTRUCTURE</x:t>
  </x:si>
  <x:si>
    <x:t>Insurance Settlements</x:t>
  </x:si>
  <x:si>
    <x:t>Unusual Items, Total</x:t>
  </x:si>
  <x:si>
    <x:t>EBT Incl Unusual Items</x:t>
  </x:si>
  <x:si>
    <x:t>Net Income to Company</x:t>
  </x:si>
  <x:si>
    <x:t>Net Income to Parent</x:t>
  </x:si>
  <x:si>
    <x:t>IQ_AVG_BASIC_SHARES_OUT</x:t>
  </x:si>
  <x:si>
    <x:t>IQ_AVG_DILUT_SHARES_OUT</x:t>
  </x:si>
  <x:si>
    <x:t xml:space="preserve">Normalized Basic EPS </x:t>
  </x:si>
  <x:si>
    <x:t xml:space="preserve">Normalized Diluted EPS </x:t>
  </x:si>
  <x:si>
    <x:t xml:space="preserve">Dividends per Share </x:t>
  </x:si>
  <x:si>
    <x:t>Impairment of Goodwill</x:t>
  </x:si>
  <x:si>
    <x:t>EBT Excl Unusual Items</x:t>
  </x:si>
  <x:si>
    <x:t>Market Capitalization</x:t>
  </x:si>
  <x:si>
    <x:t>= Market Capitalization</x:t>
  </x:si>
  <x:si>
    <x:t>Depreciation &amp; Amort.</x:t>
  </x:si>
  <x:si>
    <x:t>Finance Div. Revenue</x:t>
  </x:si>
  <x:si>
    <x:t>IQ_EPS_1YR_ANN_GROWTH</x:t>
  </x:si>
  <x:si>
    <x:t>IQ_MINORITY_INTEREST</x:t>
  </x:si>
  <x:si>
    <x:t>IQ_EARNINGS_CONT_OPS</x:t>
  </x:si>
  <x:si>
    <x:t>IQ_TOTAL_PREF_EQUITY</x:t>
  </x:si>
  <x:si>
    <x:t>SP_TEV_TOTAL_REV_FWD</x:t>
  </x:si>
  <x:si>
    <x:t>Insurance Div. Revenue</x:t>
  </x:si>
  <x:si>
    <x:t>Provision for Bad Debts</x:t>
  </x:si>
  <x:si>
    <x:t>IQ_INTEREST_INVEST_INC</x:t>
  </x:si>
  <x:si>
    <x:t>x Shares Outstanding</x:t>
  </x:si>
  <x:si>
    <x:t>IQ_TOTAL_COMMON_EQUITY</x:t>
  </x:si>
  <x:si>
    <x:t>IQ_OTHER_UNUSUAL_SUPPL</x:t>
  </x:si>
  <x:si>
    <x:t>IQ_STOCK_BASED_COMP_TAX</x:t>
  </x:si>
  <x:si>
    <x:t>Short Term Investments</x:t>
  </x:si>
  <x:si>
    <x:t>IQ_DEFERRED_TAXES_TOTAL</x:t>
  </x:si>
  <x:si>
    <x:t>EBITDA, Lease Adjusted</x:t>
  </x:si>
  <x:si>
    <x:t>Current Domestic Taxes</x:t>
  </x:si>
  <x:si>
    <x:t>Deferred Foreign Taxes</x:t>
  </x:si>
  <x:si>
    <x:t>Normalized Net Income</x:t>
  </x:si>
  <x:si>
    <x:t>IQ_STOCK_BASED_OTHER</x:t>
  </x:si>
  <x:si>
    <x:t>IQ_RESTATEMENT_TYPE_IS</x:t>
  </x:si>
  <x:si>
    <x:t>Deferred Domestic Taxes</x:t>
  </x:si>
  <x:si>
    <x:t>Total Deferred Taxes</x:t>
  </x:si>
  <x:si>
    <x:t>IQ_CALCULATION_TYPE_IS</x:t>
  </x:si>
  <x:si>
    <x:t>IQ_EBIT_EQ_INC_EXCL_SBC</x:t>
  </x:si>
  <x:si>
    <x:t>Current Foreign Taxes</x:t>
  </x:si>
  <x:si>
    <x:t>IQ_CURR_FOREIGN_TAXES</x:t>
  </x:si>
  <x:si>
    <x:t>IQ_CAPITALIZED_INTEREST</x:t>
  </x:si>
  <x:si>
    <x:t>Effective Tax Rate (%)</x:t>
  </x:si>
  <x:si>
    <x:t>IQ_DISTRIBUTABLE_CASH</x:t>
  </x:si>
  <x:si>
    <x:t>IQ_CURRENCY_FINANCIALS</x:t>
  </x:si>
  <x:si>
    <x:t>Interest Capitalized</x:t>
  </x:si>
  <x:si>
    <x:t>IQ_SPECIAL_DIV_SHARE</x:t>
  </x:si>
  <x:si>
    <x:t>IQ_NONCASH_PENSION_EXP</x:t>
  </x:si>
  <x:si>
    <x:t>IQ_COMMON_DIV_DECLARED</x:t>
  </x:si>
  <x:si>
    <x:t>Stock-Based Comp., COGS</x:t>
  </x:si>
  <x:si>
    <x:t>IQ_STOCK_OPTIONS_COMP</x:t>
  </x:si>
  <x:si>
    <x:t>IQ_CURR_DOMESTIC_TAXES</x:t>
  </x:si>
  <x:si>
    <x:t>IQ_NET_RENTAL_EXP_FN</x:t>
  </x:si>
  <x:si>
    <x:t>Cash And Equivalents</x:t>
  </x:si>
  <x:si>
    <x:t>IQ_STOCK_BASED_TOTAL</x:t>
  </x:si>
  <x:si>
    <x:t>IQ_RESTR_STOCK_COMP_TAX</x:t>
  </x:si>
  <x:si>
    <x:t>IQ_UNEARN_REV_CURRENT</x:t>
  </x:si>
  <x:si>
    <x:t>IQ_DEF_TAX_LIAB_CURRENT</x:t>
  </x:si>
  <x:si>
    <x:t xml:space="preserve">    Total Pref. Equity</x:t>
  </x:si>
  <x:si>
    <x:t>Right-of-Use Asset-Net</x:t>
  </x:si>
  <x:si>
    <x:t>IQ_TOTAL_LIAB_EQUITY</x:t>
  </x:si>
  <x:si>
    <x:t>Finance Leases, Current</x:t>
  </x:si>
  <x:si>
    <x:t>Total Finance Leases</x:t>
  </x:si>
  <x:si>
    <x:t>Deferred Charges, LT</x:t>
  </x:si>
  <x:si>
    <x:t>IQ_RETAINED_EARNINGS</x:t>
  </x:si>
  <x:si>
    <x:t>IQ_TOTAL_FINANCE_LEASES</x:t>
  </x:si>
  <x:si>
    <x:t>Total Operating Leases</x:t>
  </x:si>
  <x:si>
    <x:t>IQ_AD_EXCL_OPER_LEASES</x:t>
  </x:si>
  <x:si>
    <x:t xml:space="preserve">Tangible Book Value </x:t>
  </x:si>
  <x:si>
    <x:t>Other Long-Term Assets</x:t>
  </x:si>
  <x:si>
    <x:t>Total Intangible Assets</x:t>
  </x:si>
  <x:si>
    <x:t>Short-term Borrowings</x:t>
  </x:si>
  <x:si>
    <x:t>Long-term Investments</x:t>
  </x:si>
  <x:si>
    <x:t>IQ_CURRENT_PORT_DEBT</x:t>
  </x:si>
  <x:si>
    <x:t xml:space="preserve">    Total Liabilities</x:t>
  </x:si>
  <x:si>
    <x:t>IQ_TOTAL_OPER_LEASES</x:t>
  </x:si>
  <x:si>
    <x:t>Pref. Stock, Redeemable</x:t>
  </x:si>
  <x:si>
    <x:t>Other Current Assets</x:t>
  </x:si>
  <x:si>
    <x:t>Total Current Assets</x:t>
  </x:si>
  <x:si>
    <x:t>IQ_DEF_TAX_ASSETS_LT</x:t>
  </x:si>
  <x:si>
    <x:t>IQ_FIN_DIV_LIAB_CURRENT</x:t>
  </x:si>
  <x:si>
    <x:t>IQ_ACCUM_DEPRECIATION</x:t>
  </x:si>
  <x:si>
    <x:t>IQ_FIN_DIV_DEBT_CURRENT</x:t>
  </x:si>
  <x:si>
    <x:t>Deferred Tax Assets, LT</x:t>
  </x:si>
  <x:si>
    <x:t>IQ_FIN_DIV_ASSETS_LT</x:t>
  </x:si>
  <x:si>
    <x:t>IQ_CURRENT_PORT_LEASES</x:t>
  </x:si>
  <x:si>
    <x:t>IQ_INC_TAX_PAY_CURRENT</x:t>
  </x:si>
  <x:si>
    <x:t>IQ_FIN_DIV_CASH_EQUIV</x:t>
  </x:si>
  <x:si>
    <x:t>IQ_MINORITY_INTEREST_CF</x:t>
  </x:si>
  <x:si>
    <x:t>IQ_INTERCOMPANY_NON_CA</x:t>
  </x:si>
  <x:si>
    <x:t>Fair Value of Assets</x:t>
  </x:si>
  <x:si>
    <x:t>IQ_LIABILITIES_LEVEL_3</x:t>
  </x:si>
  <x:si>
    <x:t>IQ_ST_DEBT_DERIVATIVES</x:t>
  </x:si>
  <x:si>
    <x:t>IQ_ASSET_WRITEDOWN_CF</x:t>
  </x:si>
  <x:si>
    <x:t>IQ_TAX_BENEFIT_OPTIONS</x:t>
  </x:si>
  <x:si>
    <x:t>IQ_DEBT_EQUIV_NET_PBO</x:t>
  </x:si>
  <x:si>
    <x:t>Raw Materials Inventory</x:t>
  </x:si>
  <x:si>
    <x:t>IQ_LIABILITIES_LEVEL_1</x:t>
  </x:si>
  <x:si>
    <x:t>IQ_DERIVATIVE_ASSETS_LT</x:t>
  </x:si>
  <x:si>
    <x:t>IQ_LIABILITIES_LEVEL_2</x:t>
  </x:si>
  <x:si>
    <x:t>IQ_LT_DEBT_DERIVATIVES</x:t>
  </x:si>
  <x:si>
    <x:t>IQ_INTERCOMPANY_NON_CL</x:t>
  </x:si>
  <x:si>
    <x:t>Leasehold Improvements</x:t>
  </x:si>
  <x:si>
    <x:t>IQ_TOTAL_DEBT_CURRENT</x:t>
  </x:si>
  <x:si>
    <x:t>Gross Intangible Assets</x:t>
  </x:si>
  <x:si>
    <x:t>IQ_LT_MARK_SECURITIES</x:t>
  </x:si>
  <x:si>
    <x:t>IQ_TOTAL_DEBT_EXCL_FIN</x:t>
  </x:si>
  <x:si>
    <x:t>IQ_ASSETS_FAIR_VALUE</x:t>
  </x:si>
  <x:si>
    <x:t>IQ_FIN_DIV_DEBT_TOTAL</x:t>
  </x:si>
  <x:si>
    <x:t>IQ_FIN_DIV_ST_INVEST</x:t>
  </x:si>
  <x:si>
    <x:t>IQ_GROSS_INTAN_ASSETS</x:t>
  </x:si>
  <x:si>
    <x:t>IQ_ACCUM_AMORT_INTAN_GW</x:t>
  </x:si>
  <x:si>
    <x:t>Advances for Supplies</x:t>
  </x:si>
  <x:si>
    <x:t>Total Capitalization</x:t>
  </x:si>
  <x:si>
    <x:t>IQ_RESTATEMENT_TYPE_BS</x:t>
  </x:si>
  <x:si>
    <x:t>IQ_CALCULATION_TYPE_BS</x:t>
  </x:si>
  <x:si>
    <x:t>IQ_GW_INTAN_AMORT_CF</x:t>
  </x:si>
  <x:si>
    <x:t>IQ_PROV_BAD_DEBTS_CF</x:t>
  </x:si>
  <x:si>
    <x:t>Common Dividends Paid</x:t>
  </x:si>
  <x:si>
    <x:t>Pref. Dividends Paid</x:t>
  </x:si>
  <x:si>
    <x:t>IQ_RESTATEMENT_TYPE_CF</x:t>
  </x:si>
  <x:si>
    <x:t>Change In Inventories</x:t>
  </x:si>
  <x:si>
    <x:t>Issuance of Pref. Stock</x:t>
  </x:si>
  <x:si>
    <x:t>Total Dividends Paid</x:t>
  </x:si>
  <x:si>
    <x:t>Repurchase of Common</x:t>
  </x:si>
  <x:si>
    <x:t>IQ_TOTAL_DIV_PAID_CF</x:t>
  </x:si>
  <x:si>
    <x:t>Change in Acc. Payable</x:t>
  </x:si>
  <x:si>
    <x:t>IQ_OTHER_FINANCE_ACT</x:t>
  </x:si>
  <x:si>
    <x:t>IQ_SALE_REAL_ESTATE_CF</x:t>
  </x:si>
  <x:si>
    <x:t xml:space="preserve">Levered Free Cash Flow </x:t>
  </x:si>
  <x:si>
    <x:t>TEV / LTM Total Revenue</x:t>
  </x:si>
  <x:si>
    <x:t>TEV / NTM Total Revenue</x:t>
  </x:si>
  <x:si>
    <x:t>TEV / LTM Unlevered FCF</x:t>
  </x:si>
  <x:si>
    <x:t>IQ_TOTAL_DEBT_ISSUED</x:t>
  </x:si>
  <x:si>
    <x:t>Change in Unearned Rev.</x:t>
  </x:si>
  <x:si>
    <x:t>Change in Inc. Taxes</x:t>
  </x:si>
  <x:si>
    <x:t>Repurchase of Preferred</x:t>
  </x:si>
  <x:si>
    <x:t>Misc. Cash Flow Adj.</x:t>
  </x:si>
  <x:si>
    <x:t>Short Term Debt Issued</x:t>
  </x:si>
  <x:si>
    <x:t>IQ_CHANGE_UNEARN_REV</x:t>
  </x:si>
  <x:si>
    <x:t>IQ_INVEST_SECURITY_CF</x:t>
  </x:si>
  <x:si>
    <x:t>IQ_COMMON_PREF_DIV_CF</x:t>
  </x:si>
  <x:si>
    <x:t>IQ_CALCULATION_TYPE_CF</x:t>
  </x:si>
  <x:si>
    <x:t>Long-Term Debt Repaid</x:t>
  </x:si>
  <x:si>
    <x:t>Change in Def. Taxes</x:t>
  </x:si>
  <x:si>
    <x:t>Special Dividend Paid</x:t>
  </x:si>
  <x:si>
    <x:t>Short Term Debt Repaid</x:t>
  </x:si>
  <x:si>
    <x:t>Long-Term Debt Issued</x:t>
  </x:si>
  <x:si>
    <x:t>IQ_TOTAL_DEBT_REPAID</x:t>
  </x:si>
  <x:si>
    <x:t>IQ_SECOND_LIEN_DEBT_PCT</x:t>
  </x:si>
  <x:si>
    <x:t>IQ_NONRECOURSE_DEBT_PCT</x:t>
  </x:si>
  <x:si>
    <x:t>IQ_FIXED_RATE_DEBT_PCT</x:t>
  </x:si>
  <x:si>
    <x:t>IQ_ZERO_COUPON_DEBT_PCT</x:t>
  </x:si>
  <x:si>
    <x:t>IQ_VARIABLE_RATE_DEBT</x:t>
  </x:si>
  <x:si>
    <x:t>IQ_CAPITAL_LEASES_TOTAL</x:t>
  </x:si>
  <x:si>
    <x:t>Senior Secured Loans</x:t>
  </x:si>
  <x:si>
    <x:t>Total Debt / EBITDA (x)</x:t>
  </x:si>
  <x:si>
    <x:t>Net Debt / EBITDA (x)</x:t>
  </x:si>
  <x:si>
    <x:t>IQ_SR_SUB_DEBT_EBITDA</x:t>
  </x:si>
  <x:si>
    <x:t>IQ_TRUST_PREFERRED_PCT</x:t>
  </x:si>
  <x:si>
    <x:t>IQ_SR_DEBT_EBITDA_CAPEX</x:t>
  </x:si>
  <x:si>
    <x:t>IQ_SR_BONDS_NOTES_PCT</x:t>
  </x:si>
  <x:si>
    <x:t>IQ_SUB_BONDS_NOTES_PCT</x:t>
  </x:si>
  <x:si>
    <x:t xml:space="preserve"> Total Debt Outstanding</x:t>
  </x:si>
  <x:si>
    <x:t>IQ_TOTAL_SUB_DEBT_PCT</x:t>
  </x:si>
  <x:si>
    <x:t>IQ_TOTAL_PRINCIPAL_PCT</x:t>
  </x:si>
  <x:si>
    <x:t xml:space="preserve">Total Common Equity </x:t>
  </x:si>
  <x:si>
    <x:t>Total Undrawn Credit</x:t>
  </x:si>
  <x:si>
    <x:t>IQ_SECURITIZED_DEBT_PCT</x:t>
  </x:si>
  <x:si>
    <x:t>IQ_SECOND_LIEN_LOANS</x:t>
  </x:si>
  <x:si>
    <x:t>IQ_UNSECURED_DEBT_PCT</x:t>
  </x:si>
  <x:si>
    <x:t>SP_MKTCAP_TOTAL_REV_FWD</x:t>
  </x:si>
  <x:si>
    <x:t>IQ_MARKETCAP_EBT_EXCL</x:t>
  </x:si>
  <x:si>
    <x:t xml:space="preserve">Total Preferred Equity </x:t>
  </x:si>
  <x:si>
    <x:t>IQ_UNAMORT_PREMIUM_PCT</x:t>
  </x:si>
  <x:si>
    <x:t>IQ_MARKETCAP_TOTAL_REV</x:t>
  </x:si>
  <x:si>
    <x:t xml:space="preserve">Total Principal Due </x:t>
  </x:si>
  <x:si>
    <x:t>IQ_UNDRAWN_SECURITIZED</x:t>
  </x:si>
  <x:si>
    <x:t>IQ_SR_SECURED_LOANS_PCT</x:t>
  </x:si>
  <x:si>
    <x:t>IQ_TOTAL_SR_SECURED_PCT</x:t>
  </x:si>
  <x:si>
    <x:t xml:space="preserve">Senior Bonds and Notes </x:t>
  </x:si>
  <x:si>
    <x:t>Sub. Debt / EBITDA (x)</x:t>
  </x:si>
  <x:si>
    <x:t>IQ_SUB_LEASE_INC_CY4</x:t>
  </x:si>
  <x:si>
    <x:t>IQ_SUB_LEASE_NEXT_FIVE</x:t>
  </x:si>
  <x:si>
    <x:t>Gross Profit Margin (%)</x:t>
  </x:si>
  <x:si>
    <x:t>IQ_LTD_DUE_NEXT_FIVE</x:t>
  </x:si>
  <x:si>
    <x:t>IQ_SUB_LEASE_INC_CY1</x:t>
  </x:si>
  <x:si>
    <x:t xml:space="preserve">Sub-Lease Income +4 </x:t>
  </x:si>
  <x:si>
    <x:t>IQ_FIXED_ASSET_TURNS</x:t>
  </x:si>
  <x:si>
    <x:t>IQ_SUB_LEASE_INC_CY3</x:t>
  </x:si>
  <x:si>
    <x:t>SHORT-TERM LIQUIDITY</x:t>
  </x:si>
  <x:si>
    <x:t>Return on Capital (%)</x:t>
  </x:si>
  <x:si>
    <x:t>IQ_SUB_LEASE_INC_CY2</x:t>
  </x:si>
  <x:si>
    <x:t>IQ_NI_AVAIL_EXCL_MARGIN</x:t>
  </x:si>
  <x:si>
    <x:t>IQ_EARNING_CO_MARGIN</x:t>
  </x:si>
  <x:si>
    <x:t xml:space="preserve">Sub-Lease Income +5 </x:t>
  </x:si>
  <x:si>
    <x:t>IQ_DAYS_INVENTORY_OUT</x:t>
  </x:si>
  <x:si>
    <x:t>FIXED PAYMENT SCHEDULE</x:t>
  </x:si>
  <x:si>
    <x:t>Return on Assets (%)</x:t>
  </x:si>
  <x:si>
    <x:t>Return on Equity (%)</x:t>
  </x:si>
  <x:si>
    <x:t>Inventory Turnover (x)</x:t>
  </x:si>
  <x:si>
    <x:t>Total Debt / Equity (%)</x:t>
  </x:si>
  <x:si>
    <x:t>Net Income Margin (%)</x:t>
  </x:si>
  <x:si>
    <x:t>IQ_SUB_LEASE_AFTER_FIVE</x:t>
  </x:si>
  <x:si>
    <x:t>IQ_WTD_AVG_IR_LT_DEBT</x:t>
  </x:si>
  <x:si>
    <x:t>IQ_CL_DUE_AFTER_FIVE</x:t>
  </x:si>
  <x:si>
    <x:t xml:space="preserve">Sub-Lease Income +2 </x:t>
  </x:si>
  <x:si>
    <x:t>IQ_OL_COMM_AFTER_FIVE</x:t>
  </x:si>
  <x:si>
    <x:t>IQ_OL_COMM_NEXT_FIVE</x:t>
  </x:si>
  <x:si>
    <x:t>IQ_LTD_DUE_AFTER_FIVE</x:t>
  </x:si>
  <x:si>
    <x:t xml:space="preserve">Sub-Lease Income +1 </x:t>
  </x:si>
  <x:si>
    <x:t xml:space="preserve">Sub-Lease Income +3 </x:t>
  </x:si>
  <x:si>
    <x:t>IQ_JR_SUB_DEBT_EBITDA</x:t>
  </x:si>
  <x:si>
    <x:t>IQ_CAPEX_2YR_ANN_GROWTH</x:t>
  </x:si>
  <x:si>
    <x:t>IQ_EBITA_1YR_ANN_GROWTH</x:t>
  </x:si>
  <x:si>
    <x:t>IQ_UFCF_1YR_ANN_GROWTH</x:t>
  </x:si>
  <x:si>
    <x:t>IQ_LFCF_2YR_ANN_GROWTH</x:t>
  </x:si>
  <x:si>
    <x:t>IQ_INV_1YR_ANN_GROWTH</x:t>
  </x:si>
  <x:si>
    <x:t>IQ_UFCF_2YR_ANN_GROWTH</x:t>
  </x:si>
  <x:si>
    <x:t>IQ_DPS_2YR_ANN_GROWTH</x:t>
  </x:si>
  <x:si>
    <x:t>IQ_CAPEX_1YR_ANN_GROWTH</x:t>
  </x:si>
  <x:si>
    <x:t>GROWTH OVER PRIOR YEAR</x:t>
  </x:si>
  <x:si>
    <x:t>IQ_EBIT_2YR_ANN_GROWTH</x:t>
  </x:si>
  <x:si>
    <x:t>IQ_GP_2YR_ANN_GROWTH</x:t>
  </x:si>
  <x:si>
    <x:t>IQ_NPPE_1YR_ANN_GROWTH</x:t>
  </x:si>
  <x:si>
    <x:t>IQ_NI_2YR_ANN_GROWTH</x:t>
  </x:si>
  <x:si>
    <x:t>IQ_TBV_2YR_ANN_GROWTH</x:t>
  </x:si>
  <x:si>
    <x:t>IQ_LT_DEBT_TO_EQUITY</x:t>
  </x:si>
  <x:si>
    <x:t>IQ_GP_1YR_ANN_GROWTH</x:t>
  </x:si>
  <x:si>
    <x:t>IQ_EPS_2YR_ANN_GROWTH</x:t>
  </x:si>
  <x:si>
    <x:t>IQ_LFCF_1YR_ANN_GROWTH</x:t>
  </x:si>
  <x:si>
    <x:t>Accounts Receivable (%)</x:t>
  </x:si>
  <x:si>
    <x:t>IQ_DPS_1YR_ANN_GROWTH</x:t>
  </x:si>
  <x:si>
    <x:t>IQ_EBITA_2YR_ANN_GROWTH</x:t>
  </x:si>
  <x:si>
    <x:t>IQ_CFO_2YR_ANN_GROWTH</x:t>
  </x:si>
  <x:si>
    <x:t>Tangible Book Value (%)</x:t>
  </x:si>
  <x:si>
    <x:t>IQ_TBV_1YR_ANN_GROWTH</x:t>
  </x:si>
  <x:si>
    <x:t>IQ_EBIT_1YR_ANN_GROWTH</x:t>
  </x:si>
  <x:si>
    <x:t>LT Debt / Capital (%)</x:t>
  </x:si>
  <x:si>
    <x:t>Dividend Per Share (%)</x:t>
  </x:si>
  <x:si>
    <x:t>LT Debt / Equity (%)</x:t>
  </x:si>
  <x:si>
    <x:t>IQ_NI_1YR_ANN_GROWTH</x:t>
  </x:si>
  <x:si>
    <x:t>IQ_CFO_1YR_ANN_GROWTH</x:t>
  </x:si>
  <x:si>
    <x:t>IQ_INV_2YR_ANN_GROWTH</x:t>
  </x:si>
  <x:si>
    <x:t>IQ_NPPE_2YR_ANN_GROWTH</x:t>
  </x:si>
  <x:si>
    <x:t>IQ_EPS_3YR_ANN_GROWTH</x:t>
  </x:si>
  <x:si>
    <x:t>IQ_NPPE_3YR_ANN_GROWTH</x:t>
  </x:si>
  <x:si>
    <x:t>IQ_CFO_3YR_ANN_GROWTH</x:t>
  </x:si>
  <x:si>
    <x:t>IQ_EBIT_3YR_ANN_GROWTH</x:t>
  </x:si>
  <x:si>
    <x:t>IQ_CAPEX_3YR_ANN_GROWTH</x:t>
  </x:si>
  <x:si>
    <x:t>IQ_UFCF_3YR_ANN_GROWTH</x:t>
  </x:si>
  <x:si>
    <x:t>IQ_GP_5YR_ANN_GROWTH</x:t>
  </x:si>
  <x:si>
    <x:t>IQ_EBITA_5YR_ANN_GROWTH</x:t>
  </x:si>
  <x:si>
    <x:t>IQ_NI_3YR_ANN_GROWTH</x:t>
  </x:si>
  <x:si>
    <x:t>IQ_INV_3YR_ANN_GROWTH</x:t>
  </x:si>
  <x:si>
    <x:t>IQ_TBV_3YR_ANN_GROWTH</x:t>
  </x:si>
  <x:si>
    <x:t>IQ_LFCF_3YR_ANN_GROWTH</x:t>
  </x:si>
  <x:si>
    <x:t>IQ_GP_3YR_ANN_GROWTH</x:t>
  </x:si>
  <x:si>
    <x:t>IQ_DPS_3YR_ANN_GROWTH</x:t>
  </x:si>
  <x:si>
    <x:t>IQ_EBITA_3YR_ANN_GROWTH</x:t>
  </x:si>
  <x:si>
    <x:t>䅁䅁䅓䅁䙁䅑睢あ䝁䅅䅢杁䙁䅁杣灂䝁䄴睙灂䡁䅁兙獂䍁䅁䅒ㅂ䝁䅕睌杁䙁䅑睢あ䝁䅅䅢杁䕁䅑党楂䡁䅑䅉潁䍁䅕克䅁偁䅍䅁祁䅁䅁䅖療䡁䅑兙獂䍁䅁杕求䡁䅙党畂䡁䅕党杁䍁䅧杕求䡁䅁睢祂䡁䅑党歂䍁䅫䅁䝁䅁䅁材䅁䙁䅑睢あ䝁䅅䅢杁䙁䅉党㉂䝁䅕杢ㅂ䝁䅕督獁䍁䅁杍杁䙁䅫杣畁䍁䅁睑䉂䕁䅣杕杁䍁䅧兊灁䅁䅁材䅉䥁䅧䅁湁䙁䅳睑療䡁䅁入杁䝁䄸杚杁䙁䅍䅕䡂䙁䄸睑療䝁䄰䅣桂䝁䄴入時䕁䅳党㕂䙁䅍䅤桂䡁䅑督時䡁䅙杍時䝁䄴党㍂䍁䄴䅥獂䡁䅍兢摂䕁䅉兙獂䝁䅅杢橂䝁䅕睘呂䝁䅧党求䡁䅑睊桁䍁䅑兒歁䑁䅣杏歁䙁䅅䅊㍁䅁䅁杳䅣䑁䄴䅁啂䝁䄸䅤桂䝁䅷䅉卂䝁䅕杤求䝁䄴兤求䡁䅍䅌杁䑁䅍䅉婂䡁䅉杌杁䕁䅍兑䡂䙁䅉䅉潁䍁䅕克䅁䝁䍧䅁兂䅁䅁睗乂䕁䅫睘䱂䝁䅕入呂䡁䅑兙あ䡁䅍睘㉂䑁䅅杌㑂䝁䅷督瑂䙁䄰村桂䝁䅷兙畂䝁䅍党時䙁䅍䅡求䝁䅕䅤桁䍁䅑睑歁䑁䅑䅁噃睁䅁杏䅁䙁䅑睢あ䝁䅅䅢杁䙁䅍党畂䝁䅫睢祂䍁䅁䅒求䝁䅉䅤杁䍁䅧杕求䡁䅁睢祂䡁䅑党歂䍁䅫䅁婁允䅁䅖䅁䙁䅑睢あ䝁䅅䅢杁䙁䅍党畂䝁䅫睢祂䍁䅁睕求䝁䅍兤祂䝁䅕䅚杁䕁䅑党楂䡁䅑睌杁䙁䅑睢あ䝁䅅䅢杁䕁䅑党楂䡁䅑䅉潁䍁䅕克䅁䙁䉳䅁卂䅁䅁兖畂䝁䅷党㉂䝁䅕杣求䝁䅑䅉䝂䡁䅉党求䍁䅁睑桂䡁䅍䅡杁䕁䅙䅢療䡁䅣䅌杁䑁䅍䅉婂䡁䅉杌杁䕁䅍兑䡂䙁䅉䅉潁䍁䅕克䅁䥁䍙䅁䅂䅁䅁䅖療䡁䅑兙獂䍁䅁睕求䝁䄴兡療䡁䅉䅉呂䝁䅕睙ㅂ䡁䅉党歂䍁䄸兒䍂䕁䅫䅖䕂䕁䅅䅉潁䡁䅧克䅁䡁䈴䅁獂䅁䅁睗乂䕁䅫睘䑂䝁䄸兢睂䝁䅅杢㕂䙁䄸睓求䡁䅫睕あ䝁䅅䅤穂䙁䄸杤硁䙁䄸杌㑂䝁䅷督瑂䙁䄰村桂䝁䅷兙畂䝁䅍党時䙁䅍䅡求䝁䅕䅤桁䍁䅑兒歁䑁䅕杏歁䙁䅁䅊ㅁ䅁䅁䄳䅑䝁䅧䅁扂䙁䅍䅕䡂䙁䄸睑療䝁䄰䅣桂䝁䄴入時䕁䅳党㕂䙁䅍䅤桂䡁䅑督時䡁䅙免畁䡁䅧䅢穂䝁䄰兘䱂䝁䅕入時䙁䅍䅤桂䡁䅑督桁䍁䅑䅒歁䑁䅉䅏㙁䍁䅑䅒歁䑁䅕杍䅁乁䙙䅁歂䅁䅁䅖療䡁䅑兙獂䍁䅁睕潂䝁䄸杣あ䍁䅁䅖求䡁䅉兢杁䕁䅉睢祂䡁䅉睢㍂䝁䅫杢湂䡁䅍䅉潁䙁䅁党祂䝁䅍党畂䡁䅑䅉療䝁䅙䅉䕂䝁䅕杙あ䍁䅫䅉潁䍁䅕克䅁䍁䉅䅁潂䅁䅁睗呂䙁䅁睒時䕁䅍睢瑂䡁䅁兙畂䡁䅫睘䱂䝁䅕入呂䡁䅑兙あ䡁䅍睘㉂䑁䅅杌㑂䝁䅷督瑂䙁䄰睓求䡁䅫睘呂䡁䅑兙あ䡁䅍光歁䕁䅕䅊祁䑁䅕杏歁䕁䅯䅊祁䑁䅕䅁剄兂䅁杖䅁䙁䅑睢あ䝁䅅䅢杁䙁䅍兤楂䍁䄴䅉䍂䝁䄸杢歂䡁䅍䅉桂䝁䄴䅚杁䕁䄴睢あ䝁䅕督癁䍁䅁䅖療䡁䅑兙獂䍁䅁䅒求䝁䅉䅤杁䍁䅧兊灁䅁䅁儯䅁䑁䅙䅁啂䝁䄸䅤桂䝁䅷䅉呂䡁䅕杙畁䍁䅁䅒求䝁䅉䅤杁䍁䅧杕求䡁䅁睢祂䡁䅑党歂䍁䅫䅁扁允䅁䅩䅁䙁䅳兔䩂䙁䄸睑療䝁䄰䅣桂䝁䄴入時䕁䅳党㕂䙁䅍䅤桂䡁䅑督時䡁䅙免畁䡁䅧䅢穂䝁䄰兘䑂䝁䅅䅣灂䡁䅑兙獂䙁䄸睕あ䡁䅉兤橂䡁䅑兤祂䝁䅕睘呂䡁䅕兢瑂䝁䅅杣㕂䍁䅅䅊䑂䍁䅑免ㅁ䑁䅯䅊䑂䍁䅑免ㅁ䑁䅉䅁⭃兂䅁杔䅁䙁䅑睢あ䝁䅅䅢杁䙁䅍兤楂䍁䄴䅉䕂䝁䅕杙あ䍁䅁睌杁䍁䅧兒䍂䕁䅫䅖䕂䕁䅅䅉瑁䍁䅁睑桂䡁䅁党㑂䍁䅫䅉潁䡁䅧克䅁䥁䉉䅁啂䅁䅁䅖療䡁䅑兙獂䍁䅁䅖桂䡁䅧䅉䍂䝁䅕杢求䝁䅙兡あ䍁䅁睑桂䡁䅉杣㕂䝁䅙睢祂䡁䅣兙祂䝁䅑䅉潁䙁䅉党睂䝁䄸杣あ䝁䅕䅚灁䅁䅁睁䅍䥁䅁䅁湁䙁䅳睑療䡁䅁入杁䝁䄸杚杁䙁䅍䅕䡂䙁䄸睑療䝁䄰䅣桂䝁䄴入時䕁䅳党㕂䙁䅍䅤桂䡁䅑督時䡁䅙杍時䝁䄴党㍂䍁䄴䅥獂䡁䅍兢摂䙁䅉兙あ䝁䅫睢穂䍁䅣光歁䕁䅍䅊硁䑁䅅杏歁䕁䅍䅊硁䑁䅕䅏䅁䝁䡁䅁䍂䅁䅁䅖療䡁䅑兙獂䍁䅁䅖求䡁䅉兢杁䕁䅷睢桂䝁䄴督癁䍁䅁䅖療䡁䅑兙獂䍁䅁䅒求䝁䅉䅤杁䍁䅧兊灁䅁䅁儫䅁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䥂䍁䅑睎㉁䅁䅁杓䅧䕁䅉䅁啂䝁䄸䅤桂䝁䅷䅉啂䡁䅉兤穂䡁䅑䅉兂䡁䅉党浂䝁䅕杣祂䝁䅕䅚杁䍁䅧杕求䡁䅁睢祂䡁䅑党歂䍁䅫䅁䱂允䅁䅔䅁䙁䅑睢あ䝁䅅䅢杁䙁䅑杣ㅂ䡁䅍䅤杁䙁䅁杣求䝁䅙党祂䡁䅉党歂䍁䄸䅉啂䝁䄸䅤桂䝁䅷䅉䕂䝁䅕杙あ䍁䅁䅋汁䍁䅫䅁灂允䅁杖䅁䙁䅑睢あ䝁䅅䅢杁䙁䅕杢桂䝁䄰睢祂䡁䅑兡㙂䝁䅕䅚杁䕁䅑兡穂䝁䅍睢ㅂ䝁䄴䅤癁䍁䅁䅖療䡁䅑兙獂䍁䅁䅒求䝁䅉䅤杁䍁䅧兊灁䅁䅁允䅅䥁䅑䅁湁䙁䅳睑療䡁䅁入杁䝁䄸杚杁䙁䅍䅕䡂䙁䄸睑療䝁䄰䅣桂䝁䄴入時䕁䅳党㕂䙁䅍䅤桂䡁䅑督時䡁䅙杍時䝁䄴党㍂䍁䄴䅥獂䡁䅍兢摂䕁䅳党㕂䙁䄸睕あ䝁䅅䅤穂䍁䅣光歁䕁䅍䅊㉁䑁䅕杏歁䕁䅍䅊㍁䑁䅅䅁睁睂䅁䅑䅁䙁䅑睢あ䝁䅅䅢杁䙁䅕杢歂䡁䅉兙㍂䝁䄴䅉䑂䡁䅉党歂䝁䅫䅤杁䍁䅧杕求䡁䅁睢祂䡁䅑党歂䍁䅫䅁乁允䅁䅥䅁䍁䅣睗䑂䝁䄸䅣㕂䍁䅁睢浂䍁䅁睕兂䕁䅣睘䑂䝁䄸兢睂䝁䅅杢㕂䙁䄸睓求䡁䅫睕あ䝁䅅䅤穂䙁䄸杤祁䙁䄸杢求䡁䅣杌㑂䝁䅷督瑂䙁䄰睓求䡁䅫睘呂䡁䅑兙あ䡁䅍睊桁䍁䅑兒歁䑁䅙睍䅁䑁䡅䅁捂䅁䅁睗䱂䝁䅕入呂䡁䅑兙あ䡁䅍睘あ䝁䅕督あ䝁䅙兡獂䝁䅕杌㑂䝁䅷督瑂䙁䄰睓求䡁䅫睘呂䡁䅑兙あ䡁䅍光歁䕁䅕䅊㕁䑁䅣杏歁䕁䅣䅊㕁䑁䅣䅁剃䅁䅁杓䅁䙁䅑睢あ䝁䅅䅢杁䙁䅕杢穂䝁䅕睙ㅂ䡁䅉党歂䍁䅁䅒求䝁䅉䅤癁䍁䅁䅖療䡁䅑兙獂䍁䅁䅒求䝁䅉䅤杁䍁䅧兊灁䅁䅁睙䅅䙁䅁䅁噂䝁䄴䅚祂䝁䅅睤畂䍁䅁睑祂䝁䅕䅚灂䡁䅑䅉兂䝁䄸杣あ䝁䅫睢畂䍁䅁睢浂䍁䅁睑兂䍁䅁䅋卂䝁䅕䅣療䡁䅉䅤求䝁䅑克䅁䅁䉣䅁睂䅁䅁睗呂䙁䅁睒時䕁䅍睢瑂䡁䅁兙畂䡁䅫睘䱂䝁䅕入呂䡁䅑兙あ䡁䅍睘㉂䑁䅅杌㑂䝁䅷督瑂䙁䄰睕ㅂ䡁䅁䅣獂䝁䅕兢求䝁䄴䅤桂䝁䅷光歁䕁䅍䅊硁䑁䅅杏歁䕁䅍䅊硁䑁䅙李䅁䅁䝯䅁あ䅁䅁兖畂䝁䅑杣桂䡁䅣杢杁䕁䅍杣求䝁䅑兡あ䍁䅁䅕療䡁䅉䅤灂䝁䄸杢杁䝁䄸杚杁䕁䄸䅤潂䝁䅕杣杁䍁䅧杕求䡁䅍兡歂䡁䅕兙獂䍁䅁䅖桂䝁䅣克杁䍁䅧杕求䡁䅁睢祂䡁䅑党歂䍁䅫䅁䱁允䅁䅢䅁䙁䅕杢歂䡁䅉兙㍂䝁䄴䅉䑂䡁䅉党歂䝁䅫䅤杁䙁䅁睢祂䡁䅑兡療䝁䄴䅉療䝁䅙䅉卂䝁䅕杤療䝁䅷杤灂䝁䄴睚杁䕁䅍杣求䝁䅑兡あ䍁䅁䅋卂䝁䅕䅣療䡁䅉䅤求䝁䅑克䅁䅁䉕䅁煂䅁䅁睗乂䕁䅫睘䑂䝁䄸兢睂䝁䅅杢㕂䙁䄸睓求䡁䅫睕あ䝁䅅䅤穂䙁䄸杤硁䍁䄴䅥獂䡁䅍兢摂䕁䅉兙獂䝁䅅杢橂䝁䅕睘呂䝁䅧党求䡁䅑光歁䕁䅕䅊ㅁ䑁䅯䅊兂䍁䅑兎䅁䅁䕳䅁睂䅁䅁睗乂䕁䅫睘䑂䝁䄸兢睂䝁䅅杢㕂䙁䄸睓求䡁䅫睕あ䝁䅅䅤穂䙁䄸杤硁䙁䄸杌㑂䝁䅷督瑂䙁䄰村桂䝁䅷兙畂䝁䅍党時䙁䅍䅡求䝁䅕䅤桁䍁䅑睑歁䑁䅫杏歁䕁䅍䅊硁䑁䅍兏䅁乁䕳䅁祂䅁䅁睗乂䕁䅫睘䱂䝁䅕入呂䡁䅑兙あ䡁䅍睘㉂䑁䅅杌㑂䝁䅷督瑂䙁䄰睑桂䡁䅁兡あ䝁䅅䅢時䙁䅍䅤祂䡁䅕睙あ䡁䅕杣求䙁䄸睕ㅂ䝁䄰兢桂䡁䅉入桁䍁䅑兒歁䑁䅕杏歁䕁䄰䅊ㅁ䅁䅁䅲䅍䙁䅯䅁扂䕁䄰兓時䕁䅍睢瑂䡁䅁兙畂䡁䅫睘䱂䝁䅕入呂䡁䅑兙あ䡁䅍睘㉂䑁䅅杌㑂䝁䅷督瑂䙁䄰睓求䡁䅫睘呂䡁䅑兙あ䡁䅍光歁䕁䅕䅊㉁䑁䅍䅁㉃䅂䅁杚䅁䙁䅳兔䩂䙁䄸睑療䝁䄰䅣桂䝁䄴入時䕁䅳党㕂䙁䅍䅤桂䡁䅑督時䡁䅙免時䍁䄴䅥獂䡁䅍兢摂䕁䅍兙穂䝁䅧睘䝂䝁䅷睢㍂䍁䅅䅊䑂䍁䅑兏㙁䍁䅑睑歁䑁䅫䅍䅁佁䕍䅁䥂䅁䅁兖畂䝁䅷党㉂䝁䅕杣求䝁䅑䅉䝂䡁䅉党求䍁䅁睑桂䡁䅍䅡杁䕁䅙䅢療䡁䅣䅉乂䝁䅅杣湂䝁䅫杢杁䍁䅧兊灁䅁䅁䅆䅉䙁䅙䅁噂䝁䄴䅢求䡁䅙党祂䝁䅕䅚杁䕁䅙杣求䝁䅕䅉䑂䝁䅅督潂䍁䅁杒獂䝁䄸睤獁䍁䅁免杁䙁䅫杣畁䍁䅁睒祂䝁䄸睤あ䝁䅧䅉潁䍁䅕克䅁䑁䍙䅁卂䅁䅁兖畂䝁䅷党㉂䝁䅕杣求䝁䅑䅉䝂䡁䅉党求䍁䅁睑桂䡁䅍䅡杁䕁䅙䅢療䡁䅣䅌杁䑁䅉䅉婂䡁䅉杌杁䕁䅍兑䡂䙁䅉䅉潁䍁䅕克䅁䕁䍷䅁卂䅁䅁兖畂䝁䅷党㉂䝁䅕杣求䝁䅑䅉䝂䡁䅉党求䍁䅁睑桂䡁䅍䅡杁䕁䅙䅢療䡁䅣䅌杁䑁䅕䅉婂䡁䅉杌杁䕁䅍兑䡂䙁䅉䅉潁䍁䅕克䅁䭁䍷䅁㙂䅁䅁兖畂䡁䅉党橂䝁䄸睚畁䍁䅁䅖桂䡁䅧䅉䍂䝁䅕杢求䝁䅙兡あ䍁䅁兓瑂䡁䅁兙橂䡁䅑兡畂䝁䅣䅉䙂䝁䅙杚求䝁䅍䅤灂䡁䅙党杁䙁䅑兙㑂䍁䅁杕桂䡁䅑党杁䍁䅧杕求䡁䅁睢祂䡁䅑党歂䍁䅫䅁湄杁䅁䅘䅁䙁䅕杢祂䝁䅕睙療䝁䅣杌杁䙁䅑兙㑂䍁䅁村求䝁䄴党浂䝁䅫䅤穂䍁䅁兌杁䕁䄸䅤潂䝁䅕杣杁䕁䅅䅚煂䍁䄴䅉潁䙁䅉党睂䝁䄸杣あ䝁䅕䅚灁䅁䅁睄䅍䡁䅑䅁噂䝁䄴杣求䝁䅍睢湂䍁䄴䅉啂䝁䅅䅥杁䕁䅉党畂䝁䅕杚灂䡁䅑督獁䍁䅁村求䝁䅣兡畂䝁䄴兡畂䝁䅣䅉療䝁䅙䅉あ䝁䅧党杁䙁䅁党祂䝁䅫睢歂䍁䅁䅋卂䝁䅕䅣療䡁䅉䅤求䝁䅑克䅁䅁䑕䅁兂䅁䅁睖癁䕁䅅杤求䡁䅉兙湂䝁䅕䅉䩂䝁䄴䅤求䡁䅉党穂䡁䅑䅉卂䝁䅅䅤求䑁䅯䅉啂䝁䄸䅤桂䝁䅷䅉䕂䝁䅕杙あ䍁䅁䅋汁䍁䅫䅁潄允䅁䅘䅁䙁䅣兙祂䡁䅉兙畂䡁䅑督杁䕁䅍兙畂䝁䅍党獂䝁䅷党歂䍁䅁䅒ㅂ䡁䅉兡畂䝁䅣䅉あ䝁䅧党杁䙁䅁党祂䝁䅫睢歂䍁䅁䅋桂䝁䅍䅤ㅂ䝁䅅䅢灁䅁䅁兕䅍䙁䅯䅁扂䕁䄰兓時䕁䅍睢瑂䡁䅁兙畂䡁䅫睘䱂䝁䅕入呂䡁䅑兙あ䡁䅍睘㉂䑁䅅杌㑂䝁䅷督瑂䙁䄰睓求䡁䅫睘呂䡁䅑兙あ䡁䅍光歁䕁䅕䅊ㅁ䑁䅉䅁㥄睁䅁䅘䅁䙁䅣兙祂䡁䅉兙畂䡁䅑督杁䕁䅕䅥求䡁䅉睙灂䡁䅍党歂䍁䅁䅒ㅂ䡁䅉兡畂䝁䅣䅉あ䝁䅧党杁䙁䅁党祂䝁䅫睢歂䍁䅁䅋桂䝁䅍䅤ㅂ䝁䅅䅢灁䅁䅁睔䅍䙁䅙䅁塂䝁䅅杣祂䝁䅅杢あ䡁䅍䅉䩂䡁䅍督ㅂ䝁䅕䅚杁䕁䅑兤祂䝁䅫杢湂䍁䅁䅤潂䝁䅕䅉兂䝁䅕杣灂䝁䄸䅚杁䍁䅧兙橂䡁䅑兤桂䝁䅷克䅁䕁䐰䅁歂䅁䅁睖桂䡁䅉杣桂䝁䄴䅤穂䍁䅁兓穂䡁䅍兤求䝁䅑䅉䕂䡁䅕杣灂䝁䄴睚杁䡁䅑䅡求䍁䅁䅕求䡁䅉兡療䝁䅑䅌杁䙁䅑睢あ䝁䅅䅢杁䍁䅧兙橂䡁䅑兤桂䝁䅷克䅁䙁䑫䅁祂䅁䅁睖桂䡁䅉杣桂䝁䄴䅤穂䍁䅁睔ㅂ䡁䅑杌杁䝁䅅䅤杁䡁䅑䅡求䍁䅁村求䝁䅣兡畂䍁䅁睢浂䍁䅁䅤潂䝁䅕䅉兂䝁䅕杣灂䝁䄸䅚獁䍁䅁䅖療䡁䅑兙獂䍁䅁䅋桂䝁䅍䅤ㅂ䝁䅅䅢灁䅁䅁睖䅍䝁䅷䅁塂䝁䅅杣祂䝁䅅杢あ䡁䅍䅉偂䡁䅕䅤畁䍁䅁兙あ䍁䅁䅤潂䝁䅕䅉䍂䝁䅕睚灂䝁䄴杢灂䝁䄴睚杁䝁䄸杚杁䡁䅑䅡求䍁䅁䅕求䡁䅉兡療䝁䅑䅉潁䝁䅅睙あ䡁䅕兙獂䍁䅫䅁䱂睁䅁条䅁䙁䅳兔䩂䙁䄸睑療䝁䄰䅣桂䝁䄴入時䕁䅳党㕂䙁䅍䅤桂䡁䅑督時䡁䅙免畁䡁䅧䅢穂䝁䄰兘䱂䝁䅕入時䙁䅍䅤桂䡁䅑督桁䍁䅑睑歁䑁䅅免睁䑁䅯䅊䑂䍁䅑免硁䑁䅑䅁祃䅂䅁杔䅁䙁䅳兔䩂䙁䄸睓求䡁䅫睕あ䝁䅅䅤穂䙁䄸杤硁䍁䄴䅥獂䡁䅍兢摂䙁䅍兤睂䡁䅁䅢求䝁䄰党畂䡁䅑兙獂䍁䅅䅊䑂䍁䅑䅎䅁䩁䑅䅁畂䅁䅁睖桂䡁䅉杣桂䝁䄴䅤穂䍁䅁睔ㅂ䡁䅑杌杁䝁䅅䅤杁䡁䅑䅡求䍁䅁兒畂䝁䅑䅉療䝁䅙䅉あ䝁䅧党杁䙁䅁党祂䝁䅫睢歂䍁䅷䅉啂䝁䄸䅤桂䝁䅷䅉潁䝁䅅睙あ䡁䅕兙獂䍁䅫䅁摂睁䅁䅙䅁䙁䅣兙祂䡁䅉兙畂䡁䅑督杁䕁䄸兤あ䍁䄴䅉桂䡁䅑䅉あ䝁䅧党杁䕁䅕杢歂䍁䅁睢浂䍁䅁䅤潂䝁䅕䅉兂䝁䅕杣灂䝁䄸䅚杁䍁䅧兙橂䡁䅑兤桂䝁䅷克䅁䙁䑍䅁㡂䅁䅁睖桂䡁䅉杣桂䝁䄴䅤穂䍁䅁睖あ䝁䅑䅉䉂䡁䅙睚杁䙁䅍䅤祂䝁䅫睡求䍁䅁䅕祂䝁䅫睙求䍁䅁睢浂䍁䅁睔ㅂ䡁䅑督あ䝁䅑䅌杁䕁䅍睢瑂䝁䄰䅉呂䡁䅑睙牂䍁䅁䅋卂䝁䅕䅣療䡁䅉䅤求䝁䅑克䅁䙁䑕䅁佃䅁䅁睊扂䕁䅍睢睂䡁䅫䅉療䝁䅙䅉呂䙁䅁睒時䕁䅍睢瑂䡁䅁兙畂䡁䅫睘䱂䝁䅕入呂䡁䅑兙あ䡁䅍睘㉂䑁䅉睘畂䝁䅕睤畁䡁䅧䅢穂䝁䄰兘䑂䝁䅅䅣灂䡁䅑兙獂䝁䅫来桂䡁䅑兡療䝁䄴睊桁䍁䅑兒歁䑁䅕䅍㙁䍁䅑杓歁䑁䅕䅍䅁䕁䠸䅁畂䅁䅁睖あ䝁䅑䅉䉂䡁䅙睚杁䙁䅍䅤祂䝁䅫睡求䍁䅁䅕祂䝁䅫睙求䍁䅁睢浂䍁䅁睒祂䝁䅅杢あ䝁䅕䅚獁䍁䅁睑療䝁䄰兢杁䙁䅍䅤療䝁䅍睡杁䍁䅧杕求䡁䅁睢祂䡁䅑党歂䍁䅫䅁穁睁䅁䅏䅁䙁䅯党祂䝁䄸䅉䑂䝁䄸兤睂䝁䄸杢杁䕁䅑党楂䡁䅑䅉潁䙁䅉党睂䝁䄸杣あ䝁䅕䅚灁䅁䅁兔䅅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䡂䍁䅑䅎ぁ䅁䅁䅪䅧䙁䅙䅁扂䕁䅳党㕂䙁䅍䅤桂䡁䅑督時䡁䅑党穂䡁䅑杚灂䝁䅷党畁䡁䅧䅢穂䝁䄰兘䍂䝁䅅䅢桂䝁䄴睙求䙁䄸睕潂䝁䅕党あ䍁䅅䅊䑂䍁䅑䅎䅁䵁䅅䅁歂䅁䅁睗䱂䝁䅕入呂䡁䅑兙あ䡁䅍睘あ䝁䅕督あ䝁䅙兡獂䝁䅕杌㑂䝁䅷督瑂䙁䄰村桂䝁䅷兙畂䝁䅍党時䙁䅍䅡求䝁䅕䅤桁䍁䅑䅒歁䑁䅫杏歁䕁䅑䅊硁䑁䅍睎䅁䵁䅍䅁畂䅁䅁睗䱂䝁䅕入呂䡁䅑兙あ䡁䅍睘あ䝁䅕督あ䝁䅙兡獂䝁䅕杌㑂䝁䅷督瑂䙁䄰睑桂䡁䅁兡あ䝁䅅䅢時䙁䅍䅤祂䡁䅕睙あ䡁䅕杣求䙁䄸睕ㅂ䝁䄰兢桂䡁䅉入桁䍁䅑睑歁䑁䅑䅁汄䅁䅁杢䅁䙁䅳睓求䡁䅫睕あ䝁䅅䅤穂䙁䄸䅤求䡁䅍䅤浂䝁䅫䅢求䍁䄴䅥獂䡁䅍兢摂䕁䅍兙睂䝁䅫䅤桂䝁䅷睘呂䡁䅑杣ㅂ䝁䅍䅤ㅂ䡁䅉党時䙁䅍兤瑂䝁䄰兙祂䡁䅫光歁䕁䅍䅊ㅁ䅁䅁杤䅅䡁䄴䅁扂䕁䅳党㕂䙁䅍䅤桂䡁䅑督時䡁䅑党穂䡁䅑杚灂䝁䅷党畁䡁䅧䅢穂䝁䄰兘䑂䝁䅅䅣灂䡁䅑兙獂䙁䄸睕あ䡁䅉兤橂䡁䅑兤祂䝁䅕睘呂䡁䅕兢瑂䝁䅅杣㕂䍁䅅䅊䕂䍁䅑免穁䑁䅯䅊䕂䍁䅑免ぁ䑁䅙䅁硄允䅁来䅁䙁䅳睓求䡁䅫睕あ䝁䅅䅤穂䙁䄸䅤求䡁䅍䅤浂䝁䅫䅢求䍁䄴䅥獂䡁䅍兢摂䕁䅍兙睂䝁䅫䅤桂䝁䅷睘呂䡁䅑杣ㅂ䝁䅍䅤ㅂ䡁䅉党時䙁䅍兤瑂䝁䄰兙祂䡁䅫光歁䕁䅑䅊㕁䑁䅯䅊䕂䍁䅑兏睁䅁䅁眵䅁䡁䅷䅁扂䕁䅳党㕂䙁䅍䅤桂䡁䅑督時䡁䅑党穂䡁䅑杚灂䝁䅷党畁䡁䅧䅢穂䝁䄰兘䑂䝁䅅䅣灂䡁䅑兙獂䙁䄸睕あ䡁䅉兤橂䡁䅑兤祂䝁䅕睘呂䡁䅕兢瑂䝁䅅杣㕂䍁䅅䅊䕂䍁䅑免穁䑁䅯䅊䕂䍁䅑兏穁䅁䅁来䅅䡁䄴䅁扂䕁䅳党㕂䙁䅍䅤桂䡁䅑督時䡁䅑党穂䡁䅑杚灂䝁䅷党畁䡁䅧䅢穂䝁䄰兘䑂䝁䅅䅣灂䡁䅑兙獂䙁䄸睕あ䡁䅉兤橂䡁䅑兤祂䝁䅕睘呂䡁䅕兢瑂䝁䅅杣㕂䍁䅅䅊䙂䍁䅑杍㍁䑁䅯䅊䙂䍁䅑免睁䑁䅣䅁㑂允䅁来䅁䍁䅣睗䑂䝁䄸䅣㕂䍁䅁睢浂䍁䅁睕兂䕁䅣睘䑂䝁䄸兢睂䝁䅅杢㕂䙁䄸睓求䡁䅫睕あ䝁䅅䅤穂䙁䄸杤祁䙁䄸杢求䡁䅣杌㑂䝁䅷督瑂䙁䄰杕桂䡁䅑兡療䡁䅍睊桁䍁䅑䅒歁䑁䅙杏歁䕁䅫䅊㉁䅁䅁睘䅣䡁䅧䅁扂䕁䅳党㕂䙁䅍䅤桂䡁䅑督時䡁䅑党穂䡁䅑杚灂䝁䅷党畁䡁䅧䅢穂䝁䄰兘䑂䝁䅅䅣灂䡁䅑兙獂䙁䄸睕あ䡁䅉兤橂䡁䅑兤祂䝁䅕睘呂䡁䅕兢瑂䝁䅅杣㕂䍁䅅䅊䝂䍁䅑䅎㙁䍁䅑杓歁䑁䅑䅁浄䅁䅁䅨䅁䍁䅣睗呂䙁䅁睒時䕁䅍睢瑂䡁䅁兙畂䡁䅫睘䱂䝁䅕入呂䡁䅑兙あ䡁䅍睘㉂䑁䅉杌㑂䝁䅷督瑂䙁䄰睑桂䡁䅁兡あ䝁䅅䅢時䙁䅍䅤祂䡁䅕睙あ䡁䅕杣求䙁䄸䅉䕂䝁䅕䅤桂䝁䅫䅢穂䍁䅁睊桁䍁䅑兓歁䑁䅑䅎䅁䉁䥧䅁奂䅁䅁睗䱂䝁䅕入呂䡁䅑兙あ䡁䅍睘あ䝁䅕督あ䝁䅙兡獂䝁䅕杌㑂䝁䅷督瑂䙁䄰睑桂䡁䅁兡あ䝁䅅䅢灂䡁䅯兙あ䝁䅫睢畂䍁䅅䅊䑂䍁䅑䅎䅁䵁䅕䅁畂䅁䅁睗乂䕁䅫睘䑂䝁䄸兢睂䝁䅅杢㕂䙁䄸睓求䡁䅫睕あ䝁䅅䅤穂䙁䄸杤硁䙁䄸杌㑂䝁䅷督瑂䙁䄰睕ㅂ䡁䅁䅣獂䝁䅕兢求䝁䄴䅤桂䝁䅷光歁䕁䅍䅊㕁䑁䅯䅊䑂䍁䅑免㉁䑁䅑䅁⽄䅂䅁䅧䅁䍁䅣睗䑂䝁䄸䅣㕂䍁䅁睢浂䍁䅁睕兂䕁䅣睘䑂䝁䄸兢睂䝁䅅杢㕂䙁䄸睓求䡁䅫睕あ䝁䅅䅤穂䙁䄸杤祁䙁䄸杢求䡁䅣杌㑂䝁䅷督瑂䙁䄰睑桂䡁䅁兡あ䝁䅅䅢灂䡁䅯兙あ䝁䅫睢畂䍁䅣光歁䕁䅍䅊ぁ䅁䅁杓䅣䙁䅯䅁扂䕁䅳党㕂䙁䅍䅤桂䡁䅑督時䡁䅑党穂䡁䅑杚灂䝁䅷党畁䡁䅧䅢穂䝁䄰兘䑂䝁䅅䅣灂䡁䅑兙獂䝁䅫来桂䡁䅑兡療䝁䄴光歁䕁䅍䅊ぁ䑁䅣䅁潂睁䅁杧䅁䍁䅣睗䑂䝁䄸䅣㕂䍁䅁睢浂䍁䅁睕兂䕁䅣睘䑂䝁䄸兢睂䝁䅅杢㕂䙁䄸睓求䡁䅫睕あ䝁䅅䅤穂䙁䄸杤祁䙁䄸杢求䡁䅣杌㑂䝁䅷督瑂䙁䄰睑桂䡁䅁兡あ䝁䅅䅢灂䡁䅯兙あ䝁䅫睢畂䍁䅣光歁䕁䅍䅊ぁ䑁䅣䅁卂睂䅁杚䅁䙁䅳睓求䡁䅫睕あ䝁䅅䅤穂䙁䄸䅤求䡁䅍䅤浂䝁䅫䅢求䍁䄴䅥獂䡁䅍兢摂䕁䅍兙睂䝁䅫䅤桂䝁䅷兡㙂䝁䅅䅤灂䝁䄸杢桁䍁䅑䅒歁䑁䅍睍㙁䍁䅑䅒歁䑁䅍䅎䅁䵁䅳䅁佃䅁䅁睊扂䕁䅍睢睂䡁䅫䅉療䝁䅙䅉呂䙁䅁睒時䕁䅍睢瑂䡁䅁兙畂䡁䅫睘䱂䝁䅕入呂䡁䅑兙あ䡁䅍睘㉂䑁䅉睘畂䝁䅕睤畁䡁䅧䅢穂䝁䄰兘䑂䝁䅅䅣灂䡁䅑兙獂䝁䅫来桂䡁䅑兡療䝁䄴睊桁䍁䅑兒歁䑁䅑李㙁䍁䅑杓歁䑁䅑李䅁䙁䡍䅁歂䅁䅁睗呂䙁䅁睒時䕁䅍睢瑂䡁䅁兙畂䡁䅫睘䱂䝁䅕入呂䡁䅑兙あ䡁䅍睘㉂䑁䅅杌㑂䝁䅷督瑂䙁䄰睑桂䡁䅁兡あ䝁䅅䅢灂䡁䅯兙あ䝁䅫睢畂䍁䅅䅊䑂䍁䅑䅎䅁偁䙁䅁浂䅁䅁睗䱂䝁䅕入呂䡁䅑兙あ䡁䅍睘あ䝁䅕督あ䝁䅙兡獂䝁䅕杌㑂䝁䅷督瑂䙁䄰睑桂䡁䅁兡あ䝁䅅䅢灂䡁䅯兙あ䝁䅫睢畂䍁䅅䅊䕂䍁䅑睍ぁ䑁䅯䅊䕂䍁䅑睍ㅁ䅁䅁儱䅁䝁䄴䅁扂䙁䅍䅕䡂䙁䄸睑療䝁䄰䅣桂䝁䄴入時䕁䅳党㕂䙁䅍䅤桂䡁䅑督時䡁䅙免畁䡁䅧䅢穂䝁䄰兘䑂䝁䅅䅣灂䡁䅑兙獂䝁䅫来桂䡁䅑兡療䝁䄴光歁䕁䅕䅊ぁ䑁䅯䅊䭂䍁䅑䅎䅁偁䙅䅁慂䅁䅁睗䱂䝁䅕入呂䡁䅑兙あ䡁䅍睘あ䝁䅕督あ䝁䅙兡獂䝁䅕杌㑂䝁䅷督瑂䙁䄰睑桂䡁䅁兡あ䝁䅅䅢灂䡁䅯兙あ䝁䅫睢畂䍁䅅䅊䕂䍁䅑兎睁䅁䅁眳䅁䝁䅑䅁扂䕁䅳党㕂䙁䅍䅤桂䡁䅑督時䡁䅑党穂䡁䅑杚灂䝁䅷党畁䡁䅧䅢穂䝁䄰兘䑂䝁䅅䅣灂䡁䅑兙獂䝁䅫来桂䡁䅑兡療䝁䄴光歁䕁䅑䅊㕁䑁䅯䅊䕂䍁䅑杍ㅁ䅁䅁䄱䅁䝁䅑䅁扂䕁䅳党㕂䙁䅍䅤桂䡁䅑督時䡁䅑党穂䡁䅑杚灂䝁䅷党畁䡁䅧䅢穂䝁䄰兘䑂䝁䅅䅣灂䡁䅑兙獂䝁䅫来桂䡁䅑兡療䝁䄴光歁䕁䅑䅊㕁䑁䅯䅊䕂䍁䅑睍睁䅁䅁杺䅁䙁䅙䅁扂䕁䅳党㕂䙁䅍䅤桂䡁䅑督時䡁䅑党穂䡁䅑杚灂䝁䅷党畁䡁䅧䅢穂䡁䅧兘呂䝁䅧党求䡁䅑免桁䍁䅑兒歁䑁䅉䅍㙁䍁䅑䅓歁䑁䅉䅍䅁䑁䅣䅁歂䅁䅁睗䱂䝁䅕入呂䡁䅑兙あ䡁䅍睘あ䝁䅕督あ䝁䅙兡獂䝁䅕杌㑂䝁䅷督瑂䙁䄰睑桂䡁䅁兡あ䝁䅅䅢灂䡁䅯兙あ䝁䅫睢畂䍁䅅䅊䕂䍁䅑兏㙁䍁䅑䅒歁䑁䅫䅍䅁䵁䅣䅁浂䅁䅁睗䱂䝁䅕入呂䡁䅑兙あ䡁䅍睘あ䝁䅕督あ䝁䅙兡獂䝁䅕杌㑂䝁䅷督瑂䙁䄰睑桂䡁䅁兡あ䝁䅅䅢灂䡁䅯兙あ䝁䅫睢畂䍁䅅䅊䝂䍁䅑睍硁䑁䅯䅊䱂䍁䅑睍硁䅁䅁儰䅁䝁䅙䅁扂䕁䅳党㕂䙁䅍䅤桂䡁䅑督時䡁䅑党穂䡁䅑杚灂䝁䅷党畁䡁䅧䅢穂䝁䄰兘䑂䝁䅅䅣灂䡁䅑兙獂䝁䅫来桂䡁䅑兡療䝁䄴光歁䕁䅙䅊穁䑁䅅杏歁䙁䅅䅊穁䑁䅅䅁䭄䅁䅁杚䅁䙁䅳睓求䡁䅫睕あ䝁䅅䅤穂䙁䄸䅤求䡁䅍䅤浂䝁䅫䅢求䍁䄴䅥獂䡁䅍兢摂䕁䅍兙睂䝁䅫䅤桂䝁䅷兡㙂䝁䅅䅤灂䝁䄸杢桁䍁䅑杒歁䑁䅍杍㙁䍁䅑兕歁䑁䅍杍䅁䵁䅷䅁浂䅁䅁睗䱂䝁䅕入呂䡁䅑兙あ䡁䅍睘あ䝁䅕督あ䝁䅙兡獂䝁䅕杌㑂䝁䅷督瑂䙁䄰睑桂䡁䅁兡あ䝁䅅䅢灂䡁䅯兙あ䝁䅫睢畂䍁䅅䅊䝂䍁䅑睍穁䑁䅯䅊䱂䍁䅑睍穁䅁䅁朱䅁䙁䅷䅁扂䙁䅍䅕䡂䙁䄸睑療䝁䄰䅣桂䝁䄴入時䕁䅳党㕂䙁䅍䅤桂䡁䅑督時䡁䅙杍畁䡁䅧䅢穂䝁䄰兘䱂䝁䅕入時䙁䅍䅤桂䡁䅑督桁䍁䅑村歁䑁䅉兎䅁佁䡙䅁㑂䅁䅁睗乂䕁䅫睘䱂䝁䅕入呂䡁䅑兙あ䡁䅍睘㉂䑁䅅杌㑂䝁䅷督瑂䙁䄰睑桂䡁䅁兡あ䝁䅅䅢時䙁䅍䅤祂䡁䅕睙あ䡁䅕杣求䙁䄸睕ㅂ䝁䄰兢桂䡁䅉入桁䍁䅑睑歁䑁䅅睍㙁䍁䅑睑歁䑁䅅䅎㕁䅁䅁杷䅍䝁䅙䅁扂䕁䅳党㕂䙁䅍䅤桂䡁䅑督時䡁䅑党穂䡁䅑杚灂䝁䅷党畁䡁䅧䅢穂䝁䄰兘䑂䝁䅅䅣灂䡁䅑兙獂䝁䅫来桂䡁䅑兡療䝁䄴光歁䕁䅙䅊ぁ䑁䅣杏歁䕁䅳䅊ぁ䑁䅣䅁敄䅁䅁杚䅁䙁䅳睓求䡁䅫睕あ䝁䅅䅤穂䙁䄸䅤求䡁䅍䅤浂䝁䅫䅢求䍁䄴䅥獂䡁䅍兢摂䕁䅍兙睂䝁䅫䅤桂䝁䅷兡㙂䝁䅅䅤灂䝁䄸杢桁䍁䅑杒歁䑁䅕杍㙁䍁䅑睓歁䑁䅕杍䅁乁䅷䅁浂䅁䅁睗乂䕁䅫睘䑂䝁䄸兢睂䝁䅅杢㕂䙁䄸睓求䡁䅫睕あ䝁䅅䅤穂䙁䄸杤硁䍁䄴䅥獂䡁䅍兢摂䕁䅳党㕂䙁䄸睕あ䝁䅅䅤穂䍁䅅䅊䙂䍁䅑杍祁䑁䅯䅊䩂䍁䅑杍祁䅁䅁儸䅍䝁䅉䅁扂䕁䅳党㕂䙁䅍䅤桂䡁䅑督時䡁䅑党穂䡁䅑杚灂䝁䅷党畁䡁䅧䅢穂䝁䄰兘䑂䝁䅅䅣灂䡁䅑兙獂䝁䅫来桂䡁䅑兡療䝁䄴光歁䕁䅙䅊ㅁ䑁䅯䅊䱂䍁䅑兎䅁乁䅁䅁慂䅁䅁睗䱂䝁䅕入呂䡁䅑兙あ䡁䅍睘あ䝁䅕督あ䝁䅙兡獂䝁䅕杌㑂䝁䅷督瑂䙁䄰睑桂䡁䅍䅡時䕁䅙䅢療䡁䅣光歁䕁䅑䅊㕁䑁䅯䅊䕂䍁䅑兏睁䅁䅁睶䅁䙁䅧䅁扂䕁䅳党㕂䙁䅍䅤桂䡁䅑督時䡁䅑党穂䡁䅑杚灂䝁䅷党畁䡁䅧䅢穂䝁䄰兘䑂䝁䅅督潂䙁䄸杒獂䝁䄸睤桁䍁䅑杒歁䑁䅕杏歁䙁䅅䅊ㅁ䅁䅁䅷䅁䙁䅁䅁扂䕁䄰兓時䕁䅳党㕂䙁䅍䅤桂䡁䅑督時䡁䅙免畁䡁䅧䅢穂䝁䄰兘卂䝁䅅䅤灂䝁䄸督桁䍁䅑睑歁䑁䅫杏歁䕁䅍䅊硁䑁䅑兏䅁䱁䑉䅁捂䅁䅁睗䱂䝁䅕入呂䡁䅑兙あ䡁䅍睘あ䝁䅕督あ䝁䅙兡獂䝁䅕杌㑂䝁䅷督瑂䙁䄰兓畂䝁䅍睢瑂䝁䅕睘呂䡁䅑兙あ䝁䅕兢求䝁䄴䅤桁䍁䅑睑歁䑁䅑䅁㑃䅁䅁杖䅁䙁䅳睕兂䕁䅣睘䑂䝁䄸兢睂䝁䅅杢㕂䙁䄸睓求䡁䅫睕あ䝁䅅䅤穂䙁䄸杤祁䍁䄴䅥獂䡁䅍兢摂䙁䅍䅡求䝁䅕䅤硁䍁䅅䅊䥂䍁䅑䅎穁䅁䅁兲䅙䝁䅯䅁扂䕁䅳党㕂䙁䅍䅤桂䡁䅑督時䡁䅑党穂䡁䅑杚灂䝁䅷党畁䡁䅧䅢穂䝁䄰兘䩂䝁䄴睙療䝁䄰党時䙁䅍䅤桂䡁䅑党瑂䝁䅕杢あ䍁䅅䅊䕂䍁䅑兏㙁䍁䅑䅒歁䑁䅅兎㑁䅁䅁党䅍䝁䅧䅁扂䕁䅳党㕂䙁䅍䅤桂䡁䅑督時䡁䅑党穂䡁䅑杚灂䝁䅷党畁䡁䅧䅢穂䝁䄰兘䩂䝁䄴睙療䝁䄰党時䙁䅍䅤桂䡁䅑党瑂䝁䅕杢あ䍁䅅䅊䕂䍁䅑兏㙁䍁䅑䅒歁䑁䅍睍䅁䱁䅯䅁浂䅁䅁睗䱂䝁䅕入呂䡁䅑兙あ䡁䅍睘あ䝁䅕督あ䝁䅙兡獂䝁䅕杌㑂䝁䅷督瑂䙁䄰兓畂䝁䅍睢瑂䝁䅕睘呂䡁䅑兙あ䝁䅕兢求䝁䄴䅤桁䍁䅑杒歁䑁䅑杏歁䙁䅅䅊ぁ䅁䅁兵䅁䝁䅙䅁扂䕁䅳党㕂䙁䅍䅤桂䡁䅑督時䡁䅑党穂䡁䅑杚灂䝁䅷党畁䡁䅧䅢穂䝁䄰兘䩂䝁䄴睙療䝁䄰党時䙁䅍䅤桂䡁䅑党瑂䝁䅕杢あ䍁䅅䅊䝂䍁䅑兎㙁䍁䅑兕歁䑁䅕䅁㝃䅁䅁䅏䅁䕁䄸䅣あ䝁䅫睢畂䡁䅍杏呂䡁䅑兙あ䝁䅫督あ䝁䅫睙㥁䕁䅅杖䡂䍁䅷杔䉂䑁䄰杔䉂䅁䅁䄰䅣䭁䅁䅁湁䙁䅳睑療䡁䅁入杁䝁䄸杚杁䙁䅍䅕䡂䙁䄸睑療䝁䄰䅣桂䝁䄴入時䕁䅳党㕂䙁䅍䅤桂䡁䅑督時䡁䅙免時䕁䅙兡畂䝁䅅䅢畁䡁䅧䅢穂䝁䄰兘䑂䝁䅅䅣灂䡁䅑兙獂䙁䄸睕あ䡁䅉兤橂䡁䅑兤祂䝁䅕睘杁䕁䅑党あ䝁䅅兡獂䡁䅍䅉湁䍁䅅䅊䕂䍁䅑䅎ぁ䅁䅁睥䅧䙁䅁䅁扂䕁䅳党㕂䙁䅍䅤桂䡁䅑督時䡁䅑党穂䡁䅑杚灂䝁䅷党畁䡁䅧䅢穂䝁䄰兘䱂䝁䅕入時䙁䅍䅤桂䡁䅑督桁䍁䅑村歁䑁䅉睍䅁䩁䅫䅁祂䅁䅁睗乂䕁䅫睘䱂䝁䅕入呂䡁䅑兙あ䡁䅍睘㉂䑁䅅杌㑂䝁䅷督瑂䙁䄰睑桂䡁䅁兡あ䝁䅅䅢時䙁䅍䅤祂䡁䅕睙あ䡁䅕杣求䙁䄸睕ㅂ䝁䄰兢桂䡁䅉入桁䍁䅑睒歁䑁䅧杏歁䕁䄸䅊㑁䅁䅁䅧䅍䝁䅷䅁扂䙁䅍䅕䡂䙁䄸睑療䝁䄰䅣桂䝁䄴入時䕁䅳党㕂䙁䅍䅤桂䡁䅑督時䡁䅙免畁䡁䅧䅢穂䝁䄰兘䍂䝁䅅䅢桂䝁䄴睙求䙁䄸睕潂䝁䅕党あ䍁䅅䅊䙂䍁䅑睎㙁䍁䅑䅕歁䑁䅣䅁牄兂䅁杩䅁䍁䅣睗䑂䝁䄸䅣㕂䍁䅁睢浂䍁䅁睕兂䕁䅣睘䑂䝁䄸兢睂䝁䅅杢㕂䙁䄸睓求䡁䅫睕あ䝁䅅䅤穂䙁䄸杤硁䙁䄸杒灂䝁䄴兙獂䍁䄴䅥獂䡁䅍兢摂䕁䅍兙穂䝁䅧睘䝂䝁䅷睢㍂䍁䅣光歁䕁䅍䅊硁䑁䅅杏歁䕁䅍䅊硁䑁䅁免䅁䝁䥅䅁䥃䅁䅁睊扂䕁䅍睢睂䡁䅫䅉療䝁䅙䅉呂䙁䅁睒時䕁䅍睢瑂䡁䅁兙畂䡁䅫睘䱂䝁䅕入呂䡁䅑兙あ䡁䅍睘㉂䑁䅉睘畂䝁䅕睤畁䡁䅧䅢穂䝁䄰兘䱂䝁䅕入時䙁䅍䅤桂䡁䅑督湁䍁䅅䅊䝂䍁䅑免睁䑁䅙杏歁䕁䅧䅊硁䑁䅁李䅁䑁䡣䅁兂䅁䅁睗䱂䝁䅕入呂䡁䅑兙あ䡁䅍睘あ䝁䅕督あ䝁䅙兡獂䝁䅕杌㑂䝁䅷督瑂䙁䄰睓求䡁䅫睘呂䡁䅑兙あ䡁䅍光歁䕁䅉䅊ㅁ䑁䅍䅁桃䅁䅁杖䅁䙁䅳睓求䡁䅫睕あ䝁䅅䅤穂䙁䄸䅤求䡁䅍䅤浂䝁䅫䅢求䍁䄴䅥獂䡁䅍䅥摂䙁䅍䅡求䝁䅕䅤硁䍁䅅䅊䭂䍁䅑杍穁䑁䅯䅊䵂䍁䅑杍穁䅁䅁䅔䅁䙁䅁䅁扂䕁䅳党㕂䙁䅍䅤桂䡁䅑督時䡁䅑党穂䡁䅑杚灂䝁䅷党畁䡁䅧䅢穂䝁䄰兘䱂䝁䅕入時䙁䅍䅤桂䡁䅑督桁䍁䅑村歁䑁䅕兏䅁佁䅅䅁兂䅁䅁睗䱂䝁䅕入呂䡁䅑兙あ䡁䅍睘あ䝁䅕督あ䝁䅙兡獂䝁䅕杌㑂䝁䅷督瑂䙁䄰睓求䡁䅫睘呂䡁䅑兙あ䡁䅍光歁䕁䅉䅊㕁䑁䅧䅁灄䅁䅁䅙䅁䙁䅳睓求䡁䅫睕あ䝁䅅䅤穂䙁䄸䅤求䡁䅍䅤浂䝁䅫䅢求䍁䄴䅥獂䡁䅍兢摂䕁䅳党㕂䙁䄸睕あ䝁䅅䅤穂䍁䅅䅊䑂䍁䅑免睁䑁䅁杏歁䕁䅍䅊硁䑁䅁䅎䅁䩁䅑䅁杂䅁䅁睗䱂䝁䅕入呂䡁䅑兙あ䡁䅍睘あ䝁䅕督あ䝁䅙兡獂䝁䅕杌㑂䝁䅷督瑂䙁䄰睓求䡁䅫睘呂䡁䅑兙あ䡁䅍光歁䕁䅍䅊硁䑁䅁免㙁䍁䅑睑歁䑁䅅䅍ㅁ䅁䅁朶䅁䙁䅷䅁扂䕁䅳党㕂䙁䅍䅤桂䡁䅑督時䡁䅑党穂䡁䅑杚灂䝁䅷党畁䡁䅧䅢穂䝁䄰兘䱂䝁䅕入時䙁䅍䅤桂䡁䅑督桁䍁䅑睑歁䑁䅉兎㙁䍁䅑睑歁䑁䅑兏䅁䩁䅣䅁捂䅁䅁睗䱂䝁䅕入呂䡁䅑兙あ䡁䅍睘あ䝁䅕督あ䝁䅙兡獂䝁䅕杌㑂䝁䅷督瑂䙁䄰睓求䡁䅫睘呂䡁䅑兙あ䡁䅍光歁䕁䅍䅊㉁䑁䅅杏歁䕁䅍䅊㉁䑁䅣䅁橄䅁䅁杗䅁䙁䅳兔䩂䙁䄸睑療䝁䄰䅣桂䝁䄴入時䕁䅳党㕂䙁䅍䅤桂䡁䅑督時䡁䅙免畁䡁䅧䅢穂䝁䄰兘䱂䝁䅕入時䙁䅍䅤桂䡁䅑督桁䍁䅑兒歁䑁䅕兎䅁䱁䕁䅁歂䅁䅁睗乂䕁䅫睘䑂䝁䄸兢睂䝁䅅杢㕂䙁䄸睓求䡁䅫睕あ䝁䅅䅤穂䙁䄸杤硁䙁䄸杌㑂䝁䅷督瑂䙁䄰睑桂䡁䅍䅡時䕁䅙䅢療䡁䅣光歁䕁䅕䅊ぁ䑁䅯䅊兂䍁䅑䅎䅁佁䕉䅁捂䅁䅁睗䱂䝁䅕入呂䡁䅑兙あ䡁䅍睘あ䝁䅕督あ䝁䅙兡獂䝁䅕杌㑂䝁䅷督瑂䙁䄰睓求䡁䅫睘呂䡁䅑兙あ䡁䅍光歁䕁䅑䅊ㅁ䑁䅕杏歁䕁䅑䅊ㅁ䑁䅙䅁塄䅁䅁䅘䅁䙁䅳睓求䡁䅫睕あ䝁䅅䅤穂䙁䄸䅤求䡁䅍䅤浂䝁䅫䅢求䍁䄴䅥獂䡁䅍兢摂䕁䅳党㕂䙁䄸睕あ䝁䅅䅤穂䍁䅅䅊䙂䍁䅑杍祁䑁䅯䅊䩂䍁䅑杍祁䅁䅁杬䅁䙁䅷䅁扂䕁䅳党㕂䙁䅍䅤桂䡁䅑督時䡁䅑党穂䡁䅑杚灂䝁䅷党畁䡁䅧䅢穂䝁䄰兘䱂䝁䅕入時䙁䅍䅤桂䡁䅑督桁䍁䅑兒歁䑁䅉睍㙁䍁䅑兓歁䑁䅉睍䅁䩁䅧䅁兂䅁䅁睗䱂䝁䅕入呂䡁䅑兙あ䡁䅍睘あ䝁䅕督あ䝁䅙兡獂䝁䅕杌㑂䝁䅷督瑂䙁䄰睓求䡁䅫睘呂䡁䅑兙あ䡁䅍光歁䕁䅕䅊ㅁ䑁䅉䅁敃䅁䅁䅕䅁䙁䅳睓求䡁䅫睕あ䝁䅅䅤穂䙁䄸䅤求䡁䅍䅤浂䝁䅫䅢求䍁䄴䅥獂䡁䅍兢摂䕁䅳党㕂䙁䄸睕あ䝁䅅䅤穂䍁䅅䅊䙂䍁䅑兎穁䅁䅁䅯䅁䙁䅁䅁扂䕁䅳党㕂䙁䅍䅤桂䡁䅑督時䡁䅑党穂䡁䅑杚灂䝁䅷党畁䡁䅧䅢穂䝁䄰兘䱂䝁䅕入時䙁䅍䅤桂䡁䅑督桁䍁䅑兒歁䑁䅙䅍䅁佁䅑䅁捂䅁䅁睗䱂䝁䅕入呂䡁䅑兙あ䡁䅍睘あ䝁䅕督あ䝁䅙兡獂䝁䅕杌㑂䝁䅷督瑂䙁䄰睓求䡁䅫睘呂䡁䅑兙あ䡁䅍光歁䕁䅯䅊祁䑁䅉杏歁䕁䅷䅊祁䑁䅉䅁慃䅁䅁杖䅁䙁䅳睓求䡁䅫睕あ䝁䅅䅤穂䙁䄸䅤求䡁䅍䅤浂䝁䅫䅢求䍁䄴䅥獂䡁䅍兢摂䙁䅉兙あ䝁䅫睢穂䍁䅅䅊䕂䍁䅑兏㙁䍁䅑䅒歁䑁䅅䅎㕁䅁䅁关䅉䙁䅉䅁扂䕁䅳党㕂䙁䅍䅤桂䡁䅑督時䡁䅑党穂䡁䅑杚灂䝁䅷党畁䡁䅧䅢穂䝁䄰兘卂䝁䅅䅤灂䝁䄸督桁䍁䅑杒歁䑁䅕杏歁䕁䅳䅊ㅁ䅁䅁朹䅅䕁䅯䅁扂䕁䅳党㕂䙁䅍䅤桂䡁䅑督時䡁䅑党穂䡁䅑杚灂䝁䅷党畁䡁䅧䅢穂䝁䄰兘呂䝁䅧党求䡁䅑免桁䍁䅑村歁䑁䅉杍䅁䡁䅳䅁䭂䅁䅁睗䱂䝁䅕入呂䡁䅑兙あ䡁䅍睘あ䝁䅕督あ䝁䅙兡獂䝁䅕杌㑂䝁䅷督瑂䙁䄰睕潂䝁䅕党あ䑁䅅光歁䕁䅉䅊祁䑁䅍䅁䍃䅁䅁杣䅁䙁䅳兔䩂䙁䄸睓求䡁䅫睕あ䝁䅅䅤穂䙁䄸杤硁䍁䄴䅥獂䡁䅍兢摂䕁䅍兙睂䝁䅫䅤桂䝁䅷睘呂䡁䅑杣ㅂ䝁䅍䅤ㅂ䡁䅉党時䙁䅍兤瑂䝁䄰兙祂䡁䅫光歁䕁䅣䅊㕁䑁䅯䅊偂䍁䅑兏䅁䥁䑉䅁坂䅁䅁睗䱂䝁䅕入呂䡁䅑兙あ䡁䅍睘あ䝁䅕督あ䝁䅙兡獂䝁䅕杌㑂䝁䅷督瑂䙁䄰睕潂䝁䅕党あ䑁䅅光歁䕁䅍䅊ㅁ䑁䅕杏歁䕁䅍䅊ㅁ䑁䅙䅁䉃䅁䅁杖䅁䙁䅳睓求䡁䅫睕あ䝁䅅䅤穂䙁䄸䅤求䡁䅍䅤浂䝁䅫䅢求䍁䄴䅥獂䡁䅍兢摂䙁䅍䅡求䝁䅕䅤硁䍁䅅䅊䑂䍁䅑李睁䑁䅯䅊䑂䍁䅑李㉁䅁䅁睨䅁䙁䅙䅁扂䕁䅳党㕂䙁䅍䅤桂䡁䅑督時䡁䅑党穂䡁䅑杚灂䝁䅷党畁䡁䅧䅢穂䝁䄰兘呂䝁䅧党求䡁䅑免桁䍁䅑䅒歁䑁䅉兎㙁䍁䅑䅒歁䑁䅑兏䅁䥁䅑䅁坂䅁䅁睗䱂䝁䅕入呂䡁䅑兙あ䡁䅍睘あ䝁䅕督あ䝁䅙兡獂䝁䅕杌㑂䝁䅷督瑂䙁䄰睕潂䝁䅕党あ䑁䅅光歁䕁䅕䅊祁䑁䅉杏歁䕁䅧䅊祁䑁䅉䅁㡂䅁䅁杖䅁䙁䅳睓求䡁䅫睕あ䝁䅅䅤穂䙁䄸䅤求䡁䅍䅤浂䝁䅫䅢求䍁䄴䅥獂䡁䅍兢摂䙁䅍䅡求䝁䅕䅤硁䍁䅅䅊䙂䍁䅑杍祁䑁䅯䅊䩂䍁䅑杍祁䅁䅁杪䅁䙁䅙䅁扂䕁䅳党㕂䙁䅍䅤桂䡁䅑督時䡁䅑党穂䡁䅑杚灂䝁䅷党畁䡁䅧䅢穂䝁䄰兘呂䝁䅧党求䡁䅑免桁䍁䅑兒歁䑁䅉睍㙁䍁䅑䅓歁䑁䅉睍䅁䡁䄴䅁坂䅁䅁睗䱂䝁䅕入呂䡁䅑兙あ䡁䅍睘あ䝁䅕督あ䝁䅙兡獂䝁䅕杌㑂䝁䅷督瑂䙁䄰睕潂䝁䅕党あ䑁䅅光歁䕁䅕䅊祁䑁䅍杏歁䕁䅫䅊祁䑁䅍䅁偃䅁䅁杖䅁䙁䅳兔䩂䙁䄸睓求䡁䅫睕あ䝁䅅䅤穂䙁䄸杤硁䍁䄴䅥獂䡁䅍兢摂䕁䅳党㕂䙁䄸睕あ䝁䅅䅤穂䍁䅅䅊䑂䍁䅑杍ㅁ䑁䅯䅊䑂䍁䅑䅎㕁䅁䅁睡䅍䕁䅯䅁扂䕁䅳党㕂䙁䅍䅤桂䡁䅑督時䡁䅑党穂䡁䅑杚灂䝁䅷党畁䡁䅧䅢穂䝁䄰兘呂䝁䅧党求䡁䅑免桁䍁䅑兒歁䑁䅕睍䅁䥁䅧䅁祂䅁䅁睗乂䕁䅫睘䱂䝁䅕入呂䡁䅑兙あ䡁䅍睘㉂䑁䅅杌㑂䝁䅷督瑂䙁䄰睑桂䡁䅁兡あ䝁䅅䅢時䙁䅍䅤祂䡁䅕睙あ䡁䅕杣求䙁䄸睕ㅂ䝁䄰兢桂䡁䅉入桁䍁䅑杒歁䑁䅧杏歁䙁䅁䅊㑁䅁䅁朷䅍䙁䅙䅁扂䕁䅳党㕂䙁䅍䅤桂䡁䅑督時䡁䅑党穂䡁䅑杚灂䝁䅷党畁䡁䅧䅢穂䝁䄰兘呂䝁䅧党求䡁䅑免桁䍁䅑杒歁䑁䅉睍㙁䍁䅑兓歁䑁䅉睍䅁䥁䅳䅁歂䅁䅁睗乂䕁䅫睘䑂䝁䄸兢睂䝁䅅杢㕂䙁䄸睓求䡁䅫睕あ䝁䅅䅤穂䙁䄸杤硁䍁䄴䅥獂䡁䅍兢摂䕁䅍兙睂䝁䅫䅤桂䝁䅷兡㙂䝁䅅䅤灂䝁䄸杢桁䍁䅑睑歁䑁䅕䅍䅁䉁䕙䅁坂䅁䅁睗䱂䝁䅕入呂䡁䅑兙あ䡁䅍睘あ䝁䅕督あ䝁䅙兡獂䝁䅕杌㑂䝁䅷督瑂䙁䄰睕潂䝁䅕党あ䑁䅅光歁䕁䅫䅊祁䑁䅍杏歁䕁䅳䅊祁䑁䅍䅁䙃䅁䅁杖䅁䙁䅳睓求䡁䅫睕あ䝁䅅䅤穂䙁䄸䅤求䡁䅍䅤浂䝁䅫䅢求䍁䄴䅥獂䡁䅍兢摂䙁䅍䅡求䝁䅕䅤硁䍁䅅䅊䭂䍁䅑杍祁䑁䅯䅊䵂䍁䅑杍祁䅁䅁䅪䅁䥁䅉䅁扂䕁䄰兓時䕁䅍睢瑂䡁䅁兙畂䡁䅫睘䱂䝁䅕入呂䡁䅑兙あ䡁䅍睘㉂䑁䅅杌㑂䝁䅷督瑂䙁䄰睑桂䡁䅁兡あ䝁䅅䅢時䙁䅍䅤祂䡁䅕睙あ䡁䅕杣求䙁䄸睕ㅂ䝁䄰兢桂䡁䅉入桁䍁䅑兒歁䑁䅣杏歁䕁䄸䅊㍁䅁䅁睶䅕䙁䅑䅁扂䕁䅳党㕂䙁䅍䅤桂䡁䅑督時䡁䅑党穂䡁䅑杚灂䝁䅷党畁䡁䅧䅢穂䝁䄰兘呂䡁䅕䅣睂䝁䅷党瑂䝁䅕杢あ䝁䅅䅢桁䍁䅑睑歁䑁䅑䅁敂睁䅁杙䅁䙁䅳睓求䡁䅫睕あ䝁䅅䅤穂䙁䄸䅤求䡁䅍䅤浂䝁䅫䅢求䍁䄴䅥獂䡁䅍兢摂䙁䅍兤睂䡁䅁䅢求䝁䄰党畂䡁䅑兙獂䍁䅅䅊䕂䍁䅑兏㙁䍁䅑䅒歁䑁䅅李ㅁ䅁䅁杙䅍䥁䅑䅁扂䙁䅍䅕䡂䙁䄸睑療䝁䄰䅣桂䝁䄴入時䕁䅳党㕂䙁䅍䅤桂䡁䅑督時䡁䅙免畁䡁䅧䅢穂䝁䄰兘䑂䝁䅅䅣灂䡁䅑兙獂䙁䄸睕あ䡁䅉兤橂䡁䅑兤祂䝁䅕睘呂䡁䅕兢瑂䝁䅅杣㕂䍁䅅䅊䙂䍁䅑李㙁䍁䅑睔歁䑁䅙䅁㥄兂䅁杘䅁䙁䅳睓求䡁䅫睕あ䝁䅅䅤穂䙁䄸䅤求䡁䅍䅤浂䝁䅫䅢求䍁䄴䅥獂䡁䅍兢摂䙁䅍兤睂䡁䅁䅢求䝁䄰党畂䡁䅑兙獂䍁䅅䅊䝂䍁䅑兎㙁䍁䅑睓歁䑁䅕䅁桂睁䅁杓䅁䙁䅳睓求䡁䅫睕あ䝁䅅䅤穂䙁䄸䅤求䡁䅍䅤浂䝁䅫䅢求䍁䄴䅥獂䡁䅍䅥摂䙁䅍䅡求䝁䅕䅤硁䍁䅅䅊䍂䍁䅑杍ぁ䅁䅁䅗䅁䝁䅑䅁扂䙁䅍䅕䡂䙁䄸睑療䝁䄰䅣桂䝁䄴入時䕁䅳党㕂䙁䅍䅤桂䡁䅑督時䡁䅙杍畁䡁䅧䅢穂䝁䄰兘乂䡁䅕䅢あ䝁䅫䅣獂䝁䅕督桁䍁䅑兒歁䑁䅣杏歁䕁䅷䅊㍁䅁䅁睢䅙䕁䅯䅁扂䕁䅳党㕂䙁䅍䅤桂䡁䅑督時䡁䅑党穂䡁䅑杚灂䝁䅷党畁䡁䅧䅢穂䡁䅧兘呂䝁䅧党求䡁䅑免桁䍁䅑村歁䑁䅕睍䅁䡁䅣䅁坂䅁䅁睗䱂䝁䅕入呂䡁䅑兙あ䡁䅍睘あ䝁䅕督あ䝁䅙兡獂䝁䅕杌㑂䝁䅷督㑂䙁䄰睕潂䝁䅕党あ䑁䅅光歁䕁䅍䅊祁䑁䅑杏歁䕁䅍䅊穁䑁䅫䅁⽁䅁䅁杖䅁䙁䅳睓求䡁䅫睕あ䝁䅅䅤穂䙁䄸䅤求䡁䅍䅤浂䝁䅫䅢求䍁䄴䅥獂䡁䅍䅥摂䙁䅍䅡求䝁䅕䅤硁䍁䅅䅊䑂䍁䅑杍ㅁ䑁䅯䅊䑂䍁䅑䅎㕁䅁䅁来䅁䥁䅷䅁湁䙁䅳睑療䡁䅁入杁䝁䄸杚杁䙁䅍䅕䡂䙁䄸睑療䝁䄰䅣桂䝁䄴入時䕁䅳党㕂䙁䅍䅤桂䡁䅑督時䡁䅙杍時䝁䄴党㍂䍁䄴䅥獂䡁䅍兢摂䙁䅍兤睂䡁䅁䅢求䝁䄰党畂䡁䅑兙獂䍁䅣光歁䕁䅍䅊硁䑁䅅杏歁䕁䅍䅊硁䑁䅙李䅁䵁䡣䅁啃䅁䅁睊扂䕁䅍睢睂䡁䅫䅉療䝁䅙䅉呂䙁䅁睒時䕁䅍睢瑂䡁䅁兙畂䡁䅫睘䱂䝁䅕入呂䡁䅑兙あ䡁䅍睘㉂䑁䅉睘畂䝁䅕睤畁䡁䅧䅢穂䝁䄰兘䩂䝁䄴睙療䝁䄰党時䙁䅍䅤桂䡁䅑党瑂䝁䅕杢あ䍁䅣光歁䕁䅍䅊硁䑁䅅杏歁䕁䅍䅊硁䑁䅫䅏䅁䕁䡁䅁坂䅁䅁睗䱂䝁䅕入呂䡁䅑兙あ䡁䅍睘あ䝁䅕督あ䝁䅙兡獂䝁䅕杌㑂䝁䅷督㑂䙁䄰睕潂䝁䅕党あ䑁䅅光歁䕁䅍䅊祁䑁䅕杏歁䕁䅍䅊㉁䑁䅣䅁啂䅁䅁杖䅁䙁䅳睓求䡁䅫睕あ䝁䅅䅤穂䙁䄸䅤求䡁䅍䅤浂䝁䅫䅢求䍁䄴䅥獂䡁䅍䅥摂䙁䅍䅡求䝁䅕䅤硁䍁䅅䅊䑂䍁䅑兎ㅁ䑁䅯䅊䑂䍁䅑兎㉁䅁䅁杗䅁䙁䅙䅁扂䕁䅳党㕂䙁䅍䅤桂䡁䅑督時䡁䅑党穂䡁䅑杚灂䝁䅷党畁䡁䅧䅢穂䡁䅧兘呂䝁䅧党求䡁䅑免桁䍁䅑睑歁䑁䅕兎㙁䍁䅑睑歁䑁䅙䅏䅁䡁䅍䅁䭂䅁䅁睗䱂䝁䅕入呂䡁䅑兙あ䡁䅍睘あ䝁䅕督あ䝁䅙兡獂䝁䅕杌㑂䝁䅷督㑂䙁䄰睕潂䝁䅕党あ䑁䅅光歁䕁䅑䅊祁䑁䅑䅁癁䅁䅁杓䅁䙁䅳睓求䡁䅫睕あ䝁䅅䅤穂䙁䄸䅤求䡁䅍䅤浂䝁䅫䅢求䍁䄴䅥獂䡁䅍䅥摂䙁䅍䅡求䝁䅕䅤硁䍁䅅䅊䙂䍁䅑兎祁䅁䅁兤䅁䙁䅙䅁扂䕁䅳党㕂䙁䅍䅤桂䡁䅑督時䡁䅑党穂䡁䅑杚灂䝁䅷党畁䡁䅧䅢穂䡁䅧兘呂䝁䅧党求䡁䅑免桁䍁䅑䅒歁䑁䅉兎㙁䍁䅑䅒歁䑁䅍䅍䅁䕁䅳䅁坂䅁䅁睗䱂䝁䅕入呂䡁䅑兙あ䡁䅍睘あ䝁䅕督あ䝁䅙兡獂䝁䅕杌㑂䝁䅷督㑂䙁䄰睕潂䝁䅕党あ䑁䅅光歁䕁䅑䅊祁䑁䅕杏歁䕁䅑䅊ぁ䑁䅫䅁塂䅁䅁杖䅁䙁䅳睓求䡁䅫睕あ䝁䅅䅤穂䙁䄸䅤求䡁䅍䅤浂䝁䅫䅢求䍁䄴䅥獂䡁䅍䅥摂䙁䅍䅡求䝁䅕䅤硁䍁䅅䅊䕂䍁䅑兎ㅁ䑁䅯䅊䕂䍁䅑兎㉁䅁䅁睗䅁䅁䅯䅁䉂䕁䄰杗佂䅁䅁䄳䅣䥁䅧䅁扂䕁䄰兓時䕁䅍睢瑂䡁䅁兙畂䡁䅫睘䱂䝁䅕入呂䡁䅑兙あ䡁䅍睘㉂䑁䅅杌㑂䝁䅷督瑂䙁䄰睑桂䡁䅁兡あ䝁䅅䅢時䙁䅍䅤祂䡁䅕睙あ䡁䅕杣求䙁䄸睕ㅂ䝁䄰兢桂䡁䅉入桁䍁䅑睑歁䑁䅅睍㙁䍁䅑睑歁䑁䅅兎睁䅁䅁杈䅑䙁䅙䅁扂䕁䅳党㕂䙁䅍䅤桂䡁䅑督時䡁䅑党穂䡁䅑杚灂䝁䅷党畁䡁䅧䅢穂䡁䅧兘呂䝁䅧党求䡁䅑免桁䍁䅑兒歁䑁䅉䅍㙁䍁䅑睒歁䑁䅉䅍䅁䑁䅉䅁坂䅁䅁睗䱂䝁䅕入呂䡁䅑兙あ䡁䅍睘あ䝁䅕督あ䝁䅙兡獂䝁䅕杌㑂䝁䅷督㑂䙁䄰睕潂䝁䅕党あ䑁䅅光歁䕁䅕䅊祁䑁䅁杏歁䕁䅫䅊祁䑁䅁䅁䑂䅁䅁䅘䅁䙁䅳睕兂䕁䅣睘䑂䝁䄸兢睂䝁䅅杢㕂䙁䄸睓求䡁䅫睕あ䝁䅅䅤穂䙁䄸杤祁䍁䄴䅥獂䡁䅍兢摂䕁䅳党㕂䙁䄸睕あ䝁䅅䅤穂䍁䅅䅊䝂䍁䅑免ㅁ䅁䅁䅨䅙䙁䅙䅁扂䕁䅳党㕂䙁䅍䅤桂䡁䅑督時䡁䅑党穂䡁䅑杚灂䝁䅷党畁䡁䅧䅢穂䡁䅧兘呂䝁䅧党求䡁䅑免桁䍁䅑兒歁䑁䅉免㙁䍁䅑䅓歁䑁䅉免䅁䑁䅧䅁睂䅁䅁睗乂䕁䅫睘䑂䝁䄸兢睂䝁䅅杢㕂䙁䄸睓求䡁䅫睕あ䝁䅅䅤穂䙁䄸杤硁䍁䄴䅥獂䡁䅍兢摂䕁䅍兙睂䝁䅫䅤桂䝁䅷兡㙂䝁䅅䅤灂䝁䄸杢桁䍁䅑兒歁䑁䅑䅏㙁䍁䅑䅕歁䑁䅑䅏䅁䉁䕣䅁坂䅁䅁睗䱂䝁䅕入呂䡁䅑兙あ䡁䅍睘あ䝁䅕督あ䝁䅙兡獂䝁䅕杌㑂䝁䅷督㑂䙁䄰睕潂䝁䅕党あ䑁䅅光歁䕁䅙䅊祁䑁䅁杏歁䕁䅧䅊祁䑁䅁䅁ぁ䅁䅁杖䅁䙁䅳睓求䡁䅫睕あ䝁䅅䅤穂䙁䄸䅤求䡁䅍䅤浂䝁䅫䅢求䍁䄴䅥獂䡁䅍䅥摂䙁䅍䅡求䝁䅕䅤硁䍁䅅䅊䝂䍁䅑杍硁䑁䅯䅊䥂䍁䅑杍硁䅁䅁兎䅁䙁䅙䅁扂䕁䅳党㕂䙁䅍䅤桂䡁䅑督時䡁䅑党穂䡁䅑杚灂䝁䅷党畁䡁䅧䅢穂䡁䅧兘呂䝁䅧党求䡁䅑免桁䍁䅑杓歁䑁䅉䅍㙁䍁䅑䅔歁䑁䅉䅍䅁䕁䅅䅁㑂䅁䅁睊扂䕁䅍睢睂䡁䅫䅉療䝁䅙䅉呂䙁䅁睒時䕁䅍睢瑂䡁䅁兙畂䡁䅫睘䱂䝁䅕入呂䡁䅑兙あ䡁䅍睘㉂䑁䅉睘畂䝁䅕睤畁䡁䅧䅢穂䝁䄰兘䱂䝁䅕入時䙁䅍䅤桂䡁䅑督湁䍁䅅䅊䍂䍁䅑杍㉁䅁䅁杋䅣䙁䅙䅁扂䕁䅳党㕂䙁䅍䅤桂䡁䅑督時䡁䅑党穂䡁䅑杚灂䝁䅷党畁䡁䅧䅢穂䡁䅧兘呂䝁䅧党求䡁䅑免桁䍁䅑杓歁䑁䅉免㙁䍁䅑䅔歁䑁䅉免䅁䕁䅉䅁啂䅁䅁睗䱂䝁䅕入呂䡁䅑兙あ䡁䅍睘あ䝁䅕督あ䝁䅙兡獂䝁䅕杌㑂䝁䅷督㑂䙁䄰睕潂䝁䅕党あ䑁䅉光歁䕁䅕䅊㕁䑁䅯䅊䙂䍁䅑免硁䅁䅁睋䅁䙁䅉䅁扂䕁䅳党㕂䙁䅍䅤桂䡁䅑督時䡁䅑党穂䡁䅑杚灂䝁䅷党畁䡁䅧䅢穂䡁䅧兘呂䝁䅧党求䡁䅑杍桁䍁䅑睒歁䑁䅣杏歁䕁䅫䅊㍁䅁䅁睊䅁䡁䅁䅁扂䕁䄰兓時䕁䅍睢瑂䡁䅁兙畂䡁䅫睘䱂䝁䅕入呂䡁䅑兙あ䡁䅍睘㉂䑁䅅杌㑂䝁䅷督瑂䙁䄰村桂䝁䅷兙畂䝁䅍党時䙁䅍䅡求䝁䅕䅤桁䍁䅑睑歁䑁䅅免㙁䍁䅑睑歁䑁䅅䅎硁䅁䅁杴䅕䝁䅑䅁扂䕁䄰兓時䕁䅍睢瑂䡁䅁兙畂䡁䅫睘䱂䝁䅕入呂䡁䅑兙あ䡁䅍睘㉂䑁䅅杌㑂䝁䅷督瑂䙁䄰村桂䝁䅷兙畂䝁䅍党時䙁䅍䅡求䝁䅕䅤桁䍁䅑睑歁䑁䅅䅎穁䅁䅁兰䅑䝁䅁䅁扂䕁䄰兓時䕁䅍睢瑂䡁䅁兙畂䡁䅫睘䱂䝁䅕入呂䡁䅑兙あ䡁䅍睘㉂䑁䅅杌㑂䝁䅷督瑂䙁䄰村桂䝁䅷兙畂䝁䅍党時䙁䅍䅡求䝁䅕䅤桁䍁䅑睑歁䑁䅙䅁ぃ兂䅁䅡䅁䙁䅳睕兂䕁䅣睘䑂䝁䄸兢睂䝁䅅杢㕂䙁䄸睓求䡁䅫睕あ䝁䅅䅤穂䙁䄸杤硁䍁䄴䅥獂䡁䅍兢摂䕁䅳党㕂䙁䄸睕あ䝁䅅䅤穂䍁䅅䅊啂䍁䅑兎㑁䑁䅯䅊啂䍁䅑李硁䅁䅁眴䅕䝁䄴䅁扂䕁䄰兓時䕁䅍睢瑂䡁䅁兙畂䡁䅫睘䱂䝁䅕入呂䡁䅑兙あ䡁䅍睘㉂䑁䅅杌㑂䝁䅷督瑂䙁䄰村桂䝁䅷兙畂䝁䅍党時䙁䅍䅡求䝁䅕䅤桁䍁䅑睑歁䑁䅫杏歁䕁䅍䅊硁䑁䅑免䅁䩁䔰䅁浂䅁䅁睗乂䕁䅫睘䑂䝁䄸兢睂䝁䅅杢㕂䙁䄸睓求䡁䅫睕あ䝁䅅䅤穂䙁䄸杤硁䍁䄴䅥獂䡁䅍兢摂䕁䅳党㕂䙁䄸睕あ䝁䅅䅤穂䍁䅅䅊䑂䍁䅑李祁䑁䅯䅊䑂䍁䅑李㑁䅁䅁杂䅕䡁䅉䅁扂䕁䄰兓時䕁䅍睢瑂䡁䅁兙畂䡁䅫睘䱂䝁䅕入呂䡁䅑兙あ䡁䅍睘㉂䑁䅅杌㑂䝁䅷督瑂䙁䄰村桂䝁䅷兙畂䝁䅍党時䙁䅍䅡求䝁䅕䅤桁䍁䅑兒歁䑁䅅䅎ぁ䑁䅯䅊兂䍁䅑免ぁ䑁䅑䅁潃䅂䅁䅚䅁䙁䅳兔䩂䙁䄸睓求䡁䅫睕あ䝁䅅䅤穂䙁䄸杤硁䍁䄴䅥獂䡁䅍兢摂䕁䅫杢橂䝁䄸兢求䙁䄸睕あ䝁䅅䅤求䝁䄰党畂䡁䅑光歁䕁䅍䅊㕁䑁䅯䅊䑂䍁䅑免㍁䑁䅕䅁歄睁䅁条䅁䙁䅳兔䩂䙁䄸睑療䝁䄰䅣桂䝁䄴入時䕁䅳党㕂䙁䅍䅤桂䡁䅑督時䡁䅙免畁䡁䅧䅢穂䝁䄰兘䍂䝁䅅䅢桂䝁䄴睙求䙁䄸睕潂䝁䅕党あ䍁䅅䅊䙂䍁䅑李㙁䍁䅑䅕歁䑁䅙䅁ㅃ兂䅁条䅁䙁䅳兔䩂䙁䄸睑療䝁䄰䅣桂䝁䄴入時䕁䅳党㕂䙁䅍䅤桂䡁䅑督時䡁䅙免畁䡁䅧䅢穂䝁䄰兘䱂䝁䅕入時䙁䅍䅤桂䡁䅑督桁䍁䅑兒歁䑁䅅䅍ㅁ䑁䅯䅊䡂䍁䅑免睁䑁䅕䅁噃䅂䅁䅥䅁䙁䅳兔䩂䙁䄸睑療䝁䄰䅣桂䝁䄴入時䕁䅳党㕂䙁䅍䅤桂䡁䅑督時䡁䅙免畁䡁䅧䅢穂䝁䄰兘䑂䝁䅅䅣灂䡁䅑兙獂䙁䄸睕あ䡁䅉兤橂䡁䅑兤祂䝁䅕睘呂䡁䅕兢瑂䝁䅅杣㕂䍁䅅䅊䑂䍁䅑䅎䅁䉁䕷䅁捂䅁䅁睗乂䕁䅫睘䱂䝁䅕入呂䡁䅑兙あ䡁䅍睘㉂䑁䅅杌㑂䝁䅷督瑂䙁䄰睕ㅂ䡁䅁䅣獂䝁䅕兢求䝁䄴䅤桂䝁䅷光歁䕁䅍䅊㕁䑁䅯䅊䑂䍁䅑免㉁䑁䅧䅁呃睁䅁杢䅁䙁䅳兔䩂䙁䄸睑療䝁䄰䅣桂䝁䄴入時䕁䅳党㕂䙁䅍䅤桂䡁䅑督時䡁䅙免時䍁䄴䅥獂䡁䅍兢摂䕁䅍兙睂䝁䅫䅤桂䝁䅷兡㙂䝁䅅䅤灂䝁䄸杢桁䍁䅑兒歁䑁䅕杏歁䕁䅯䅊ㅁ䅁䅁䄶䅑䡁䅧䅁扂䕁䄰兓時䕁䅍睢瑂䡁䅁兙畂䡁䅫睘䱂䝁䅕入呂䡁䅑兙あ䡁䅍睘㉂䑁䅅杌㑂䝁䅷督瑂䙁䄰睑桂䡁䅁兡あ䝁䅅䅢時䙁䅍䅤祂䡁䅕睙あ䡁䅕杣求䙁䄸睕ㅂ䝁䄰兢桂䡁䅉入桁䍁䅑睑歁䑁䅙䅁㡃兂䅁䅥䅁䙁䅳兔䩂䙁䄸睑療䝁䄰䅣桂䝁䄴入時䕁䅳党㕂䙁䅍䅤桂䡁䅑督時䡁䅙免畁䡁䅧䅢穂䝁䄰兘䑂䝁䅅䅣灂䡁䅑兙獂䙁䄸睕あ䡁䅉兤橂䡁䅑兤祂䝁䅕睘呂䡁䅕兢瑂䝁䅅杣㕂䍁䅅䅊䑂䍁䅑睎䅁䵁䙁䅁䝃䅁䅁睗乂䕁䅫睘䑂䝁䄸兢睂䝁䅅杢㕂䙁䄸睓求䡁䅫睕あ䝁䅅䅤穂䙁䄸杤硁䍁䄴䅥獂䡁䅍兢摂䕁䅍兙睂䝁䅫䅤桂䝁䅷睘呂䡁䅑杣ㅂ䝁䅍䅤ㅂ䡁䅉党時䙁䅍兤瑂䝁䄰兙祂䡁䅫光歁䕁䅑䅊祁䑁䅫杏歁䕁䅑䅊㑁䑁䅁䅁䍄兂䅁杧䅁䙁䅳兔䩂䙁䄸睑療䝁䄰䅣桂䝁䄴入時䕁䅳党㕂䙁䅍䅤桂䡁䅑督時䡁䅙免畁䡁䅧䅢穂䝁䄰兘䑂䝁䅅䅣灂䡁䅑兙獂䙁䄸睕あ䡁䅉兤橂䡁䅑兤祂䝁䅕睘呂䡁䅕兢瑂䝁䅅杣㕂䍁䅅䅊䙂䍁䅑兎㙁䍁䅑睔歁䑁䅕䅁晁䅂䅁杧䅁䙁䅳兔䩂䙁䄸睑療䝁䄰䅣桂䝁䄴入時䕁䅳党㕂䙁䅍䅤桂䡁䅑督時䡁䅙免畁䡁䅧䅢穂䝁䄰兘䑂䝁䅅䅣灂䡁䅑兙獂䙁䄸睕あ䡁䅉兤橂䡁䅑兤祂䝁䅕睘呂䡁䅕兢瑂䝁䅅杣㕂䍁䅅䅊䙂䍁䅑李㙁䍁䅑睔歁䑁䅙䅁㥃兂䅁杖䅁䙁䅳睕兂䕁䅣睘䑂䝁䄸兢睂䝁䅅杢㕂䙁䄸睓求䡁䅫睕あ䝁䅅䅤穂䙁䄸杤祁䍁䄴䅥獂䡁䅍兢摂䙁䅍䅡求䝁䅕䅤硁䍁䅅䅊䩂䍁䅑䅎穁䅁䅁杲䅙䙁䅧䅁扂䕁䄰兓時䕁䅳党㕂䙁䅍䅤桂䡁䅑督時䡁䅙免畁䡁䅧䅢穂䝁䄰兘呂䡁䅕䅣睂䝁䅷党瑂䝁䅕杢あ䝁䅅䅢桁䍁䅑䅒歁䑁䅑杏歁䕁䅫䅊ぁ䅁䅁杫䅍䥁䅙䅁扂䕁䄰兓時䕁䅍睢瑂䡁䅁兙畂䡁䅫睘䱂䝁䅕入呂䡁䅑兙あ䡁䅍睘㉂䑁䅅杌㑂䝁䅷督瑂䙁䄰睑桂䡁䅁兡あ䝁䅅䅢時䙁䅍䅤祂䡁䅕睙あ䡁䅕杣求䙁䄸睕ㅂ䝁䄰兢桂䡁䅉入桁䍁䅑杒歁䑁䅅䅍㙁䍁䅑䅕歁䑁䅅䅍䅁䵁䙅䅁䍃䅁䅁睗乂䕁䅫睘䑂䝁䄸兢睂䝁䅅杢㕂䙁䄸睓求䡁䅫睕あ䝁䅅䅤穂䙁䄸杤硁䍁䄴䅥獂䡁䅍兢摂䕁䅍兙睂䝁䅫䅤桂䝁䅷睘呂䡁䅑杣ㅂ䝁䅍䅤ㅂ䡁䅉党時䙁䅍兤瑂䝁䄰兙祂䡁䅫光歁䕁䅙䅊㕁䑁䅯䅊兂䍁䅑兏䅁䍁䕍䅁䥃䅁䅁睊扂䕁䅍睢睂䡁䅫䅉療䝁䅙䅉呂䙁䅁睒時䕁䅍睢瑂䡁䅁兙畂䡁䅫睘䱂䝁䅕入呂䡁䅑兙あ䡁䅍睘㉂䑁䅉睘畂䝁䅕睤畁䡁䅧䅢穂䝁䄰兘䱂䝁䅕入時䙁䅍䅤桂䡁䅑督湁䍁䅅䅊䡂䍁䅑免睁䑁䅙杏歁䕁䅫䅊硁䑁䅁李䅁䩁䡯䅁睂䅁䅁睗乂䕁䅫睘䑂䝁䄸兢睂䝁䅅杢㕂䙁䄸睓求䡁䅫睕あ䝁䅅䅤穂䙁䄸杤硁䍁䄴䅥獂䡁䅍兢摂䕁䅍兙睂䝁䅫䅤桂䝁䅷兡㙂䝁䅅䅤灂䝁䄸杢桁䍁䅑睑歁䑁䅕睍㙁䍁䅑睑歁䑁䅕䅎䅁䉁䕯䅁祂䅁䅁睗乂䕁䅫睘䱂䝁䅕入呂䡁䅑兙あ䡁䅍睘㉂䑁䅅杌㑂䝁䅷督瑂䙁䄰睑桂䡁䅁兡あ䝁䅅䅢時䙁䅍䅤祂䡁䅕睙あ䡁䅕杣求䙁䄸睕ㅂ䝁䄰兢桂䡁䅉入桁䍁䅑睒歁䑁䅕杏歁䕁䄸䅊ㅁ䅁䅁儶䅍䡁䅁䅁扂䕁䄰兓時䕁䅍睢瑂䡁䅁兙畂䡁䅫睘䱂䝁䅕入呂䡁䅑兙あ䡁䅍睘㉂䑁䅅杌㑂䝁䅷督瑂䙁䄰睑桂䡁䅁兡あ䝁䅅䅢灂䡁䅯兙あ䝁䅫睢畂䍁䅅䅊䙂䍁䅑䅎㍁䑁䅯䅊兂䍁䅑䅎㍁䅁䅁兆䅑䝁䅙䅁扂䕁䄰兓時䕁䅍睢瑂䡁䅁兙畂䡁䅫睘䱂䝁䅕入呂䡁䅑兙あ䡁䅍睘㉂䑁䅅杌㑂䝁䅷督瑂䙁䄰睓求䡁䅫睘呂䡁䅑兙あ䡁䅍光歁䕁䄰䅊祁䑁䅉杏歁䕁䄸䅊祁䑁䅉䅁㑂䅂䅁䅢䅁䙁䅳兔䩂䙁䄸睑療䝁䄰䅣桂䝁䄴入時䕁䅳党㕂䙁䅍䅤桂䡁䅑督時䡁䅙免畁䡁䅧䅢穂䝁䄰兘䑂䝁䅅䅣灂䡁䅑兙獂䝁䅫来桂䡁䅑兡療䝁䄴光歁䕁䅕䅊ぁ䑁䅯䅊䭂䍁䅑䅎䅁䉁䕅䅁睂䅁䅁睗乂䕁䅫睘䑂䝁䄸兢睂䝁䅅杢㕂䙁䄸睓求䡁䅫睕あ䝁䅅䅤穂䙁䄸杤硁䍁䄴䅥獂䡁䅍兢摂䕁䅍兙睂䝁䅫䅤桂䝁䅷兡㙂䝁䅅䅤灂䝁䄸杢桁䍁䅑兒歁䑁䅕免㙁䍁䅑杓歁䑁䅕免䅁䉁䕫䅁睂䅁䅁睗乂䕁䅫睘䑂䝁䄸兢睂䝁䅅杢㕂䙁䄸睓求䡁䅫睕あ䝁䅅䅤穂䙁䄸杤硁䍁䄴䅥獂䡁䅍兢摂䕁䅍兙睂䝁䅫䅤桂䝁䅷兡㙂䝁䅅䅤灂䝁䄸杢桁䍁䅑兒歁䑁䅕杍㙁䍁䅑杓歁䑁䅕杍䅁䉁䕳䅁煂䅁䅁睗乂䕁䅫睘䑂䝁䄸兢睂䝁䅅杢㕂䙁䄸睓求䡁䅫睕あ䝁䅅䅤穂䙁䄸杤硁䍁䄴䅥獂䡁䅍兢摂䕁䅳党㕂䙁䄸睕あ䝁䅅䅤穂䍁䅅䅊䙂䍁䅑免睁䑁䅧杏歁䕁䅣䅊硁䑁䅁䅏䅁䱁䕍䅁獂䅁䅁睗呂䙁䅁睒時䕁䅍睢瑂䡁䅁兙畂䡁䅫睘䱂䝁䅕入呂䡁䅑兙あ䡁䅍睘㉂䑁䅅杌㑂䝁䅷督瑂䙁䄰村桂䝁䅷兙畂䝁䅍党時䙁䅍䅡求䝁䅕䅤桁䍁䅑兒歁䑁䅙杏歁䙁䅁䅊㉁䅁䅁儶䅕䙁䅧䅁扂䕁䄰兓時䕁䅍睢瑂䡁䅁兙畂䡁䅫睘䱂䝁䅕入呂䡁䅑兙あ䡁䅍睘㉂䑁䅅杌㑂䝁䅷督瑂䙁䄰睑桂䡁䅍䅡時䕁䅙䅢療䡁䅣光歁䕁䅍䅊㉁䅁䅁䅵䅕䝁䅉䅁扂䕁䄰兓時䕁䅍睢瑂䡁䅁兙畂䡁䅫睘䱂䝁䅕入呂䡁䅑兙あ䡁䅍睘㉂䑁䅅杌㑂䝁䅷督瑂䙁䄰睑桂䡁䅍䅡時䕁䅙䅢療䡁䅣光歁䕁䅕䅊ぁ䑁䅯䅊兂䍁䅑䅎䅁䅁䔰䅁楂䅁䅁睗乂䕁䅫睘䑂䝁䄸兢睂䝁䅅杢㕂䙁䄸睓求䡁䅫睕あ䝁䅅䅤穂䙁䄸杤硁䍁䄴䅥獂䡁䅍兢摂䕁䅍兙穂䝁䅧睘䝂䝁䅷睢㍂䍁䅅䅊䙂䍁䅑兎㙁䍁䅑䅕歁䑁䅕䅁偁䅂䅁杙䅁䙁䅳兔䩂䙁䄸睑療䝁䄰䅣桂䝁䄴入時䕁䅳党㕂䙁䅍䅤桂䡁䅑督時䡁䅙免畁䡁䅧䅢穂䝁䄰兘䑂䝁䅅督潂䙁䄸杒獂䝁䄸睤桁䍁䅑兒歁䑁䅙杏歁䙁䅁䅊㉁䅁䅁兵䅕䝁䅉䅁扂䕁䄰兓時䕁䅍睢瑂䡁䅁兙畂䡁䅫睘䱂䝁䅕入呂䡁䅑兙あ䡁䅍睘㉂䑁䅅杌㑂䝁䅷督瑂䙁䄰睑桂䡁䅍䅡時䕁䅙䅢療䡁䅣光歁䕁䅕䅊㍁䑁䅯䅊兂䍁䅑睎䅁䱁䙳䅁煂䅁䅁睗乂䕁䅫睘䑂䝁䄸兢睂䝁䅅杢㕂䙁䄸睓求䡁䅫睕あ䝁䅅䅤穂䙁䄸杤硁䍁䄴䅥獂䡁䅍兢摂䕁䅫杢橂䝁䄸兢求䙁䄸睕あ䝁䅅䅤求䝁䄰党畂䡁䅑光歁䕁䅍䅊硁䑁䅣李䅁䭁䕅䅁浂䅁䅁睗乂䕁䅫睘䑂䝁䄸兢睂䝁䅅杢㕂䙁䄸睓求䡁䅫睕あ䝁䅅䅤穂䙁䄸杤硁䍁䄴䅥獂䡁䅍兢摂䕁䅫杢橂䝁䄸兢求䙁䄸睕あ䝁䅅䅤求䝁䄰党畂䡁䅑光歁䕁䅍䅊ぁ䅁䅁䅂䅑䡁䅑䅁扂䕁䄰兓時䕁䅍睢瑂䡁䅁兙畂䡁䅫睘䱂䝁䅕入呂䡁䅑兙あ䡁䅍睘㉂䑁䅅杌㑂䝁䅷督瑂䙁䄰兓畂䝁䅍睢瑂䝁䅕睘呂䡁䅑兙あ䝁䅕兢求䝁䄴䅤桁䍁䅑睑歁䑁䅫杏歁䕁䅍䅊硁䑁䅣睍䅁䅁䕙䅁㑂䅁䅁睗乂䕁䅫睘䑂䝁䄸兢睂䝁䅅杢㕂䙁䄸睓求䡁䅫睕あ䝁䅅䅤穂䙁䄸杤硁䍁䄴䅥獂䡁䅍兢摂䕁䅫杢橂䝁䄸兢求䙁䄸睕あ䝁䅅䅤求䝁䄰党畂䡁䅑光歁䕁䅕䅊硁䑁䅣睎㙁䍁䅑䅕歁䑁䅅睎㍁䅁䅁䅰䅑䡁䅁䅁扂䕁䄰兓時䕁䅍睢瑂䡁䅁兙畂䡁䅫睘䱂䝁䅕入呂䡁䅑兙あ䡁䅍睘㉂䑁䅅杌㑂䝁䅷督瑂䙁䄰兓畂䝁䅍睢瑂䝁䅕睘呂䡁䅑兙あ䝁䅕兢求䝁䄴䅤桁䍁䅑兒歁䑁䅑杏歁䙁䅁䅊ぁ䅁䅁兂䅑䝁䅑䅁扂䕁䄰兓時䕁䅳党㕂䙁䅍䅤桂䡁䅑督時䡁䅙免畁䡁䅧䅢穂䝁䄰兘䩂䝁䄴睙療䝁䄰党時䙁䅍䅤桂䡁䅑党瑂䝁䅕杢あ䍁䅅䅊䑂䍁䅑兏㙁䍁䅑睑歁䑁䅅兎睁䅁䅁全䅍䙁䅙䅁扂䙁䅍䅕䡂䙁䄸睑療䝁䄰䅣桂䝁䄴入時䕁䅳党㕂䙁䅍䅤桂䡁䅑督時䡁䅙杍畁䡁䅧䅢穂䝁䄰兘呂䝁䅧党求䡁䅑免桁䍁䅑兓歁䑁䅣兎䅁䱁䝯䅁睂䅁䅁睗乂䕁䅫睘䑂䝁䄸兢睂䝁䅅杢㕂䙁䄸睓求䡁䅫睕あ䝁䅅䅤穂䙁䄸杤硁䍁䄴䅥獂䡁䅍兢摂䕁䅫杢橂䝁䄸兢求䙁䄸睕あ䝁䅅䅤求䝁䄰党畂䡁䅑光歁䕁䅕䅊ㅁ䑁䅯䅊兂䍁䅑兎䅁䅁䕣䅁捂䅁䅁睗乂䕁䅫睘䑂䝁䄸兢睂䝁䅅杢㕂䙁䄸睓求䡁䅫睕あ䝁䅅䅤穂䙁䄸杤硁䍁䄴䅥獂䡁䅍兢摂䕁䅳党㕂䙁䄸睕あ䝁䅅䅤穂䍁䅅䅊䍂䍁䅑免睁䑁䅉䅁い睁䅁䅚䅁䙁䅳睕兂䕁䅣睘䑂䝁䄸兢睂䝁䅅杢㕂䙁䄸睓求䡁䅫睕あ䝁䅅䅤穂䙁䄸杤祁䍁䄴䅥獂䡁䅍兢摂䕁䅍兙穂䝁䅧睘䝂䝁䅷睢㍂䍁䅅䅊䙂䍁䅑睎㙁䍁䅑兕歁䑁䅣䅁桄睂䅁䅘䅁䙁䅳兔䩂䙁䄸睑療䝁䄰䅣桂䝁䄴入時䕁䅳党㕂䙁䅍䅤桂䡁䅑督時䡁䅙免畁䡁䅧䅢穂䝁䄰兘䱂䝁䅕入時䙁䅍䅤桂䡁䅑督桁䍁䅑村歁䑁䅅䅍穁䅁䅁睂䅕䝁䅷䅁扂䕁䄰兓時䕁䅍睢瑂䡁䅁兙畂䡁䅫睘䱂䝁䅕入呂䡁䅑兙あ䡁䅍睘㉂䑁䅅睔獂䝁䅑杌㑂䝁䅷督瑂䙁䄰睓求䡁䅫睘呂䡁䅑兙あ䡁䅍光歁䕁䅑䅊祁䑁䅕杏歁䕁䅑䅊ぁ䑁䅫䅁㡂䅂䅁䅘䅁䙁䅳兔䩂䙁䄸睑療䝁䄰䅣桂䝁䄴入時䕁䅳党㕂䙁䅍䅤桂䡁䅑督時䡁䅙免畁䡁䅧䅢穂䝁䄰兘䱂䝁䅕入時䙁䅍䅤桂䡁䅑督桁䍁䅑村歁䑁䅅䅍ぁ䅁䅁䅬䅑䙁䅯䅁扂䕁䄰兓時䕁䅍睢瑂䡁䅁兙畂䡁䅫睘䱂䝁䅕入呂䡁䅑兙あ䡁䅍睘㉂䑁䅅杌㑂䝁䅷督瑂䙁䄰睓求䡁䅫睘呂䡁䅑兙あ䡁䅍光歁䕁䅉䅊祁䑁䅉䅁睄睁䅁杗䅁䙁䅳兔䩂䙁䄸睑療䝁䄰䅣桂䝁䄴入時䕁䅳党㕂䙁䅍䅤桂䡁䅑督時䡁䅙免畁䡁䅧䅢穂䝁䄰兘䱂䝁䅕入時䙁䅍䅤桂䡁䅑督桁䍁䅑村歁䑁䅉睍䅁偁䑧䅁潂䅁䅁睗呂䙁䅁睒時䕁䅍睢瑂䡁䅁兙畂䡁䅫睘䱂䝁䅕入呂䡁䅑兙あ䡁䅍睘㉂䑁䅅杌㑂䝁䅷督瑂䙁䄰睑桂䡁䅍䅡時䕁䅙䅢療䡁䅣光歁䕁䅍䅊硁䑁䅅杏歁䕁䅍䅊㕁䑁䅉䅁畄兂䅁杗䅁䙁䅳兔䩂䙁䄸睑療䝁䄰䅣桂䝁䄴入時䕁䅳党㕂䙁䅍䅤桂䡁䅑督時䡁䅙免畁䡁䅧䅢穂䝁䄰兘䱂䝁䅕入時䙁䅍䅤桂䡁䅑督桁䍁䅑村歁䑁䅉䅎䅁䥁䕑䅁慂䅁䅁睗乂䕁䅫睘䑂䝁䄸兢睂䝁䅅杢㕂䙁䄸睓求䡁䅫睕あ䝁䅅䅤穂䙁䄸杤硁䍁䄴䅥獂䡁䅍兢摂䕁䅳党㕂䙁䄸睕あ䝁䅅䅤穂䍁䅅䅊䍂䍁䅑杍㉁䅁䅁睱䅑䡁䅯䅁扂䙁䅍䅕䡂䙁䄸睑療䝁䄰䅣桂䝁䄴入時䕁䅳党㕂䙁䅍䅤桂䡁䅑督時䡁䅙杍畁䡁䅧䅢穂䝁䄰兘䑂䝁䅅䅣灂䡁䅑兙獂䙁䄸睕あ䡁䅉兤橂䡁䅑兤祂䝁䅕睘呂䡁䅕兢瑂䝁䅅杣㕂䍁䅅䅊䑂䍁䅑睎䅁䅁䥙䅁䵃䅁䅁睊扂䕁䅍睢睂䡁䅫䅉療䝁䅙䅉呂䙁䅁睒時䕁䅍睢瑂䡁䅁兙畂䡁䅫睘䱂䝁䅕入呂䡁䅑兙あ䡁䅍睘㉂䑁䅉睘畂䝁䅕睤畁䡁䅧䅢穂䝁䄰兘兂䝁䅕杢穂䝁䅫睢畂䍁䄰睔兂䕁䅕村湁䍁䅅䅊䑂䍁䅑免硁䑁䅯䅊䑂䍁䅑兎㍁䑁䅕䅁潂睂䅁杗䅁䙁䅳兔䩂䙁䄸睑療䝁䄰䅣桂䝁䄴入時䕁䅳党㕂䙁䅍䅤桂䡁䅑督時䡁䅙免畁䡁䅧䅢穂䝁䄰兘䱂䝁䅕入時䙁䅍䅤桂䡁䅑督桁䍁䅑村歁䑁䅕杍䅁偁䑷䅁慂䅁䅁睗乂䕁䅫睘䑂䝁䄸兢睂䝁䅅杢㕂䙁䄸睓求䡁䅫睕あ䝁䅅䅤穂䙁䄸杤硁䍁䄴䅥獂䡁䅍兢摂䕁䅳党㕂䙁䄸睕あ䝁䅅䅤穂䍁䅅䅊䍂䍁䅑兎ぁ䅁䅁杲䅑䙁䅯䅁扂䕁䄰兓時䕁䅍睢瑂䡁䅁兙畂䡁䅫睘䱂䝁䅕入呂䡁䅑兙あ䡁䅍睘㉂䑁䅅杌㑂䝁䅷督瑂䙁䄰睓求䡁䅫睘呂䡁䅑兙あ䡁䅍光歁䕁䅉䅊ㅁ䑁䅫䅁䅁䅂䅁杗䅁䙁䅳兔䩂䙁䄸睓求䡁䅫睕あ䝁䅅䅤穂䙁䄸杤硁䍁䄴䅥獂䡁䅍兢摂䕁䅳党㕂䙁䄸睕あ䝁䅅䅤穂䍁䅅䅊䑂䍁䅑免睁䑁䅕杏歁䕁䅍䅊硁䑁䅁兏䅁䵁䐴䅁慂䅁䅁睗乂䕁䅫睘䑂䝁䄸兢睂䝁䅅杢㕂䙁䄸睓求䡁䅫睕あ䝁䅅䅤穂䙁䄸杤硁䍁䄴䅥獂䡁䅍兢摂䕁䅳党㕂䙁䄸睕あ䝁䅅䅤穂䍁䅅䅊䍂䍁䅑李祁䅁䅁䅴䅑䝁䅯䅁扂䕁䄰兓時䕁䅍睢瑂䡁䅁兙畂䡁䅫睘䱂䝁䅕入呂䡁䅑兙あ䡁䅍睘㉂䑁䅅杌㑂䝁䅷督瑂䙁䄰睓求䡁䅫睘呂䡁䅑兙あ䡁䅍光歁䕁䅍䅊硁䑁䅁兎㙁䍁䅑睑歁䑁䅅䅍㕁䅁䅁朹䅍䝁䅯䅁扂䕁䄰兓時䕁䅍睢瑂䡁䅁兙畂䡁䅫睘䱂䝁䅕入呂䡁䅑兙あ䡁䅍睘㉂䑁䅅杌㑂䝁䅷督瑂䙁䄰睓求䡁䅫睘呂䡁䅑兙あ䡁䅍光歁䕁䅍䅊硁䑁䅁李㙁䍁䅑睑歁䑁䅅免睁䅁䅁兂䅕䝁䅯䅁扂䕁䄰兓時䕁䅍睢瑂䡁䅁兙畂䡁䅫睘䱂䝁䅕入呂䡁䅑兙あ䡁䅍睘㉂䑁䅅杌㑂䝁䅷督瑂䙁䄰睓求䡁䅫睘呂䡁䅑兙あ䡁䅍光歁䕁䅍䅊硁䑁䅁䅏㙁䍁䅑睑歁䑁䅅免祁䅁䅁六䅑䙁䅙䅁扂䙁䅍䅕䡂䙁䄸睑療䝁䄰䅣桂䝁䄴入時䕁䅳党㕂䙁䅍䅤桂䡁䅑督時䡁䅙杍畁䡁䅧䅢穂䝁䄰兘呂䝁䅧党求䡁䅑免桁䍁䅑兒歁䑁䅅免䅁䩁䝁䅁煂䅁䅁睗乂䕁䅫睘䑂䝁䄸兢睂䝁䅅杢㕂䙁䄸睓求䡁䅫睕あ䝁䅅䅤穂䙁䄸杤硁䍁䄴䅥獂䡁䅍兢摂䕁䅳党㕂䙁䄸睕あ䝁䅅䅤穂䍁䅅䅊䑂䍁䅑免睁䑁䅫杏歁䕁䅍䅊硁䑁䅅睍䅁䩁䕷䅁㉂䅁䅁睗乂䕁䅫睘䑂䝁䄸兢睂䝁䅅杢㕂䙁䄸睓求䡁䅫睕あ䝁䅅䅤穂䙁䄸杤硁䙁䄸杌㑂䝁䅷督瑂䙁䄰兓畂䝁䅍睢瑂䝁䅕睘呂䡁䅑兙あ䝁䅕兢求䝁䄴䅤桁䍁䅑睑歁䑁䅫杏歁䕁䅍䅊硁䑁䅣睍䅁乁䕍䅁浂䅁䅁睗乂䕁䅫睘䑂䝁䄸兢睂䝁䅅杢㕂䙁䄸睓求䡁䅫睕あ䝁䅅䅤穂䙁䄸杤硁䍁䄴䅥獂䡁䅍兢摂䕁䅳党㕂䙁䄸睕あ䝁䅅䅤穂䍁䅅䅊䑂䍁䅑杍㑁䑁䅯䅊䑂䍁䅑兎祁䅁䅁共䅑䝁䅙䅁扂䕁䄰兓時䕁䅍睢瑂䡁䅁兙畂䡁䅫睘䱂䝁䅕入呂䡁䅑兙あ䡁䅍睘㉂䑁䅅杌㑂䝁䅷督瑂䙁䄰睓求䡁䅫睘呂䡁䅑兙あ䡁䅍光歁䕁䅍䅊ㅁ䑁䅑杏歁䕁䅍䅊ㅁ䑁䅕䅁⭄睁䅁杚䅁䙁䅳兔䩂䙁䄸睑療䝁䄰䅣桂䝁䄴入時䕁䅳党㕂䙁䅍䅤桂䡁䅑督時䡁䅙免畁䡁䅧䅢穂䝁䄰兘䱂䝁䅕入時䙁䅍䅤桂䡁䅑督桁䍁䅑睑歁䑁䅕李㙁䍁䅑睑歁䑁䅕睎䅁䥁䔴䅁浂䅁䅁睗乂䕁䅫睘䑂䝁䄸兢睂䝁䅅杢㕂䙁䄸睓求䡁䅫睕あ䝁䅅䅤穂䙁䄸杤硁䍁䄴䅥獂䡁䅍兢摂䕁䅳党㕂䙁䄸睕あ䝁䅅䅤穂䍁䅅䅊䑂䍁䅑李ぁ䑁䅯䅊䑂䍁䅑睎睁䅁䅁睭䅑䝁䅙䅁扂䕁䄰兓時䕁䅍睢瑂䡁䅁兙畂䡁䅫睘䱂䝁䅕入呂䡁䅑兙あ䡁䅍睘㉂䑁䅅杌㑂䝁䅷督瑂䙁䄰睓求䡁䅫睘呂䡁䅑兙あ䡁䅍光歁䕁䅍䅊㉁䑁䅕杏歁䕁䅍䅊㍁䑁䅅䅁ㅃ䅂䅁杚䅁䙁䅳兔䩂䙁䄸睑療䝁䄰䅣桂䝁䄴入時䕁䅳党㕂䙁䅍䅤桂䡁䅑督時䡁䅙免畁䡁䅧䅢穂䝁䄰兘䱂䝁䅕入時䙁䅍䅤桂䡁䅑督桁䍁䅑䅒歁䑁䅉睎㙁䍁䅑䅒歁䑁䅕免䅁䥁䕯䅁浂䅁䅁睗乂䕁䅫睘䑂䝁䄸兢睂䝁䅅杢㕂䙁䄸睓求䡁䅫睕あ䝁䅅䅤穂䙁䄸杤硁䍁䄴䅥獂䡁䅍兢摂䕁䅳党㕂䙁䄸睕あ䝁䅅䅤穂䍁䅅䅊䕂䍁䅑兎ぁ䑁䅯䅊䕂䍁䅑兎ㅁ䅁䅁眯䅍䝁䅙䅁扂䕁䄰兓時䕁䅍睢瑂䡁䅁兙畂䡁䅫睘䱂䝁䅕入呂䡁䅑兙あ䡁䅍睘㉂䑁䅅杌㑂䝁䅷督瑂䙁䄰睓求䡁䅫睘呂䡁䅑兙あ䡁䅍光歁䕁䅑䅊ㅁ䑁䅣杏歁䕁䅑䅊ㅁ䑁䅧䅁㡃䅂䅁杦䅁䍁䅣睗䑂䝁䄸䅣㕂䍁䅁睢浂䍁䅁睕兂䕁䅣睘䑂䝁䄸兢睂䝁䅅杢㕂䙁䄸睓求䡁䅫睕あ䝁䅅䅤穂䙁䄸杤硁䙁䄸杒灂䝁䄴兙獂䍁䄴䅥獂䡁䅍兢摂䙁䅉兙あ䝁䅫睢穂䍁䅣光歁䕁䅑䅊㑁䑁䅯䅊䭂䍁䅑䅏䅁䭁䥑䅁煂䅁䅁睗乂䕁䅫睘䑂䝁䄸兢睂䝁䅅杢㕂䙁䄸睓求䡁䅫睕あ䝁䅅䅤穂䙁䄸杤硁䍁䄴䅥獂䡁䅍兢摂䕁䅳党㕂䙁䄸睕あ䝁䅅䅤穂䍁䅅䅊䙂䍁䅑免睁䑁䅑杏歁䕁䅣䅊硁䑁䅁䅎䅁偁䑣䅁䵃䅁䅁睊扂䕁䅍睢睂䡁䅫䅉療䝁䅙䅉呂䙁䅁睒時䕁䅍睢瑂䡁䅁兙畂䡁䅫睘䱂䝁䅕入呂䡁䅑兙あ䡁䅍睘㉂䑁䅅睘䝂䝁䅫杢桂䝁䅷杌㑂䝁䅷督瑂䙁䄰睓求䡁䅫睘呂䡁䅑兙あ䡁䅍睊桁䍁䅑睒歁䑁䅅䅍㉁䑁䅯䅊䭂䍁䅑免睁䑁䅙䅁呂䅃䅁条䅁䙁䅳兔䩂䙁䄸睑療䝁䄰䅣桂䝁䄴入時䕁䅳党㕂䙁䅍䅤桂䡁䅑督時䡁䅙免畁䡁䅧䅢穂䝁䄰兘䱂䝁䅕入時䙁䅍䅤桂䡁䅑督桁䍁䅑兒歁䑁䅅䅍㍁䑁䅯䅊䡂䍁䅑免睁䑁䅣䅁慃䅂䅁杚䅁䙁䅳兔䩂䙁䄸睑療䝁䄰䅣桂䝁䄴入時䕁䅳党㕂䙁䅍䅤桂䡁䅑督時䡁䅙免畁䡁䅧䅢穂䝁䄰兘䱂䝁䅕入時䙁䅍䅤桂䡁䅑督桁䍁䅑兒歁䑁䅉睍㙁䍁䅑杓歁䑁䅉睍䅁䥁䕍䅁浂䅁䅁睗乂䕁䅫睘䑂䝁䄸兢睂䝁䅅杢㕂䙁䄸睓求䡁䅫睕あ䝁䅅䅤穂䙁䄸杤硁䍁䄴䅥獂䡁䅍兢摂䕁䅳党㕂䙁䄸睕あ䝁䅅䅤穂䍁䅅䅊䙂䍁䅑杍ぁ䑁䅯䅊䭂䍁䅑杍ぁ䅁䅁全䅑䝁䅙䅁扂䕁䄰兓時䕁䅍睢瑂䡁䅁兙畂䡁䅫睘䱂䝁䅕入呂䡁䅑兙あ䡁䅍睘㉂䑁䅅杌㑂䝁䅷督瑂䙁䄰睓求䡁䅫睘呂䡁䅑兙あ䡁䅍光歁䕁䅕䅊祁䑁䅕杏歁䕁䅯䅊祁䑁䅕䅁䡃䅂䅁杚䅁䙁䅳兔䩂䙁䄸睑療䝁䄰䅣桂䝁䄴入時䕁䅳党㕂䙁䅍䅤桂䡁䅑督時䡁䅙免畁䡁䅧䅢穂䝁䄰兘䱂䝁䅕入時䙁䅍䅤桂䡁䅑督桁䍁䅑兒歁䑁䅉兎㙁䍁䅑䅔歁䑁䅉兎䅁䱁䕯䅁浂䅁䅁睗乂䕁䅫睘䑂䝁䄸兢睂䝁䅅杢㕂䙁䄸睓求䡁䅫睕あ䝁䅅䅤穂䙁䄸杤硁䍁䄴䅥獂䡁䅍兢摂䕁䅳党㕂䙁䄸睕あ䝁䅅䅤穂䍁䅅䅊䙂䍁䅑杍㉁䑁䅯䅊䭂䍁䅑杍㉁䅁䅁東䅑䝁䅙䅁扂䕁䄰兓時䕁䅍睢瑂䡁䅁兙畂䡁䅫睘䱂䝁䅕入呂䡁䅑兙あ䡁䅍睘㉂䑁䅅杌㑂䝁䅷督瑂䙁䄰睓求䡁䅫睘呂䡁䅑兙あ䡁䅍光歁䕁䅕䅊祁䑁䅙杏歁䕁䅷䅊祁䑁䅙䅁㝃䅂䅁杗䅁䙁䅳兔䩂䙁䄸睑療䝁䄰䅣桂䝁䄴入時䕁䅳党㕂䙁䅍䅤桂䡁䅑督時䡁䅙免畁䡁䅧䅢穂䝁䄰兘䱂䝁䅕入時䙁䅍䅤桂䡁䅑督桁䍁䅑兒歁䑁䅙䅍䅁䅁䕍䅁慂䅁䅁睗乂䕁䅫睘䑂䝁䄸兢睂䝁䅅杢㕂䙁䄸睓求䡁䅫睕あ䝁䅅䅤穂䙁䄸杤硁䍁䄴䅥獂䡁䅍兢摂䕁䅳党㕂䙁䄸睕あ䝁䅅䅤穂䍁䅅䅊䙂䍁䅑李硁䅁䅁八䅑䝁䅙䅁扂䕁䄰兓時䕁䅍睢瑂䡁䅁兙畂䡁䅫睘䱂䝁䅕入呂䡁䅑兙あ䡁䅍睘㉂䑁䅅杌㑂䝁䅷督瑂䙁䄰睓求䡁䅫睘呂䡁䅑兙あ䡁䅍光歁䕁䄰䅊祁䑁䅙杏歁䕁䄸䅊祁䑁䅙䅁瑃䅂䅁杗䅁䙁䅳兔䩂䙁䄸睑療䝁䄰䅣桂䝁䄴入時䕁䅳党㕂䙁䅍䅤桂䡁䅑督時䡁䅙免畁䡁䅧䅢穂䝁䄰兘䱂䝁䅕入時䙁䅍䅤桂䡁䅑督桁䍁䅑睕歁䑁䅕兎䅁䩁䙷䅁歃䅁䅁睊扂䕁䅍睢睂䡁䅫䅉療䝁䅙䅉呂䙁䅁睒時䕁䅍睢瑂䡁䅁兙畂䡁䅫睘䱂䝁䅕入呂䡁䅑兙あ䡁䅍睘㉂䑁䅅睘䝂䝁䅫杢桂䝁䅷杌㑂䝁䅷督瑂䙁䄰睑桂䡁䅁兡あ䝁䅅䅢時䙁䅍䅤祂䡁䅕睙あ䡁䅕杣求䙁䄸睕ㅂ䝁䄰兢桂䡁䅉入湁䍁䅅䅊䙂䍁䅑李㙁䍁䅑兕歁䑁䅙䅁潂䅃䅁䅮䅁䍁䅣睗䑂䝁䄸䅣㕂䍁䅁睢浂䍁䅁睕兂䕁䅣睘䑂䝁䄸兢睂䝁䅅杢㕂䙁䄸睓求䡁䅫睕あ䝁䅅䅤穂䙁䄸杤祁䙁䄸杢求䡁䅣杌㑂䝁䅷督瑂䙁䄰睑桂䡁䅁兡あ䝁䅅䅢時䙁䅍䅤祂䡁䅕睙あ䡁䅕杣求䙁䄸䅉䕂䝁䅕䅤桂䝁䅫䅢穂䍁䅁睊桁䍁䅑睓歁䑁䅑䅎䅁䥁䡁䅁浂䅁䅁睗乂䕁䅫睘䑂䝁䄸兢睂䝁䅅杢㕂䙁䄸睓求䡁䅫睕あ䝁䅅䅤穂䙁䄸杤硁䍁䄴䅥獂䡁䅍兢摂䕁䅳党㕂䙁䄸睕あ䝁䅅䅤穂䍁䅅䅊呂䍁䅑兎㑁䑁䅯䅊呂䍁䅑李硁䅁䅁䅲䅕䝁䅙䅁扂䕁䄰兓時䕁䅍睢瑂䡁䅁兙畂䡁䅫睘䱂䝁䅕入呂䡁䅑兙あ䡁䅍睘㉂䑁䅅杌㑂䝁䅷督瑂䙁䄰睓求䡁䅫睘呂䡁䅑兙あ䡁䅍光歁䙁䅙䅊ㅁ䑁䅣杏歁䙁䅫䅊ㅁ䑁䅣䅁敃兂䅁杙䅁䙁䅳兔䩂䙁䄸睑療䝁䄰䅣桂䝁䄴入時䕁䅳党㕂䙁䅍䅤桂䡁䅑督時䡁䅙免畁䡁䅧䅢穂䝁䄰兘卂䝁䅅䅤灂䝁䄸督桁䍁䅑睑歁䑁䅅免㙁䍁䅑睑歁䑁䅅兎祁䅁䅁杸䅕䙁䅉䅁扂䕁䄰兓時䕁䅍睢瑂䡁䅁兙畂䡁䅫睘䱂䝁䅕入呂䡁䅑兙あ䡁䅍睘㉂䑁䅅杌㑂䝁䅷督瑂䙁䄰杕桂䡁䅑兡療䡁䅍光歁䕁䅍䅊ぁ䅁䅁䅊䅑䙁䅉䅁扂䕁䄰兓時䕁䅍睢瑂䡁䅁兙畂䡁䅫睘䱂䝁䅕入呂䡁䅑兙あ䡁䅍睘㉂䑁䅅杌㑂䝁䅷督瑂䙁䄰杕桂䡁䅑兡療䡁䅍光歁䕁䅍䅊㉁䅁䅁䅸䅕䝁䅁䅁扂䕁䄰兓時䕁䅍睢瑂䡁䅁兙畂䡁䅫睘䱂䝁䅕入呂䡁䅑兙あ䡁䅍睘㉂䑁䅅杌㑂䝁䅷督瑂䙁䄰杕桂䡁䅑兡療䡁䅍光歁䕁䅍䅊㕁䑁䅯䅊䑂䍁䅑免ㅁ䑁䅁䅁流䅂䅁䅘䅁䙁䅳兔䩂䙁䄸睑療䝁䄰䅣桂䝁䄴入時䕁䅳党㕂䙁䅍䅤桂䡁䅑督時䡁䅙免畁䡁䅧䅢穂䝁䄰兘卂䝁䅅䅤灂䝁䄸督桁䍁䅑䅒歁䑁䅕杏歁䕁䅫䅊ㅁ䅁䅁睊䅑䙁䅷䅁扂䕁䄰兓時䕁䅍睢瑂䡁䅁兙畂䡁䅫睘䱂䝁䅕入呂䡁䅑兙あ䡁䅍睘㉂䑁䅅杌㑂䝁䅷督瑂䙁䄰杕桂䡁䅑兡療䡁䅍光歁䕁䅑䅊㍁䑁䅯䅊䩂䍁䅑睎䅁䵁䙣䅁畂䅁䅁睗乂䕁䅫睘䑂䝁䄸兢睂䝁䅅杢㕂䙁䄸睓求䡁䅫睕あ䝁䅅䅤穂䙁䄸杤硁䍁䄴䅥獂䡁䅍兢摂䙁䅍兤睂䡁䅁䅢求䝁䄰党畂䡁䅑兙獂䍁䅅䅊䑂䍁䅑免硁䑁䅯䅊䑂䍁䅑免㉁䑁䅙䅁䭄兂䅁杦䅁䍁䅣睗䑂䝁䄸䅣㕂䍁䅁睢浂䍁䅁睕兂䕁䅣睘䑂䝁䄸兢睂䝁䅅杢㕂䙁䄸睓求䡁䅫睕あ䝁䅅䅤穂䙁䄸杤祁䙁䄸杢求䡁䅣杌㑂䝁䅷督瑂䙁䄰村桂䝁䅷兙畂䝁䅍党時䙁䅍䅡求䝁䅕䅤湁䍁䅅䅊䑂䍁䅑李䅁䕁䡉䅁敂䅁䅁睗乂䕁䅫睘䑂䝁䄸兢睂䝁䅅杢㕂䙁䄸睓求䡁䅫睕あ䝁䅅䅤穂䙁䄸杤硁䍁䄴䅥獂䡁䅍兢摂䙁䅍兤睂䡁䅁䅢求䝁䄰党畂䡁䅑兙獂䍁䅅䅊䑂䍁䅑䅎䅁䍁䕧䅁敂䅁䅁睗乂䕁䅫睘䑂䝁䄸兢睂䝁䅅杢㕂䙁䄸睓求䡁䅫睕あ䝁䅅䅤穂䙁䄸杤硁䍁䄴䅥獂䡁䅍兢摂䙁䅍兤睂䡁䅁䅢求䝁䄰党畂䡁䅑兙獂䍁䅅䅊䑂䍁䅑李䅁䵁䙧䅁獂䅁䅁睗乂䕁䅫睘䑂䝁䄸兢睂䝁䅅杢㕂䙁䄸睓求䡁䅫睕あ䝁䅅䅤穂䙁䄸杤硁䍁䄴䅥獂䡁䅍兢摂䙁䅍兤睂䡁䅁䅢求䝁䄰党畂䡁䅑兙獂䍁䅅䅊䑂䍁䅑兏㙁䍁䅑睑歁䑁䅅李ぁ䅁䅁杋䅑䕁䅯䅁扂䕁䄰兓時䕁䅳党㕂䙁䅍䅤桂䡁䅑督時䡁䅙免畁䡁䅧䅢穂䝁䄰兘䱂䝁䅕入時䙁䅍䅤桂䡁䅑督桁䍁䅑兒歁䑁䅕兏䅁䡁䑉䅁潂䅁䅁睗乂䕁䅫睘䑂䝁䄸兢睂䝁䅅杢㕂䙁䄸睓求䡁䅫睕あ䝁䅅䅤穂䙁䄸杤硁䍁䄴䅥獂䡁䅍兢摂䙁䅍兤睂䡁䅁䅢求䝁䄰党畂䡁䅑兙獂䍁䅅䅊䕂䍁䅑兎㙁䍁䅑兓歁䑁䅕䅁牁䅂䅁䅡䅁䙁䅳兔䩂䙁䄸睑療䝁䄰䅣桂䝁䄴入時䕁䅳党㕂䙁䅍䅤桂䡁䅑督時䡁䅙免畁䡁䅧䅢穂䝁䄰兘呂䡁䅕䅣睂䝁䅷党瑂䝁䅕杢あ䝁䅅䅢桁䍁䅑䅒歁䑁䅙杏歁䕁䅫䅊㉁䅁䅁兹䅕䝁䅉䅁扂䕁䄰兓時䕁䅍睢瑂䡁䅁兙畂䡁䅫睘䱂䝁䅕入呂䡁䅑兙あ䡁䅍睘㉂䑁䅅睔獂䝁䅑杌㑂䝁䅷督瑂䙁䄰睓求䡁䅫睘呂䡁䅑兙あ䡁䅍光歁䕁䅉䅊硁䑁䅁杍䅁䡁䔴䅁杂䅁䅁睗乂䕁䅫睘䑂䝁䄸兢睂䝁䅅杢㕂䙁䄸睓求䡁䅫睕あ䝁䅅䅤穂䙁䄸杤硁䕁䄸䅢歂䍁䄴䅥獂䡁䅍兢摂䕁䅳党㕂䙁䄸睕あ䝁䅅䅤穂䍁䅅䅊䍂䍁䅑杍穁䅁䅁来䅑䡁䅁䅁扂䕁䄰兓時䕁䅍睢瑂䡁䅁兙畂䡁䅫睘䱂䝁䅕入呂䡁䅑兙あ䡁䅍睘㉂䑁䅅睔獂䝁䅑杌㑂䝁䅷督瑂䙁䄰睓求䡁䅫睘呂䡁䅑兙あ䡁䅍光歁䕁䅕䅊硁䑁䅁睍㙁䍁䅑睒歁䑁䅅䅍穁䅁䅁睦䅑䝁䅁䅁扂䕁䄰兓時䕁䅳党㕂䙁䅍䅤桂䡁䅑督時䡁䅙免畁䡁䅧䅢穂䝁䄰兘䩂䝁䄴睙療䝁䄰党時䙁䅍䅤桂䡁䅑党瑂䝁䅕杢あ䍁䅅䅊䙂䍁䅑兎㙁䍁䅑䅕歁䑁䅕䅁䝃睁䅁䅣䅁䙁䅳兔䩂䙁䄸睑療䝁䄰䅣桂䝁䄴入時䕁䅳党㕂䙁䅍䅤桂䡁䅑督時䡁䅙免偂䝁䅷䅚畁䡁䅧䅢穂䝁䄰兘䱂䝁䅕入時䙁䅍䅤桂䡁䅑督桁䍁䅑兒歁䑁䅅䅍ぁ䑁䅯䅊䡂䍁䅑免睁䑁䅑䅁䉃䅂䅁杚䅁䙁䅳兔䩂䙁䄸睑療䝁䄰䅣桂䝁䄴入時䕁䅳党㕂䙁䅍䅤桂䡁䅑督時䡁䅙免時䍁䄴䅥獂䡁䅍兢摂䕁䅉兙獂䝁䅅杢橂䝁䅕睘呂䝁䅧党求䡁䅑光歁䕁䅍䅊硁䑁䅑睍䅁乁䔰䅁啃䅁䅁睊扂䕁䅍睢睂䡁䅫䅉療䝁䅙䅉呂䙁䅁睒時䕁䅍睢瑂䡁䅁兙畂䡁䅫睘䱂䝁䅕入呂䡁䅑兙あ䡁䅍睘㉂䑁䅉睘畂䝁䅕睤畁䡁䅧䅢穂䝁䄰兘䩂䝁䄴睙療䝁䄰党時䙁䅍䅤桂䡁䅑党瑂䝁䅕杢あ䍁䅣光歁䕁䅍䅊硁䑁䅅杏歁䕁䅍䅊祁䑁䅁免䅁䭁䠴䅁浂䅁䅁睗乂䕁䅫睘䑂䝁䄸兢睂䝁䅅杢㕂䙁䄸睓求䡁䅫睕あ䝁䅅䅤穂䙁䄸杤硁䙁䄸杌㑂䝁䅷督瑂䙁䄰村桂䝁䅷兙畂䝁䅍党時䙁䅍䅡求䝁䅕䅤桁䍁䅑睑歁䑁䅅䅎㉁䅁䅁眳䅑䡁䅑䅁扂䕁䄰兓時䕁䅍睢瑂䡁䅁兙畂䡁䅫睘䱂䝁䅕入呂䡁䅑兙あ䡁䅍睘㉂䑁䅅睘畁䡁䅧䅢穂䝁䄰兘䍂䝁䅅䅢桂䝁䄴睙求䙁䄸睕潂䝁䅕党あ䍁䅅䅊䙂䍁䅑免ぁ䑁䅍杏歁䙁䅁䅊硁䑁䅑睍䅁乁䔴䅁獂䅁䅁睗乂䕁䅫睘䑂䝁䄸兢睂䝁䅅杢㕂䙁䄸睓求䡁䅫睕あ䝁䅅䅤穂䙁䄸杤硁䙁䄸杌㑂䝁䅷督瑂䙁䄰村桂䝁䅷兙畂䝁䅍党時䙁䅍䅡求䝁䅕䅤桁䍁䅑兒歁䑁䅑杏歁䙁䅁䅊ぁ䅁䅁朲䅑䥁䅯䅁扂䕁䄰兓時䕁䅍睢瑂䡁䅁兙畂䡁䅫睘䱂䝁䅕入呂䡁䅑兙あ䡁䅍睘㉂䑁䅅睘畁䡁䅧䅢穂䝁䄰兘䑂䝁䅅䅣灂䡁䅑兙獂䙁䄸睕あ䡁䅉兤橂䡁䅑兤祂䝁䅕睘呂䡁䅕兢瑂䝁䅅杣㕂䍁䅅䅊䑂䍁䅑免穁䑁䅯䅊䑂䍁䅑免ㅁ䑁䅁䅁穄䅂䅁来䅁䙁䅳兔䩂䙁䄸睑療䝁䄰䅣桂䝁䄴入時䕁䅳党㕂䙁䅍䅤桂䡁䅑督時䡁䅙免時䍁䄴䅥獂䡁䅍兢摂䕁䅍兙睂䝁䅫䅤桂䝁䅷睘呂䡁䅑杣ㅂ䝁䅍䅤ㅂ䡁䅉党時䙁䅍兤瑂䝁䄰兙祂䡁䅫光歁䕁䅍䅊ㅁ䅁䅁儹䅑䥁䅧䅁扂䕁䄰兓時䕁䅍睢瑂䡁䅁兙畂䡁䅫睘䱂䝁䅕入呂䡁䅑兙あ䡁䅍睘㉂䑁䅅睘畁䡁䅧䅢穂䝁䄰兘䑂䝁䅅䅣灂䡁䅑兙獂䙁䄸睕あ䡁䅉兤橂䡁䅑兤祂䝁䅕睘呂䡁䅕兢瑂䝁䅅杣㕂䍁䅅䅊䕂䍁䅑杍㍁䑁䅯䅊䕂䍁䅑睎㑁䅁䅁眹䅑䥁䅧䅁湁䙁䅳睑療䡁䅁入杁䝁䄸杚杁䙁䅍䅕䡂䙁䄸睑療䝁䄰䅣桂䝁䄴入時䕁䅳党㕂䙁䅍䅤桂䡁䅑督時䡁䅙杍時䝁䄴党㍂䍁䄴䅥獂䡁䅍兢摂䕁䅉兙獂䝁䅅杢橂䝁䅕睘呂䝁䅧党求䡁䅑睊桁䍁䅑兒歁䑁䅙杏歁䙁䅅䅊㉁䅁䅁关䅣䥁䅑䅁扂䕁䄰兓時䕁䅍睢瑂䡁䅁兙畂䡁䅫睘䱂䝁䅕入呂䡁䅑兙あ䡁䅍睘㉂䑁䅅睘畁䡁䅧䅢穂䝁䄰兘䑂䝁䅅䅣灂䡁䅑兙獂䙁䄸睕あ䡁䅉兤橂䡁䅑兤祂䝁䅕睘呂䡁䅕兢瑂䝁䅅杣㕂䍁䅅䅊䙂䍁䅑䅎㙁䍁䅑睔歁䑁䅑䅁祄䅂䅁䅨䅁䙁䅳兔䩂䙁䄸睑療䝁䄰䅣桂䝁䄴入時䕁䅳党㕂䙁䅍䅤桂䡁䅑督時䡁䅙免時䍁䄴䅥獂䡁䅍兢摂䕁䅍兙睂䝁䅫䅤桂䝁䅷睘呂䡁䅑杣ㅂ䝁䅍䅤ㅂ䡁䅉党時䙁䅍兤瑂䝁䄰兙祂䡁䅫光歁䕁䅙䅊㑁䑁䅯䅊兂䍁䅑䅏䅁偁䕙䅁䕃䅁䅁睗乂䕁䅫睘䑂䝁䄸兢睂䝁䅅杢㕂䙁䄸睓求䡁䅫睕あ䝁䅅䅤穂䙁䄸杤硁䙁䄸杌㑂䝁䅷督瑂䙁䄰睑桂䡁䅁兡あ䝁䅅䅢時䙁䅍䅤祂䡁䅕睙あ䡁䅕杣求䙁䄸睕ㅂ䝁䄰兢桂䡁䅉入桁䍁䅑杒歁䑁䅫杏歁䙁䅁䅊㕁䅁䅁䄫䅑䝁䅑䅁扂䕁䄰兓時䕁䅍睢瑂䡁䅁兙畂䡁䅫睘䱂䝁䅕入呂䡁䅑兙あ䡁䅍睘㉂䑁䅅睘畁䡁䅧䅢穂䝁䄰兘䑂䝁䅅䅣灂䡁䅑兙獂䝁䅫来桂䡁䅑兡療䝁䄴光歁䕁䅍䅊ぁ䅁䅁儵䅑䝁䅙䅁扂䕁䄰兓時䕁䅍睢瑂䡁䅁兙畂䡁䅫睘䱂䝁䅕入呂䡁䅑兙あ䡁䅍睘㉂䑁䅅睘畁䡁䅧䅢穂䝁䄰兘䑂䝁䅅䅣灂䡁䅑兙獂䝁䅫来桂䡁䅑兡療䝁䄴光歁䕁䅍䅊ぁ䑁䅣䅁瑄䅂䅁杣䅁䙁䅳兔䩂䙁䄸睑療䝁䄰䅣桂䝁䄴入時䕁䅳党㕂䙁䅍䅤桂䡁䅑督時䡁䅙免時䍁䄴䅥獂䡁䅍兢摂䕁䅍兙睂䝁䅫䅤桂䝁䅷兡㙂䝁䅅䅤灂䝁䄸杢桁䍁䅑兒歁䑁䅑睎㙁䍁䅑杓歁䑁䅑睎䅁佁䕯䅁祂䅁䅁睗乂䕁䅫睘䑂䝁䄸兢睂䝁䅅杢㕂䙁䄸睓求䡁䅫睕あ䝁䅅䅤穂䙁䄸杤硁䙁䄸杌㑂䝁䅷督瑂䙁䄰睑桂䡁䅁兡あ䝁䅅䅢灂䡁䅯兙あ䝁䅫睢畂䍁䅅䅊䙂䍁䅑䅎㑁䑁䅯䅊䭂䍁䅑䅎㑁䅁䅁䄷䅑䡁䅉䅁扂䕁䄰兓時䕁䅍睢瑂䡁䅁兙畂䡁䅫睘䱂䝁䅕入呂䡁䅑兙あ䡁䅍睘㉂䑁䅅睘畁䡁䅧䅢穂䝁䄰兘䑂䝁䅅䅣灂䡁䅑兙獂䝁䅫来桂䡁䅑兡療䝁䄴光歁䕁䅕䅊ㅁ䑁䅅杏歁䕁䅯䅊ㅁ䑁䅅䅁畄䅂䅁杖䅁䙁䅳睕兂䕁䅣睘䑂䝁䄸兢睂䝁䅅杢㕂䙁䄸睓求䡁䅫睕あ䝁䅅䅤穂䙁䄸杤祁䍁䄴䅥獂䡁䅍兢摂䙁䅍䅡求䝁䅕䅤硁䍁䅅䅊䱂䍁䅑睎ㅁ䅁䅁䅶䅙䙁䅯䅁扂䕁䄰兓時䕁䅍睢瑂䡁䅁兙畂䡁䅫睘䱂䝁䅕入呂䡁䅑兙あ䡁䅍睘㉂䑁䅅睘畁䡁䅧䅢穂䝁䄰兘䑂䝁䅅督潂䙁䄸杒獂䝁䄸睤桁䍁䅑睑歁䑁䅑䅁桄䅂䅁䅢䅁䙁䅳兔䩂䙁䄸睑療䝁䄰䅣桂䝁䄴入時䕁䅳党㕂䙁䅍䅤桂䡁䅑督時䡁䅙免時䍁䄴䅥獂䡁䅍兢摂䕁䅫杢橂䝁䄸兢求䙁䄸睕あ䝁䅅䅤求䝁䄰党畂䡁䅑光歁䕁䅍䅊硁䑁䅣兏䅁乁䕣䅁祂䅁䅁睗乂䕁䅫睘䑂䝁䄸兢睂䝁䅅杢㕂䙁䄸睓求䡁䅫睕あ䝁䅅䅤穂䙁䄸杤硁䙁䄸杌㑂䝁䅷督瑂䙁䄰兓畂䝁䅍睢瑂䝁䅕睘呂䡁䅑兙あ䝁䅕兢求䝁䄴䅤桁䍁䅑兒歁䑁䅑杏歁䙁䅁䅊ぁ䅁䅁朰䅑䡁䅯䅁扂䕁䄰兓時䕁䅍睢瑂䡁䅁兙畂䡁䅫睘䱂䝁䅕入呂䡁䅑兙あ䡁䅍睘㉂䑁䅅睘畁䡁䅧䅢穂䝁䄰兘䩂䝁䄴睙療䝁䄰党時䙁䅍䅤桂䡁䅑党瑂䝁䅕杢あ䍁䅅䅊䙂䍁䅑免㍁䑁䅙杏歁䙁䅁䅊硁䑁䅣李䅁乁䕙䅁捂䅁䅁睗乂䕁䅫睘䑂䝁䄸兢睂䝁䅅杢㕂䙁䄸睓求䡁䅫睕あ䝁䅅䅤穂䙁䄸杤硁䙁䄸杌㑂䝁䅷督瑂䙁䄰睓求䡁䅫睘呂䡁䅑兙あ䡁䅍光歁䕁䅉䅊ㅁ䑁䅑䅁䙄䅂䅁䅘䅁䙁䅳兔䩂䙁䄸睑療䝁䄰䅣桂䝁䄴入時䕁䅳党㕂䙁䅍䅤桂䡁䅑督時䡁䅙免時䍁䄴䅥獂䡁䅍兢摂䕁䅳党㕂䙁䄸睕あ䝁䅅䅤穂䍁䅅䅊䍂䍁䅑李祁䅁䅁兹䅑䝁䅧䅁扂䕁䄰兓時䕁䅍睢瑂䡁䅁兙畂䡁䅫睘䱂䝁䅕入呂䡁䅑兙あ䡁䅍睘㉂䑁䅅睘畁䡁䅧䅢穂䝁䄰兘䱂䝁䅕入時䙁䅍䅤桂䡁䅑督桁䍁䅑睑歁䑁䅕睎㙁䍁䅑睑歁䑁䅕䅏䅁䵁䕣䅁獂䅁䅁睗乂䕁䅫睘䑂䝁䄸兢睂䝁䅅杢㕂䙁䄸睓求䡁䅫睕あ䝁䅅䅤穂䙁䄸杤硁䙁䄸杌㑂䝁䅷督瑂䙁䄰睓求䡁䅫睘呂䡁䅑兙あ䡁䅍光歁䕁䅕䅊硁䑁䅁睎㙁䍁䅑睒歁䑁䅅䅍㍁䅁䅁杺䅑䝁䅷䅁扂䕁䄰兓時䕁䅍睢瑂䡁䅁兙畂䡁䅫睘䱂䝁䅕入呂䡁䅑兙あ䡁䅍睘㉂䑁䅅睘畁䡁䅧䅢穂䝁䄰兘䱂䝁䅕入時䙁䅍䅤桂䡁䅑督桁䍁䅑兒歁䑁䅅䅍㑁䑁䅯䅊䡂䍁䅑免睁䑁䅧䅁兄䅂䅁䅡䅁䙁䅳兔䩂䙁䄸睑療䝁䄰䅣桂䝁䄴入時䕁䅳党㕂䙁䅍䅤桂䡁䅑督時䡁䅙免時䍁䄴䅥獂䡁䅍兢摂䕁䅳党㕂䙁䄸睕あ䝁䅅䅤穂䍁䅅䅊䙂䍁䅑杍ㅁ䑁䅯䅊䭂䍁䅑杍ㅁ䅁䅁杶䅑䝁䅧䅁扂䕁䄰兓時䕁䅍睢瑂䡁䅁兙畂䡁䅫睘䱂䝁䅕入呂䡁䅑兙あ䡁䅍睘㉂䑁䅅睘畁䡁䅧䅢穂䝁䄰兘䱂䝁䅕入時䙁䅍䅤桂䡁䅑督桁䍁䅑兒歁䑁䅉李㙁䍁䅑杓歁䑁䅉李䅁䵁䕁䅁捂䅁䅁睗乂䕁䅫睘䑂䝁䄸兢睂䝁䅅杢㕂䙁䄸睓求䡁䅫睕あ䝁䅅䅤穂䙁䄸杤硁䙁䄸杌㑂䝁䅷督瑂䙁䄰睓求䡁䅫睘呂䡁䅑兙あ䡁䅍光歁䕁䅕䅊ㅁ䑁䅑䅁䝄䅂䅁䅏䅁䕁䄸䅣あ䝁䅫睢畂䡁䅍杏呂䡁䅑兙あ䝁䅫督あ䝁䅫睙㥁䕁䄰兒䕂䍁䅷杔䉂䑁䄰杔䉂䅁䅁䄱䅣䙁䅷䅁扂䕁䄰兓時䕁䅍睢瑂䡁䅁兙畂䡁䅫睘䱂䝁䅕入呂䡁䅑兙あ䡁䅍睘㉂䑁䅅睘畁䡁䅧䅢穂䝁䄰兘䱂䝁䅕入時䙁䅍䅤桂䡁䅑督桁䍁䅑兒歁䑁䅙杍䅁䵁䕯䅁捂䅁䅁睗乂䕁䅫睘䑂䝁䄸兢睂䝁䅅杢㕂䙁䄸睓求䡁䅫睕あ䝁䅅䅤穂䙁䄸杤硁䙁䄸杌㑂䝁䅷督瑂䙁䄰睓求䡁䅫睘呂䡁䅑兙あ䡁䅍光歁䕁䅕䅊㉁䑁䅍䅁䵄䅂䅁䅡䅁䙁䅳兔䩂䙁䄸睑療䝁䄰䅣桂䝁䄴入時䕁䅳党㕂䙁䅍䅤桂䡁䅑督時䡁䅙免時䍁䄴䅥獂䡁䅍兢摂䕁䅳党㕂䙁䄸睕あ䝁䅅䅤穂䍁䅅䅊乂䍁䅑杍ㅁ䑁䅯䅊偂䍁䅑杍ㅁ䅁䅁杷䅑䝁䅧䅁扂䕁䄰兓時䕁䅍睢瑂䡁䅁兙畂䡁䅫睘䱂䝁䅕入呂䡁䅑兙あ䡁䅍睘㉂䑁䅅睘畁䡁䅧䅢穂䝁䄰兘䱂䝁䅕入時䙁䅍䅤桂䡁䅑督桁䍁䅑兔歁䑁䅉李㙁䍁䅑睔歁䑁䅉李䅁䵁䕑䅁敂䅁䅁睗乂䕁䅫睘䱂䝁䅕入呂䡁䅑兙あ䡁䅍睘㉂䑁䅅杌㑂䝁䅷督瑂䙁䄰村桂䝁䅷兙畂䝁䅍党時䙁䅍䅡求䝁䅕䅤桁䍁䅑睑歁䑁䅫杏歁䕁䅍䅊硁䑁䅍睎䅁䩁䑣䅁杂䅁䅁睗乂䕁䅫睘䑂䝁䄸兢睂䝁䅅杢㕂䙁䄸睓求䡁䅫睕あ䝁䅅䅤穂䙁䄸杤硁䙁䄸杌㑂䝁䅷督瑂䙁䄰睕ㅂ䡁䅁䅣獂䝁䅕兢求䝁䄴䅤桂䝁䅷光歁䕁䅍䅊ぁ䅁䅁儯䅑䝁䅯䅁扂䕁䄰兓時䕁䅍睢瑂䡁䅁兙畂䡁䅫睘䱂䝁䅕入呂䡁䅑兙あ䡁䅍睘㉂䑁䅅睘畁䡁䅧䅢穂䝁䄰兘呂䡁䅕䅣睂䝁䅷党瑂䝁䅕杢あ䝁䅅䅢桁䍁䅑䅒歁䑁䅑杏歁䕁䅫䅊ぁ䅁䅁术䅑䝁䅧䅁扂䙁䅍䅕䡂䙁䄸睑療䝁䄰䅣桂䝁䄴入時䕁䅳党㕂䙁䅍䅤桂䡁䅑督時䡁䅙杍畁䡁䅧䅢穂䝁䄰兘䱂䝁䅕入時䙁䅍䅤桂䡁䅑督桁䍁䅑兒歁䑁䅉兎㙁䍁䅑杓歁䑁䅉兎䅁佁䡣䅁敂䅁䅁睗乂䕁䅫睘䱂䝁䅕入呂䡁䅑兙あ䡁䅍睘㉂䑁䅅杌㑂䝁䅷督瑂䙁䄰村桂䝁䅷兙畂䝁䅍党時䙁䅍䅡求䝁䅕䅤桁䍁䅑睑歁䑁䅫杏歁䕁䅍䅊硁䑁䅍䅏䅁䱁䐴䅁敂䅁䅁睗乂䕁䅫睘䱂䝁䅕入呂䡁䅑兙あ䡁䅍睘㉂䑁䅅杌㑂䝁䅷督瑂䙁䄰村桂䝁䅷兙畂䝁䅍党時䙁䅍䅡求䝁䅕䅤桁䍁䅑睑歁䑁䅫杏歁䕁䅍䅊硁䑁䅑䅍䅁佁䑙䅁慂䅁䅁睗乂䕁䅫睘䱂䝁䅕入呂䡁䅑兙あ䡁䅍睘㉂䑁䅅杌㑂䝁䅷督瑂䙁䄰村桂䝁䅷兙畂䝁䅍党時䙁䅍䅡求䝁䅕䅤桁䍁䅑兒歁䑁䅑杏歁䙁䅁䅊ぁ䅁䅁杬䅍䡁䅧䅁扂䕁䄰兓時䕁䅳党㕂䙁䅍䅤桂䡁䅑督時䡁䅙免畁䡁䅧䅢穂䝁䄰兘䑂䝁䅅䅣灂䡁䅑兙獂䙁䄸睕あ䡁䅉兤橂䡁䅑兤祂䝁䅕睘呂䡁䅕兢瑂䝁䅅杣㕂䍁䅅䅊䑂䍁䅑免穁䑁䅯䅊䑂䍁䅑免ぁ䑁䅙䅁牃睁䅁䅥䅁䙁䅳兔䩂䙁䄸睓求䡁䅫睕あ䝁䅅䅤穂䙁䄸杤硁䍁䄴䅥獂䡁䅍兢摂䕁䅍兙睂䝁䅫䅤桂䝁䅷睘呂䡁䅑杣ㅂ䝁䅍䅤ㅂ䡁䅉党時䙁䅍兤瑂䝁䄰兙祂䡁䅫光歁䕁䅍䅊硁䑁䅍杏歁䕁䅍䅊硁䑁䅑䅏䅁䵁䑁䅁㉂䅁䅁睗乂䕁䅫睘䱂䝁䅕入呂䡁䅑兙あ䡁䅍睘㉂䑁䅅杌㑂䝁䅷督瑂䙁䄰睑桂䡁䅁兡あ䝁䅅䅢時䙁䅍䅤祂䡁䅕睙あ䡁䅕杣求䙁䄸睕ㅂ䝁䄰兢桂䡁䅉入桁䍁䅑䅒歁䑁䅉睎㙁䍁䅑䅒歁䑁䅣䅏䅁䵁䑍䅁潂䅁䅁睗呂䙁䅁睒時䕁䅍睢瑂䡁䅁兙畂䡁䅫睘䱂䝁䅕入呂䡁䅑兙あ䡁䅍睘㉂䑁䅅杌㑂䝁䅷督瑂䙁䄰睓求䡁䅫睘呂䡁䅑兙あ䡁䅍光歁䕁䄰䅊祁䑁䅕杏歁䕁䄸䅊祁䑁䅕䅁噄兂䅁杣䅁䙁䅳兔䩂䙁䄸睓求䡁䅫睕あ䝁䅅䅤穂䙁䄸杤硁䍁䄴䅥獂䡁䅍兢摂䕁䅍兙睂䝁䅫䅤桂䝁䅷睘呂䡁䅑杣ㅂ䝁䅍䅤ㅂ䡁䅉党時䙁䅍兤瑂䝁䄰兙祂䡁䅫光歁䕁䅕䅊ぁ䑁䅯䅊乂䍁䅑䅎䅁䭁䑯䅁祂䅁䅁睗乂䕁䅫睘䱂䝁䅕入呂䡁䅑兙あ䡁䅍睘㉂䑁䅅杌㑂䝁䅷督瑂䙁䄰睑桂䡁䅁兡あ䝁䅅䅢時䙁䅍䅤祂䡁䅕睙あ䡁䅕杣求䙁䄸睕ㅂ䝁䄰兢桂䡁䅉入桁䍁䅑兒歁䑁䅑杏歁䕁䄸䅊ぁ䅁䅁䄷䅍䡁䅉䅁扂䕁䄰兓時䕁䅳党㕂䙁䅍䅤桂䡁䅑督時䡁䅙免畁䡁䅧䅢穂䝁䄰兘䑂䝁䅅䅣灂䡁䅑兙獂䙁䄸睕あ䡁䅉兤橂䡁䅑兤祂䝁䅕睘呂䡁䅕兢瑂䝁䅅杣㕂䍁䅅䅊䙂䍁䅑兎㙁䍁䅑睔歁䑁䅕䅁瑄睁䅁杣䅁䙁䅳兔䩂䙁䄸睓求䡁䅫睕あ䝁䅅䅤穂䙁䄸杤硁䍁䄴䅥獂䡁䅍兢摂䕁䅍兙睂䝁䅫䅤桂䝁䅷睘呂䡁䅑杣ㅂ䝁䅍䅤ㅂ䡁䅉党時䙁䅍兤瑂䝁䄰兙祂䡁䅫光歁䕁䅙䅊㑁䑁䅯䅊佂䍁䅑䅏䅁䭁䐰䅁歃䅁䅁睊扂䕁䅍睢睂䡁䅫䅉療䝁䅙䅉呂䙁䅁睒時䕁䅍睢瑂䡁䅁兙畂䡁䅫睘䱂䝁䅕入呂䡁䅑兙あ䡁䅍睘㉂䑁䅉睘畂䝁䅕睤畁䡁䅧䅢穂䝁䄰兘䑂䝁䅅䅣灂䡁䅑兙獂䙁䄸睕あ䡁䅉兤橂䡁䅑兤祂䝁䅕睘呂䡁䅕兢瑂䝁䅅杣㕂䍁䅣光歁䕁䅙䅊硁䑁䅁杏歁䙁䅉䅊硁䑁䅁䅁䑄睂䅁杣䅁䙁䅳兔䩂䙁䄸睓求䡁䅫睕あ䝁䅅䅤穂䙁䄸杤硁䍁䄴䅥獂䡁䅍兢摂䕁䅍兙睂䝁䅫䅤桂䝁䅷睘呂䡁䅑杣ㅂ䝁䅍䅤ㅂ䡁䅉党時䙁䅍兤瑂䝁䄰兙祂䡁䅫光歁䕁䅣䅊ぁ䑁䅯䅊偂䍁䅑䅎䅁佁䑧䅁祂䅁䅁睗乂䕁䅫睘䱂䝁䅕入呂䡁䅑兙あ䡁䅍睘㉂䑁䅅杌㑂䝁䅷督瑂䙁䄰睑桂䡁䅁兡あ䝁䅅䅢時䙁䅍䅤祂䡁䅕睙あ䡁䅕杣求䙁䄸睕ㅂ䝁䄰兢桂䡁䅉入桁䍁䅑䅓歁䑁䅧杏歁䙁䅁䅊㑁䅁䅁朶䅍䙁䅯䅁扂䕁䄰兓時䕁䅳党㕂䙁䅍䅤桂䡁䅑督時䡁䅙免畁䡁䅧䅢穂䝁䄰兘䱂䝁䅕入時䙁䅍䅤桂䡁䅑督桁䍁䅑兒歁䑁䅅䅍睁䑁䅯䅊䡂䍁䅑免睁䑁䅁䅁㡂睁䅁杣䅁䙁䅳兔䩂䙁䄸睓求䡁䅫睕あ䝁䅅䅤穂䙁䄸杤硁䍁䄴䅥獂䡁䅍兢摂䕁䅍兙睂䝁䅫䅤桂䝁䅷睘呂䡁䅑杣ㅂ䝁䅍䅤ㅂ䡁䅉党時䙁䅍兤瑂䝁䄰兙祂䡁䅫光歁䕁䅧䅊㕁䑁䅯䅊兂䍁䅑兏䅁佁䑳䅁啂䅁䅁睗乂䕁䅫睘䱂䝁䅕入呂䡁䅑兙あ䡁䅍睘㉂䑁䅅杌㑂䝁䅷督瑂䙁䄰睑桂䡁䅁兡あ䝁䅅䅢灂䡁䅯兙あ䝁䅫睢畂䍁䅅䅊䑂䍁䅑䅎㍁䅁䅁兰䅍䝁䅁䅁扂䕁䄰兓時䕁䅳党㕂䙁䅍䅤桂䡁䅑督時䡁䅙免畁䡁䅧䅢穂䝁䄰兘䑂䝁䅅䅣灂䡁䅑兙獂䝁䅫来桂䡁䅑兡療䝁䄴光歁䕁䅕䅊ぁ䑁䅣杏歁䕁䅯䅊ぁ䑁䅣䅁楃睁䅁杖䅁䙁䅳睕兂䕁䅣睘䑂䝁䄸兢睂䝁䅅杢㕂䙁䄸睓求䡁䅫睕あ䝁䅅䅤穂䙁䄸杤祁䍁䄴䅥獂䡁䅍兢摂䙁䅍䅡求䝁䅕䅤硁䍁䅅䅊䉂䕁䅅䅊ぁ䅁䅁公䅙䝁䅁䅁扂䕁䄰兓時䕁䅳党㕂䙁䅍䅤桂䡁䅑督時䡁䅙免畁䡁䅧䅢穂䝁䄰兘䑂䝁䅅䅣灂䡁䅑兙獂䝁䅫来桂䡁䅑兡療䝁䄴光歁䕁䅕䅊ぁ䑁䅣杏歁䙁䅁䅊ぁ䑁䅣䅁㑃睁䅁䅙䅁䙁䅳兔䩂䙁䄸睓求䡁䅫睕あ䝁䅅䅤穂䙁䄸杤硁䍁䄴䅥獂䡁䅍兢摂䕁䅍兙睂䝁䅫䅤桂䝁䅷兡㙂䝁䅅䅤灂䝁䄸杢桁䍁䅑兒歁䑁䅕免㙁䍁䅑杓歁䑁䅕免䅁䭁䑙䅁捂䅁䅁睗乂䕁䅫睘䱂䝁䅕入呂䡁䅑兙あ䡁䅍睘㉂䑁䅅杌㑂䝁䅷督瑂䙁䄰睑桂䡁䅁兡あ䝁䅅䅢灂䡁䅯兙あ䝁䅫睢畂䍁䅅䅊䙂䍁䅑兎㙁䍁䅑杓歁䑁䅕䅁权睁䅁䅓䅁䙁䅳兔䩂䙁䄸睓求䡁䅫睕あ䝁䅅䅤穂䙁䄸杤硁䍁䄴䅥獂䡁䅍兢摂䕁䅍兙穂䝁䅧睘䝂䝁䅷睢㍂䍁䅅䅊䑂䍁䅑䅎䅁䩁䑫䅁啂䅁䅁睗乂䕁䅫睘䱂䝁䅕入呂䡁䅑兙あ䡁䅍睘㉂䑁䅅杌㑂䝁䅷督瑂䙁䄰睑桂䡁䅍䅡時䕁䅙䅢療䡁䅣光歁䕁䅍䅊㕁䑁䅯䅊䑂䍁䅑䅏㕁䅁䅁睭䅍䙁䅑䅁扂䕁䄰兓時䕁䅳党㕂䙁䅍䅤桂䡁䅑督時䡁䅙免畁䡁䅧䅢穂䝁䄰兘䑂䝁䅅督潂䙁䄸杒獂䝁䄸睤桁䍁䅑睑歁䑁䅫杏歁䕁䅍䅊㕁䑁䅁䅁⽃睁䅁䅢䅁䙁䅳睕兂䕁䅣睘䑂䝁䄸兢睂䝁䅅杢㕂䙁䄸睓求䡁䅫睕あ䝁䅅䅤穂䙁䄸杤祁䍁䄴䅥獂䡁䅍兢摂䕁䅳党㕂䙁䄸睕あ䝁䅅䅤穂䍁䅅䅊䡂䍁䅑免睁䑁䅙杏歁䕁䅫䅊硁䑁䅁李䅁偁䡍䅁卂䅁䅁睗乂䕁䅫睘䱂䝁䅕入呂䡁䅑兙あ䡁䅍睘㉂䑁䅅杌㑂䝁䅷督瑂䙁䄰睑桂䡁䅍䅡時䕁䅙䅢療䡁䅣光歁䕁䅕䅊ぁ䑁䅯䅊兂䍁䅑䅎䅁䩁䑯䅁卂䅁䅁睗乂䕁䅫睘䱂䝁䅕入呂䡁䅑兙あ䡁䅍睘㉂䑁䅅杌㑂䝁䅷督瑂䙁䄰睑桂䡁䅍䅡時䕁䅙䅢療䡁䅣光歁䕁䅕䅊ㅁ䑁䅯䅊兂䍁䅑兎䅁䩁䑷䅁坂䅁䅁睗乂䕁䅫睘䱂䝁䅕入呂䡁䅑兙あ䡁䅍睘㉂䑁䅅杌㑂䝁䅷督瑂䙁䄰兓畂䝁䅍睢瑂䝁䅕睘呂䡁䅑兙あ䝁䅕兢求䝁䄴䅤桁䍁䅑睑歁䑁䅑䅁䑃睁䅁䅡䅁䙁䅳睕兂䕁䅣睘䑂䝁䄸兢睂䝁䅅杢㕂䙁䄸睓求䡁䅫睕あ䝁䅅䅤穂䙁䄸杤祁䍁䄴䅥獂䡁䅍兢摂䕁䅳党㕂䙁䄸睕あ䝁䅅䅤穂䍁䅅䅊佂䍁䅑杍ㅁ䑁䅯䅊兂䍁䅑杍ㅁ䅁䅁眶䅣䝁䅑䅁扂䕁䄰兓時䕁䅳党㕂䙁䅍䅤桂䡁䅑督時䡁䅙免畁䡁䅧䅢穂䝁䄰兘䩂䝁䄴睙療䝁䄰党時䙁䅍䅤桂䡁䅑党瑂䝁䅕杢あ䍁䅅䅊䑂䍁䅑兏㙁䍁䅑睑歁䑁䅅䅎祁䅁䅁其䅍䩁䅙䅁湁䙁䅳睑療䡁䅁入杁䝁䄸杚杁䙁䅍䅕䡂䙁䄸睑療䝁䄰䅣桂䝁䄴入時䕁䅳党㕂䙁䅍䅤桂䡁䅑督時䡁䅙杍時䝁䄴党㍂䍁䄴䅥獂䡁䅍兢摂䕁䅍兙睂䝁䅫䅤桂䝁䅷睘呂䡁䅑杣ㅂ䝁䅍䅤ㅂ䡁䅉党時䙁䅍兤瑂䝁䄰兙祂䡁䅫睊桁䍁䅑睑歁䑁䅣䅁慂睂䅁䅚䅁䙁䅳兔䩂䙁䄸睓求䡁䅫睕あ䝁䅅䅤穂䙁䄸杤硁䍁䄴䅥獂䡁䅍兢摂䕁䅫杢橂䝁䄸兢求䙁䄸睕あ䝁䅅䅤求䝁䄰党畂䡁䅑光歁䕁䅍䅊㕁䑁䅯䅊䑂䍁䅑免ㅁ䑁䅕䅁䡃睁䅁䅚䅁䙁䅳兔䩂䙁䄸睓求䡁䅫睕あ䝁䅅䅤穂䙁䄸杤硁䍁䄴䅥獂䡁䅍兢摂䕁䅫杢橂䝁䄸兢求䙁䄸睕あ䝁䅅䅤求䝁䄰党畂䡁䅑光歁䕁䅍䅊㕁䑁䅯䅊䑂䍁䅑免㉁䑁䅕䅁橄睁䅁䅙䅁䙁䅳兔䩂䙁䄸睓求䡁䅫睕あ䝁䅅䅤穂䙁䄸杤硁䍁䄴䅥獂䡁䅍兢摂䕁䅫杢橂䝁䄸兢求䙁䄸睕あ䝁䅅䅤求䝁䄰党畂䡁䅑光歁䕁䅕䅊ぁ䑁䅯䅊兂䍁䅑䅎䅁䥁䑑䅁䭂䅁䅁睗乂䕁䅫睘䱂䝁䅕入呂䡁䅑兙あ䡁䅍睘㉂䑁䅅杌㑂䝁䅷督瑂䙁䄰睓求䡁䅫睘呂䡁䅑兙あ䡁䅍光歁䕁䅉䅊祁䑁䅍䅁瑂睁䅁杓䅁䙁䅳兔䩂䙁䄸睓求䡁䅫睕あ䝁䅅䅤穂䙁䄸杤硁䍁䄴䅥獂䡁䅍兢摂䕁䅳党㕂䙁䄸睕あ䝁䅅䅤穂䍁䅅䅊䍂䍁䅑兏㑁䅁䅁入䅍䙁䅙䅁扂䕁䄰兓時䕁䅳党㕂䙁䅍䅤桂䡁䅑督時䡁䅙免畁䡁䅧䅢穂䝁䄰兘䱂䝁䅕入時䙁䅍䅤桂䡁䅑督桁䍁䅑睑歁䑁䅕䅎㙁䍁䅑睑歁䑁䅕兎䅁䡁䑣䅁坂䅁䅁睗乂䕁䅫睘䱂䝁䅕入呂䡁䅑兙あ䡁䅍睘㉂䑁䅅杌㑂䝁䅷督瑂䙁䄰睓求䡁䅫睘呂䡁䅑兙あ䡁䅍光歁䕁䅕䅊祁䑁䅉杏歁䕁䅫䅊祁䑁䅉䅁煂睁䅁杖䅁䙁䅳兔䩂䙁䄸睓求䡁䅫睕あ䝁䅅䅤穂䙁䄸杤硁䍁䄴䅥獂䡁䅍兢摂䕁䅳党㕂䙁䄸睕あ䝁䅅䅤穂䍁䅅䅊䙂䍁䅑杍穁䑁䅯䅊䩂䍁䅑杍穁䅁䅁䅢䅍䥁䅁䅁湁䙁䅳睑療䡁䅁入杁䝁䄸杚杁䙁䅍䅕䡂䙁䄸睑療䝁䄰䅣桂䝁䄴入時䕁䅳党㕂䙁䅍䅤桂䡁䅑督時䡁䅙杍時䝁䄴党㍂䍁䄴䅥獂䡁䅍兢摂䙁䅉兙あ䝁䅫睢穂䍁䅣光歁䕁䅍䅊硁䑁䅅杏歁䕁䅍䅊硁䑁䅕睎䅁䵁䡕䅁坂䅁䅁睗乂䕁䅫睘䱂䝁䅕入呂䡁䅑兙あ䡁䅍睘㉂䑁䅅杌㑂䝁䅷督瑂䙁䄰睓求䡁䅫睘呂䡁䅑兙あ䡁䅍光歁䕁䅯䅊祁䑁䅉杏歁䕁䄰䅊祁䑁䅉䅁㥂睁䅁杖䅁䙁䅳兔䩂䙁䄸睓求䡁䅫睕あ䝁䅅䅤穂䙁䄸杤硁䍁䄴䅥獂䡁䅍兢摂䕁䅳党㕂䙁䄸睕あ䝁䅅䅤穂䍁䅅䅊䭂䍁䅑杍穁䑁䅯䅊䵂䍁䅑杍穁䅁䅁䅣䅍䙁䅙䅁扂䕁䄰兓時䕁䅳党㕂䙁䅍䅤桂䡁䅑督時䡁䅙免畁䡁䅧䅢穂䝁䄰兘䱂䝁䅕入時䙁䅍䅤桂䡁䅑督桁䍁䅑杓歁䑁䅉睍㙁䍁䅑兔歁䑁䅉睍䅁䡁䐴䅁䍂䅁䅁睗乂䕁䅫睘䱂䝁䅕入呂䡁䅑兙あ䡁䅍睘㉂䑁䅅杌㑂䝁䅷督瑂䙁䄰杕桂䡁䅑兡療䡁䅍光歁䕁䅍䅊ぁ䅁䅁䅳䅍䙁䅷䅁扂䕁䄰兓時䕁䅳党㕂䙁䅍䅤桂䡁䅑督時䡁䅙免畁䡁䅧䅢穂䝁䄰兘呂䡁䅕䅣睂䝁䅷党瑂䝁䅕杢あ䝁䅅䅢桁䍁䅑睑歁䑁䅫杏歁䕁䅍䅊硁䑁䅕兎䅁䵁䑙䅁坂䅁䅁睔睂䡁䅑兡療䝁䄴督㙁䕁䅍兤祂䡁䅉児噂䙁䅍䅒獁䕁䄰兙湂䑁䄰兔灂䝁䅷䅢灂䝁䄸杢穂䍁䅷睑療䝁䄴杤㥁䙁䅍䅌佂䕁䅅児佂䕁䅅䅁偄睂䅁䅘䅁䙁䅳兔䩂䙁䄸睓求䡁䅫睕あ䝁䅅䅤穂䙁䄸杤硁䍁䄴䅥獂䡁䅍兢摂䙁䅍兤睂䡁䅁䅢求䝁䄰党畂䡁䅑兙獂䍁䅅䅊䑂䍁䅑兏㙁䍁䅑睑歁䑁䅅兎㑁䅁䅁睸䅍䙁䅷䅁扂䕁䄰兓時䕁䅳党㕂䙁䅍䅤桂䡁䅑督時䡁䅙免畁䡁䅧䅢穂䝁䄰兘呂䡁䅕䅣睂䝁䅷党瑂䝁䅕杢あ䝁䅅䅢桁䍁䅑睑歁䑁䅫杏歁䕁䅍䅊硁䑁䅙李䅁䵁䑫䅁慂䅁䅁睗乂䕁䅫睘卂䕁䅕兓啂䙁䄸睕桂䝁䄰党呂䡁䅑睢祂䝁䅕䅖求䝁䄰䅣獂䝁䅅䅤求䙁䄸杤硁䍁䄴䅥獂䡁䅍兘䕂䝁䅅䅤桂䍁䅅䅊䕂䕁䅧䅊㕁䅁䅁䄱䅍䝁䅯䅁扂䕁䄰兓時䙁䅉兒䩂䙁䅑睘呂䝁䅅兢求䙁䅍䅤療䡁䅉党啂䝁䅕兢睂䝁䅷兙あ䝁䅕睘㉂䑁䅅杌㑂䝁䅷督摂䕁䅑兙あ䝁䅅光歁䕁䅑兓歁䑁䅅睍㙁䍁䅑䅒䩂䍁䅑杍穁䅁䅁儱䅍䝁䅧䅁扂䕁䄰兓時䙁䅉兒䩂䙁䅑睘呂䝁䅅兢求䙁䅍䅤療䡁䅉党啂䝁䅕兢睂䝁䅷兙あ䝁䅕睘㉂䑁䅅杌㑂䝁䅷督摂䕁䅑兙あ䝁䅅光歁䕁䅣䅊硁䑁䅁杏歁䕁䅑䅒歁䑁䅅䅍䅁佁䑁䅁潂䅁䅁睗乂䕁䅫睘卂䕁䅕兓啂䙁䄸睕桂䝁䄰党呂䡁䅑睢祂䝁䅕䅖求䝁䄰䅣獂䝁䅅䅤求䙁䄸杤硁䍁䄴䅥獂䡁䅍兘䕂䝁䅅䅤桂䍁䅅䅊䥂䍁䅑䅎㕁䑁䅯䅊䥂䍁䅑杍㍁䑁䅕䅁捄睁䅁䅘䅁䙁䅳睕兂䕁䅣睘䑂䝁䄸兢睂䝁䅅杢㕂䙁䄸睓求䡁䅫睕あ䝁䅅䅤穂䙁䄸杤祁䍁䄴䅥獂䡁䅍兢摂䕁䅳党㕂䙁䄸睕あ䝁䅅䅤穂䍁䅅䅊䙂䍁䅑李穁䅁䅁儸䅣䙁䅯䅁扂䕁䄰兓時䙁䅉兒䩂䙁䅑睘呂䝁䅅兢求䙁䅍䅤療䡁䅉党啂䝁䅕兢睂䝁䅷兙あ䝁䅕睘㉂䑁䅅杌㑂䝁䅷督摂䕁䅑兙あ䝁䅅光歁䕁䅯䅊祁䑁䅫䅁兄睁䅁杗䅁䙁䅳兔䩂䙁䄸杕䙂䕁䅫䅖時䙁䅍兙瑂䝁䅕睕あ䝁䄸杣求䙁䅑党瑂䡁䅁䅢桂䡁䅑党時䡁䅙免畁䡁䅧䅢穂䙁䄰䅒桂䡁䅑兙桁䍁䅑杓歁䑁䅍杍䅁乁䑅䅁浂䅁䅁睗乂䕁䅫睘卂䕁䅕兓啂䙁䄸睕桂䝁䄰党呂䡁䅑睢祂䝁䅕䅖求䝁䄰䅣獂䝁䅅䅤求䙁䄸杤硁䍁䄴䅥獂䡁䅍兘䕂䝁䅅䅤桂䍁䅅䅊䱂䍁䅑杍㕁䑁䅯䅊䵂䍁䅑杍㕁䅁䅁朰䅍䝁䅙䅁扂䕁䄰兓時䙁䅉兒䩂䙁䅑睘呂䝁䅅兢求䙁䅍䅤療䡁䅉党啂䝁䅕兢睂䝁䅷兙あ䝁䅕睘㉂䑁䅅杌㑂䝁䅷督摂䕁䅑兙あ䝁䅅光歁䕁䅳䅊穁䑁䅁杏歁䕁䅷䅊穁䑁䅁䅁呄睁䅁杣䅁䙁䅳睕兂䕁䅣睘䑂䝁䄸兢睂䝁䅅杢㕂䙁䄸睓求䡁䅫睕あ䝁䅅䅤穂䙁䄸杤硁䍁䄴䅥獂䡁䅍兢摂䕁䅉兙獂䝁䅅杢橂䝁䅕睘呂䝁䅧党求䡁䅑光歁䕁䅍䅊硁䑁䅅杏歁䕁䅍䅊硁䑁䅑免䅁佁䙯䅁楂䅁䅁睗呂䙁䅁睒時䕁䅍睢瑂䡁䅁兙畂䡁䅫睘䱂䝁䅕入呂䡁䅑兙あ䡁䅍睘㉂䑁䅅杌㑂䝁䅷督瑂䙁䄰村桂䝁䅷兙畂䝁䅍党時䙁䅍䅡求䝁䅕䅤桁䍁䅑睑歁䑁䅙䅁潄兂䅁来䅁䙁䅳睕兂䕁䅣睘䑂䝁䄸兢睂䝁䅅杢㕂䙁䄸睓求䡁䅫睕あ䝁䅅䅤穂䙁䄸杤硁䍁䄴䅥獂䡁䅍兢摂䕁䅍兙睂䝁䅫䅤桂䝁䅷睘呂䡁䅑杣ㅂ䝁䅍䅤ㅂ䡁䅉党時䙁䅍兤瑂䝁䄰兙祂䡁䅫光歁䕁䅍䅊㍁䅁䅁䅁䅙䥁䅧䅁扂䙁䅍䅕䡂䙁䄸睑療䝁䄰䅣桂䝁䄴入時䕁䅳党㕂䙁䅍䅤桂䡁䅑督時䡁䅙免畁䡁䅧䅢穂䝁䄰兘䑂䝁䅅䅣灂䡁䅑兙獂䙁䄸睕あ䡁䅉兤橂䡁䅑兤祂䝁䅕睘呂䡁䅕兢瑂䝁䅅杣㕂䍁䅅䅊䕂䍁䅑杍㕁䑁䅯䅊䕂䍁䅑䅏睁䅁䅁杁䅙䝁䅙䅁扂䙁䅍䅕䡂䙁䄸睑療䝁䄰䅣桂䝁䄴入時䕁䅳党㕂䙁䅍䅤桂䡁䅑督時䡁䅙免畁䡁䅧䅢穂䝁䄰兘䑂䝁䅅䅣灂䡁䅑兙獂䝁䅫来桂䡁䅑兡療䝁䄴光歁䕁䅍䅊ぁ䑁䅣䅁い兂䅁杚䅁䙁䅳睕兂䕁䅣睘䑂䝁䄸兢睂䝁䅅杢㕂䙁䄸睓求䡁䅫睕あ䝁䅅䅤穂䙁䄸杤硁䍁䄴䅥獂䡁䅍兢摂䕁䅍兙睂䝁䅫䅤桂䝁䅷兡㙂䝁䅅䅤灂䝁䄸杢桁䍁䅑睑歁䑁䅑䅏䅁偁䙧䅁睂䅁䅁睗呂䙁䅁睒時䕁䅍睢瑂䡁䅁兙畂䡁䅫睘䱂䝁䅕入呂䡁䅑兙あ䡁䅍睘㉂䑁䅅杌㑂䝁䅷督瑂䙁䄰睑桂䡁䅁兡あ䝁䅅䅢灂䡁䅯兙あ䝁䅫睢畂䍁䅅䅊䑂䍁䅑兏㙁䍁䅑睑歁䑁䅉兎䅁偁䙉䅁祂䅁䅁睗呂䙁䅁睒時䕁䅍睢瑂䡁䅁兙畂䡁䅫睘䱂䝁䅕入呂䡁䅑兙あ䡁䅍睘㉂䑁䅅杌㑂䝁䅷督瑂䙁䄰睑桂䡁䅁兡あ䝁䅅䅢灂䡁䅯兙あ䝁䅫睢畂䍁䅅䅊䙂䍁䅑兎硁䑁䅯䅊䭂䍁䅑兎硁䅁䅁儹䅕䡁䅉䅁扂䙁䅍䅕䡂䙁䄸睑療䝁䄰䅣桂䝁䄴入時䕁䅳党㕂䙁䅍䅤桂䡁䅑督時䡁䅙免畁䡁䅧䅢穂䝁䄰兘䑂䝁䅅䅣灂䡁䅑兙獂䝁䅫来桂䡁䅑兡療䝁䄴光歁䕁䅕䅊ㅁ䑁䅉杏歁䕁䅯䅊ㅁ䑁䅉䅁㍄兂䅁䅚䅁䙁䅳睕兂䕁䅣睘䑂䝁䄸兢睂䝁䅅杢㕂䙁䄸睓求䡁䅫睕あ䝁䅅䅤穂䙁䄸杤硁䍁䄴䅥獂䡁䅍兢摂䕁䅍兙穂䝁䅧睘䝂䝁䅷睢㍂䍁䅅䅊䙂䍁䅑睎㙁䍁䅑䅕歁䑁䅣䅁癄兂䅁杘䅁䙁䅳睕兂䕁䅣睘䑂䝁䄸兢睂䝁䅅杢㕂䙁䄸睓求䡁䅫睕あ䝁䅅䅤穂䙁䄸杤硁䍁䄴䅥獂䡁䅍兢摂䕁䅳党㕂䙁䄸睕あ䝁䅅䅤穂䍁䅅䅊䍂䍁䅑免睁䑁䅙䅁奄兂䅁䅘䅁䙁䅳睕兂䕁䅣睘䑂䝁䄸兢睂䝁䅅杢㕂䙁䄸睓求䡁䅫睕あ䝁䅅䅤穂䙁䄸杤硁䍁䄴䅥獂䡁䅍兢摂䕁䅳党㕂䙁䄸睕あ䝁䅅䅤穂䍁䅅䅊䍂䍁䅑杍ㅁ䅁䅁䄰䅕䙁䅷䅁扂䙁䅍䅕䡂䙁䄸睑療䝁䄰䅣桂䝁䄴入時䕁䅳党㕂䙁䅍䅤桂䡁䅑督時䡁䅙免畁䡁䅧䅢穂䝁䄰兘䱂䝁䅕入時䙁䅍䅤桂䡁䅑督桁䍁䅑村歁䑁䅉李䅁乁䙑䅁捂䅁䅁睗呂䙁䅁睒時䕁䅍睢瑂䡁䅁兙畂䡁䅫睘䱂䝁䅕入呂䡁䅑兙あ䡁䅍睘㉂䑁䅅杌㑂䝁䅷督瑂䙁䄰睓求䡁䅫睘呂䡁䅑兙あ䡁䅍光歁䕁䅉䅊㉁䑁䅉䅁捄兂䅁䅢䅁䙁䅳睕兂䕁䅣睘䑂䝁䄸兢睂䝁䅅杢㕂䙁䄸睓求䡁䅫睕あ䝁䅅䅤穂䙁䄸杤硁䍁䄴䅥獂䡁䅍兢摂䕁䅳党㕂䙁䄸睕あ䝁䅅䅤穂䍁䅅䅊䑂䍁䅑免睁䑁䅫杏歁䕁䅍䅊硁䑁䅅兎䅁乁䙯䅁獂䅁䅁睗呂䙁䅁睒時䕁䅍睢瑂䡁䅁兙畂䡁䅫睘䱂䝁䅕入呂䡁䅑兙あ䡁䅍睘㉂䑁䅅杌㑂䝁䅷督瑂䙁䄰睓求䡁䅫睘呂䡁䅑兙あ䡁䅍光歁䕁䅕䅊硁䑁䅁李㙁䍁䅑睒歁䑁䅅䅍㉁䅁䅁儲䅕䝁䅷䅁扂䙁䅍䅕䡂䙁䄸睑療䝁䄰䅣桂䝁䄴入時䕁䅳党㕂䙁䅍䅤桂䡁䅑督時䡁䅙免畁䡁䅧䅢穂䝁䄰兘䱂䝁䅕入時䙁䅍䅤桂䡁䅑督桁䍁䅑兒歁䑁䅅䅍㍁䑁䅯䅊䡂䍁䅑免睁䑁䅣䅁扄兂䅁䅡䅁䙁䅳睕兂䕁䅣睘䑂䝁䄸兢睂䝁䅅杢㕂䙁䄸睓求䡁䅫睕あ䝁䅅䅤穂䙁䄸杤硁䍁䄴䅥獂䡁䅍兢摂䕁䅳党㕂䙁䄸睕あ䝁䅅䅤穂䍁䅅䅊䙂䍁䅑杍㉁䑁䅯䅊䭂䍁䅑杍㉁䅁䅁眰䅕䙁䅷䅁扂䙁䅍䅕䡂䙁䄸睑療䝁䄰䅣桂䝁䄴入時䕁䅳党㕂䙁䅍䅤桂䡁䅑督時䡁䅙免畁䡁䅧䅢穂䝁䄰兘䱂䝁䅕入時䙁䅍䅤桂䡁䅑督桁䍁䅑兒歁䑁䅙杍䅁乁䘰䅁捂䅁䅁睗呂䙁䅁睒時䕁䅍睢瑂䡁䅁兙畂䡁䅫睘䱂䝁䅕入呂䡁䅑兙あ䡁䅍睘㉂䑁䅅杌㑂䝁䅷督瑂䙁䄰睓求䡁䅫睘呂䡁䅑兙あ䡁䅍光歁䙁䅍䅊ㅁ䑁䅕䅁杄兂䅁䅚䅁䙁䅳睕兂䕁䅣睘䑂䝁䄸兢睂䝁䅅杢㕂䙁䄸睓求䡁䅫睕あ䝁䅅䅤穂䙁䄸杤硁䍁䄴䅥獂䡁䅍兢摂䙁䅉兙あ䝁䅫睢穂䍁䅅䅊䑂䍁䅑免硁䑁䅯䅊䑂䍁䅑免ㅁ䑁䅉䅁䝁杂䅁杘䅁䙁䅳睕兂䕁䅣睘䑂䝁䄸兢睂䝁䅅杢㕂䙁䄸睓求䡁䅫睕あ䝁䅅䅤穂䙁䄸杤硁䍁䄴䅥獂䡁䅍兢摂䙁䅉兙あ䝁䅫睢穂䍁䅅䅊䕂䍁䅑李㙁䍁䅑兓歁䑁䅙䅁䙁杂䅁杖䅁䙁䅳睕兂䕁䅣睘䑂䝁䄸兢睂䝁䅅杢㕂䙁䄸睓求䡁䅫睕あ䝁䅅䅤穂䙁䄸杤祁䍁䄴䅥獂䡁䅍兢摂䙁䅍䅡求䝁䅕䅤硁䍁䅅䅊䡂䍁䅑䅎穁䅁䅁䅲䅙䙁䄴䅁扂䙁䅍䅕䡂䙁䄸睑療䝁䄰䅣桂䝁䄴入時䕁䅳党㕂䙁䅍䅤桂䡁䅑督時䡁䅙免畁䡁䅧䅢穂䝁䄰兘卂䝁䅅䅤灂䝁䄸督桁䍁䅑䅒歁䑁䅣杏歁䕁䅫䅊㍁䅁䅁睂䅙䝁䅯䅁扂䙁䅍䅕䡂䙁䄸睑療䝁䄰䅣桂䝁䄴入時䕁䅳党㕂䙁䅍䅤桂䡁䅑督時䡁䅙免畁䡁䅧䅢穂䝁䄰兘呂䡁䅕䅣睂䝁䅷党瑂䝁䅕杢あ䝁䅅䅢桁䍁䅑䅒歁䑁䅙杏歁䕁䅫䅊㉁䅁䅁元䅙䙁䅷䅁扂䙁䅍䅕䡂䙁䄸睑療䝁䄰䅣桂䝁䄴入時䕁䅳党㕂䙁䅍䅤桂䡁䅑督時䡁䅙杍畁䡁䅧䅢穂䝁䄰兘乂䡁䅕䅢あ䝁䅫䅣獂䝁䅕督桁䍁䅑䅒歁䑁䅅免䅁䡁䝍䅁潂䅁䅁睗呂䙁䅁睒時䕁䅍睢瑂䡁䅁兙畂䡁䅫睘䱂䝁䅕入呂䡁䅑兙あ䡁䅍睘㉂䑁䅉杌㑂䝁䅷督瑂䙁䄰兔ㅂ䝁䅷䅤灂䡁䅁䅢求䡁䅍光歁䕁䅑䅊硁䑁䅉杏歁䕁䅑䅊硁䑁䅍䅁あ杂䅁䅡䅁䙁䅳睕兂䕁䅣睘䑂䝁䄸兢睂䝁䅅杢㕂䙁䄸睓求䡁䅫睕あ䝁䅅䅤穂䙁䄸杤祁䍁䄴䅥獂䡁䅍兢摂䕁䄰兤獂䡁䅑兡睂䝁䅷党穂䍁䅅䅊䕂䍁䅑免ぁ䑁䅯䅊䕂䍁䅑免ㅁ䅁䅁䅣䅙䙁䅙䅁扂䙁䅍䅕䡂䙁䄸睑療䝁䄰䅣桂䝁䄴入時䕁䅳党㕂䙁䅍䅤桂䡁䅑督時䡁䅙杍畁䡁䅧䅢穂䝁䄰兘呂䝁䅧党求䡁䅑免桁䍁䅑兑䍂䍁䅑䅎䅁䥁䝍䅁坂䅁䅁睗呂䙁䅁睒時䕁䅍睢瑂䡁䅁兙畂䡁䅫睘䱂䝁䅕入呂䡁䅑兙あ䡁䅍睘㉂䑁䅉杌㑂䝁䅷督瑂䙁䄰睕潂䝁䅕党あ䑁䅅光歁䕁䅉䅊硁䑁䅅䅁⭂杂䅁杖䅁䙁䅳睕兂䕁䅣睘䑂䝁䄸兢睂䝁䅅杢㕂䙁䄸睓求䡁䅫睕あ䝁䅅䅤穂䙁䄸杤祁䍁䄴䅥獂䡁䅍兢摂䙁䅍䅡求䝁䅕䅤硁䍁䅅䅊䍂䍁䅑䅎穁䅁䅁杰䅙䙁䅙䅁扂䙁䅍䅕䡂䙁䄸睑療䝁䄰䅣桂䝁䄴入時䕁䅳党㕂䙁䅍䅤桂䡁䅑督時䡁䅙杍畁䡁䅧䅢穂䝁䄰兘呂䝁䅧党求䡁䅑免桁䍁䅑睑歁䑁䅅免䅁䥁䝧䅁坂䅁䅁睗呂䙁䅁睒時䕁䅍睢瑂䡁䅁兙畂䡁䅫睘䱂䝁䅕入呂䡁䅑兙あ䡁䅍睘㉂䑁䅉杌㑂䝁䅷督瑂䙁䄰睕潂䝁䅕党あ䑁䅅光歁䕁䅍䅊㍁䑁䅕䅁ㅃ杂䅁杖䅁䙁䅳睕兂䕁䅣睘䑂䝁䄸兢睂䝁䅅杢㕂䙁䄸睓求䡁䅫睕あ䝁䅅䅤穂䙁䄸杤祁䍁䄴䅥獂䡁䅍兢摂䙁䅍䅡求䝁䅕䅤硁䍁䅅䅊䭂䍁䅑免硁䅁䅁䅯䅙䙁䅙䅁扂䙁䅍䅕䡂䙁䄸睑療䝁䄰䅣桂䝁䄴入時䕁䅳党㕂䙁䅍䅤桂䡁䅑督時䡁䅙杍畁䡁䅧䅢穂䝁䄰兘呂䝁䅧党求䡁䅑免桁䍁䅑䅓歁䑁䅣兎䅁䱁䝑䅁坂䅁䅁睗呂䙁䅁睒時䕁䅍睢瑂䡁䅁兙畂䡁䅫睘䱂䝁䅕入呂䡁䅑兙あ䡁䅍睘㉂䑁䅉杌㑂䝁䅷督瑂䙁䄰睕潂䝁䅕党あ䑁䅅光歁䕁䅯䅊ぁ䑁䅍䅁癃杂䅁䅨䅁䍁䅣睗䑂䝁䄸䅣㕂䍁䅁睢浂䍁䅁睕兂䕁䅣睘䑂䝁䄸兢睂䝁䅅杢㕂䙁䄸睓求䡁䅫睕あ䝁䅅䅤穂䙁䄸杤祁䙁䄸杢求䡁䅣杌㑂䝁䅷督瑂䙁䄰睓求䡁䅫睘呂䡁䅑兙あ䡁䅍睊桁䍁䅑睑歁䑁䅉䅏㙁䍁䅑睑歁䑁䅕杍䅁䍁䡧䅁㑂䅁䅁睊扂䕁䅍睢睂䡁䅫䅉療䝁䅙䅉呂䙁䅁睒時䕁䅍睢瑂䡁䅁兙畂䡁䅫睘䱂䝁䅕入呂䡁䅑兙あ䡁䅍睘㉂䑁䅉睘畂䝁䅕睤畁䡁䅧䅢穂䝁䄰兘䱂䝁䅕入時䙁䅍䅤桂䡁䅑督湁䍁䅅䅊呂䍁䅑兎ㅁ䅁䅁杍䅣䥁䅑䅁湁䙁䅳睑療䡁䅁入杁䝁䄸杚杁䙁䅍䅕䡂䙁䄸睑療䝁䄰䅣桂䝁䄴入時䕁䅳党㕂䙁䅍䅤桂䡁䅑督時䡁䅙杍時䝁䄴党㍂䍁䄴䅥獂䡁䅍兢摂䕁䅳党㕂䙁䄸睕あ䝁䅅䅤穂䍁䅣光歁䙁䅙䅊ㅁ䑁䅣杏歁䙁䅣䅊ㅁ䑁䅣䅁ぁ睂䅁䅨䅁䍁䅣睗䑂䝁䄸䅣㕂䍁䅁睢浂䍁䅁睕兂䕁䅣睘䑂䝁䄸兢睂䝁䅅杢㕂䙁䄸睓求䡁䅫睕あ䝁䅅䅤穂䙁䄸杤祁䙁䄸杢求䡁䅣杌㑂䝁䅷督瑂䙁䄰睓求䡁䅫睘呂䡁䅑兙あ䡁䅍睊桁䍁䅑䅖歁䑁䅕䅏㙁䍁䅑䅖歁䑁䅙免䅁䑁䡕䅁㙂䅁䅁睊扂䕁䅍睢睂䡁䅫䅉療䝁䅙䅉呂䙁䅁睒時䕁䅍睢瑂䡁䅁兙畂䡁䅫睘䱂䝁䅕入呂䡁䅑兙あ䡁䅍睘㉂䑁䅉睘畂䝁䅕睤畁䡁䅧䅢穂䝁䄰兘䱂䝁䅕入時䙁䅍䅤桂䡁䅑督湁䍁䅅䅊䍂䍁䅑免睁䑁䅙䅁㉁睂䅁䅩䅁䍁䅣睗䑂䝁䄸䅣㕂䍁䅁睢浂䍁䅁睕兂䕁䅣睘䑂䝁䄸兢睂䝁䅅杢㕂䙁䄸睓求䡁䅫睕あ䝁䅅䅤穂䙁䄸杤祁䙁䄸杢求䡁䅣杌㑂䝁䅷督瑂䙁䄰睓求䡁䅫睘呂䡁䅑兙あ䡁䅍睊桁䍁䅑睑歁䑁䅅䅍㕁䑁䅯䅊䑂䍁䅑免硁䑁䅕䅁㑁睂䅁䅩䅁䍁䅣睗䑂䝁䄸䅣㕂䍁䅁睢浂䍁䅁睕兂䕁䅣睘䑂䝁䄸兢睂䝁䅅杢㕂䙁䄸睓求䡁䅫睕あ䝁䅅䅤穂䙁䄸杤祁䙁䄸杢求䡁䅣杌㑂䝁䅷督瑂䙁䄰睓求䡁䅫睘呂䡁䅑兙あ䡁䅍睊桁䍁䅑杒歁䑁䅅䅍㍁䑁䅯䅊䥂䍁䅑免睁䑁䅣䅁㕁睂䅁来䅁䍁䅣睗䑂䝁䄸䅣㕂䍁䅁睢浂䍁䅁睕兂䕁䅣睘䑂䝁䄸兢睂䝁䅅杢㕂䙁䄸睓求䡁䅫睕あ䝁䅅䅤穂䙁䄸杤祁䙁䄸杢求䡁䅣杌㑂䝁䅷督瑂䙁䄰睓求䡁䅫睘呂䡁䅑兙あ䡁䅍睊桁䍁䅑村歁䑁䅅䅍㍁䅁䅁杏䅣䡁䅯䅁湁䙁䅳睑療䡁䅁入杁䝁䄸杚杁䙁䅍䅕䡂䙁䄸睑療䝁䄰䅣桂䝁䄴入時䕁䅳党㕂䙁䅍䅤桂䡁䅑督時䡁䅙杍時䝁䄴党㍂䍁䄴䅥獂䡁䅍兢摂䕁䅳党㕂䙁䄸睕あ䝁䅅䅤穂䍁䅣光歁䕁䅕䅊硁䑁䅁李䅁䑁䡳䅁䕃䅁䅁睊扂䕁䅍睢睂䡁䅫䅉療䝁䅙䅉呂䙁䅁睒時䕁䅍睢瑂䡁䅁兙畂䡁䅫睘䱂䝁䅕入呂䡁䅑兙あ䡁䅍睘㉂䑁䅉睘畂䝁䅕睤畁䡁䅧䅢穂䝁䄰兘䩂䝁䄴睙療䝁䄰党時䙁䅍䅤桂䡁䅑党瑂䝁䅕杢あ䍁䅣光歁䕁䅍䅊㉁䅁䅁材䅣䥁䄴䅁湁䙁䅳睑療䡁䅁入杁䝁䄸杚杁䙁䅍䅕䡂䙁䄸睑療䝁䄰䅣桂䝁䄴入時䕁䅳党㕂䙁䅍䅤桂䡁䅑督時䡁䅙杍時䝁䄴党㍂䍁䄴䅥獂䡁䅍兢摂䕁䅫杢橂䝁䄸兢求䙁䄸睕あ䝁䅅䅤求䝁䄰党畂䡁䅑睊桁䍁䅑兒歁䑁䅙杏歁䙁䅁䅊㉁䅁䅁睐䅣䥁䅧䅁湁䙁䅳睑療䡁䅁入杁䝁䄸杚杁䙁䅍䅕䡂䙁䄸睑療䝁䄰䅣桂䝁䄴入時䕁䅳党㕂䙁䅍䅤桂䡁䅑督時䡁䅙杍時䝁䄴党㍂䍁䄴䅥獂䡁䅍兢摂䕁䅉兙獂䝁䅅杢橂䝁䅕睘呂䝁䅧党求䡁䅑睊桁䍁䅑兒歁䑁䅣杏歁䙁䅁䅊㍁䅁䅁兒䅣䥁䅑䅁湁䙁䅳睑療䡁䅁入杁䝁䄸杚杁䙁䅍䅕䡂䙁䄸睑療䝁䄰䅣桂䝁䄴入時䕁䅳党㕂䙁䅍䅤桂䡁䅑督時䡁䅙杍時䝁䄴党㍂䍁䄴䅥獂䡁䅍兢摂䕁䅍兙穂䝁䅧睘䝂䝁䅷睢㍂䍁䅣光歁䕁䅍䅊硁䑁䅅杏歁䕁䅍䅊㕁䑁䅙䅁䥂睂䅁䅧䅁䍁䅣睗䑂䝁䄸䅣㕂䍁䅁睢浂䍁䅁睕兂䕁䅣睘䑂䝁䄸兢睂䝁䅅杢㕂䙁䄸睓求䡁䅫睕あ䝁䅅䅤穂䙁䄸杤祁䙁䄸杢求䡁䅣杌㑂䝁䅷督瑂䙁䄰睑桂䡁䅍䅡時䕁䅙䅢療䡁䅣睊桁䍁䅑兒歁䑁䅣杏歁䙁䅁䅊㍁䅁䅁兓䅣䥁䅷䅁湁䙁䅳睑療䡁䅁入杁䝁䄸杚杁䙁䅍䅕䡂䙁䄸睑療䝁䄰䅣桂䝁䄴入時䕁䅳党㕂䙁䅍䅤桂䡁䅑督時䡁䅙杍時䝁䄴党㍂䍁䄴䅥獂䡁䅍兢摂䕁䅍兙睂䝁䅫䅤桂䝁䅷兡㙂䝁䅅䅤灂䝁䄸杢湁䍁䅅䅊䑂䍁䅑兏㙁䍁䅑睑歁䑁䅉䅎䅁䕁䡷䅁䍃䅁䅁睊扂䕁䅍睢睂䡁䅫䅉療䝁䅙䅉呂䙁䅁睒時䕁䅍睢瑂䡁䅁兙畂䡁䅫睘䱂䝁䅕入呂䡁䅑兙あ䡁䅍睘㉂䑁䅉睘畂䝁䅕睤畁䡁䅧䅢穂䝁䄰兘䑂䝁䅅䅣灂䡁䅑兙獂䝁䅫来桂䡁䅑兡療䝁䄴睊桁䍁䅑睑歁䑁䅑李䅁䕁䠴䅁佃䅁䅁睊扂䕁䅍睢睂䡁䅫䅉療䝁䅙䅉呂䙁䅁睒時䕁䅍睢瑂䡁䅁兙畂䡁䅫睘䱂䝁䅕入呂䡁䅑兙あ䡁䅍睘㉂䑁䅉睘畂䝁䅕睤畁䡁䅧䅢穂䝁䄰兘䑂䝁䅅䅣灂䡁䅑兙獂䝁䅫来桂䡁䅑兡療䝁䄴睊桁䍁䅑睑歁䑁䅕杍㙁䍁䅑睑歁䑁䅕睍䅁䙁䡁䅁佃䅁䅁睊扂䕁䅍睢睂䡁䅫䅉療䝁䅙䅉呂䙁䅁睒時䕁䅍睢瑂䡁䅁兙畂䡁䅫睘䱂䝁䅕入呂䡁䅑兙あ䡁䅍睘㉂䑁䅉睘畂䝁䅕睤畁䡁䅧䅢穂䝁䄰兘䑂䝁䅅䅣灂䡁䅑兙獂䝁䅫来桂䡁䅑兡療䝁䄴睊桁䍁䅑兒歁䑁䅑睎㙁䍁䅑杓歁䑁䅑睎䅁䙁䡕䅁坃䅁䅁</x:t>
  </x:si>
  <x:si>
    <x:t>FY-9</x:t>
  </x:si>
  <x:si>
    <x:t>FY-11</x:t>
  </x:si>
  <x:si>
    <x:t>FY-7</x:t>
  </x:si>
  <x:si>
    <x:t>FY-5</x:t>
  </x:si>
  <x:si>
    <x:t>FY-10</x:t>
  </x:si>
  <x:si>
    <x:t>FY-6</x:t>
  </x:si>
  <x:si>
    <x:t>FY-8</x:t>
  </x:si>
  <x:si>
    <x:t>($M)</x:t>
  </x:si>
  <x:si>
    <x:t>FQ42025 (Dec-31-2025)</x:t>
  </x:si>
  <x:si>
    <x:t>FY2024 (Dec-31-2024)</x:t>
  </x:si>
  <x:si>
    <x:t>FY2025 (Dec-31-2025)</x:t>
  </x:si>
  <x:si>
    <x:t>Data in ($M)</x:t>
  </x:si>
  <x:si>
    <x:t>SPGRANGEV</x:t>
  </x:si>
</x:sst>
</file>

<file path=xl/styles.xml><?xml version="1.0" encoding="utf-8"?>
<x:styleSheet xmlns:r="http://schemas.openxmlformats.org/officeDocument/2006/relationships" xmlns:c="http://schemas.openxmlformats.org/drawingml/2006/chart" xmlns:x="http://schemas.openxmlformats.org/spreadsheetml/2006/main">
  <x:numFmts count="23">
    <x:numFmt numFmtId="164" formatCode="_([$€-2]* #,##0.00_);_([$€-2]* \(#,##0.00\);_([$€-2]* &quot;-&quot;??_)"/>
    <x:numFmt numFmtId="165" formatCode="#,##0.00;\(#,##0.00"/>
    <x:numFmt numFmtId="166" formatCode="0.0"/>
    <x:numFmt numFmtId="167" formatCode="0.0%"/>
    <x:numFmt numFmtId="168" formatCode="yyyy\-mm\-dd;@"/>
    <x:numFmt numFmtId="169" formatCode="0.0000"/>
    <x:numFmt numFmtId="170" formatCode="0.0000%"/>
    <x:numFmt numFmtId="171" formatCode="&quot;Yes&quot;;[Red]&quot;No&quot;"/>
    <x:numFmt numFmtId="172" formatCode="0.00000"/>
    <x:numFmt numFmtId="173" formatCode="[&gt;0]General;General"/>
    <x:numFmt numFmtId="174" formatCode="0.00&quot;%&quot;"/>
    <x:numFmt numFmtId="175" formatCode="#,##0.0_);[Red]\(#,##0.0\)"/>
    <x:numFmt numFmtId="176" formatCode="0.00_);[Red]\(0.00\)"/>
    <x:numFmt numFmtId="177" formatCode="_(* #,##0_);_(* \(#,##0\);_(* &quot;-&quot;??_);_(@_)"/>
    <x:numFmt numFmtId="178" formatCode="_(#,##0.0_);_(\(#,##0.0\);_(&quot; - &quot;??_);_(@_)"/>
    <x:numFmt numFmtId="179" formatCode="_(#,##0_);_(\(#,##0\);_(&quot; - &quot;??_);_(@_)"/>
    <x:numFmt numFmtId="180" formatCode="#,##0.0_);\(#,##0.0\)"/>
    <x:numFmt numFmtId="181" formatCode="_(* #,##0.0_);_(* \(#,##0.0\);_(* &quot; - &quot;_);_(@_)"/>
    <x:numFmt numFmtId="182" formatCode="0.0&quot;%&quot;"/>
    <x:numFmt numFmtId="183" formatCode="#,##0.0"/>
    <x:numFmt numFmtId="184" formatCode="#0.0\x"/>
    <x:numFmt numFmtId="185" formatCode="mmm\-dd\-yyyy"/>
    <x:numFmt numFmtId="186" formatCode="_(* #,##0.00_);_(* \(#,##0.00\);_(* &quot;-&quot;??_);_(@_)"/>
  </x:numFmts>
  <x:fonts count="94">
    <x:font>
      <x:name val="Arial"/>
      <x:sz val="8"/>
      <x:color rgb="ff000000"/>
    </x:font>
    <x:font>
      <x:name val="Arial"/>
      <x:sz val="8"/>
      <x:color rgb="ff000000"/>
    </x:font>
    <x:font>
      <x:name val="Arial"/>
      <x:sz val="8"/>
      <x:color rgb="ff000000"/>
    </x:font>
    <x:font>
      <x:name val="Arial"/>
      <x:sz val="8"/>
      <x:color rgb="ff000000"/>
    </x:font>
    <x:font>
      <x:name val="Arial"/>
      <x:sz val="8"/>
      <x:color rgb="ff000000"/>
    </x:font>
    <x:font>
      <x:name val="Arial"/>
      <x:sz val="8"/>
      <x:color rgb="ff000000"/>
    </x:font>
    <x:font>
      <x:name val="Arial"/>
      <x:sz val="10"/>
      <x:color rgb="ff000000"/>
    </x:font>
    <mc:AlternateContent xmlns:mc="http://schemas.openxmlformats.org/markup-compatibility/2006">
      <mc:Choice xmlns:hs="http://schemas.haansoft.com/office/spreadsheet/8.0" Requires="hs">
        <x:font hs:extension="1">
          <x:name val="MS Sans Serif"/>
          <x:sz val="10"/>
          <x:color rgb="ff000000"/>
          <hs:size val="100"/>
          <hs:ratio val="100"/>
          <hs:spacing val="0"/>
          <hs:offset val="0"/>
        </x:font>
      </mc:Choice>
      <mc:Fallback>
        <x:font>
          <x:name val="MS Sans Serif"/>
          <x:sz val="10"/>
          <x:color rgb="ff000000"/>
        </x:font>
      </mc:Fallback>
    </mc:AlternateContent>
    <mc:AlternateContent xmlns:mc="http://schemas.openxmlformats.org/markup-compatibility/2006">
      <mc:Choice xmlns:hs="http://schemas.haansoft.com/office/spreadsheet/8.0" Requires="hs">
        <x:font hs:extension="1">
          <x:name val="Calibri"/>
          <x:sz val="11"/>
          <x:color rgb="ff000000"/>
          <hs:size val="100"/>
          <hs:ratio val="100"/>
          <hs:spacing val="0"/>
          <hs:offset val="0"/>
        </x:font>
      </mc:Choice>
      <mc:Fallback>
        <x:font>
          <x:name val="Calibri"/>
          <x:sz val="11"/>
          <x:color rgb="ff000000"/>
        </x:font>
      </mc:Fallback>
    </mc:AlternateContent>
    <mc:AlternateContent xmlns:mc="http://schemas.openxmlformats.org/markup-compatibility/2006">
      <mc:Choice xmlns:hs="http://schemas.haansoft.com/office/spreadsheet/8.0" Requires="hs">
        <x:font hs:extension="1">
          <x:name val="Calibri"/>
          <x:sz val="11"/>
          <x:color rgb="ffffffff"/>
          <hs:size val="100"/>
          <hs:ratio val="100"/>
          <hs:spacing val="0"/>
          <hs:offset val="0"/>
        </x:font>
      </mc:Choice>
      <mc:Fallback>
        <x:font>
          <x:name val="Calibri"/>
          <x:sz val="11"/>
          <x:color rgb="ffffffff"/>
        </x:font>
      </mc:Fallback>
    </mc:AlternateContent>
    <mc:AlternateContent xmlns:mc="http://schemas.openxmlformats.org/markup-compatibility/2006">
      <mc:Choice xmlns:hs="http://schemas.haansoft.com/office/spreadsheet/8.0" Requires="hs">
        <x:font hs:extension="1">
          <x:name val="Calibri"/>
          <x:sz val="11"/>
          <x:color rgb="ff800080"/>
          <hs:size val="100"/>
          <hs:ratio val="100"/>
          <hs:spacing val="0"/>
          <hs:offset val="0"/>
        </x:font>
      </mc:Choice>
      <mc:Fallback>
        <x:font>
          <x:name val="Calibri"/>
          <x:sz val="11"/>
          <x:color rgb="ff800080"/>
        </x:font>
      </mc:Fallback>
    </mc:AlternateContent>
    <mc:AlternateContent xmlns:mc="http://schemas.openxmlformats.org/markup-compatibility/2006">
      <mc:Choice xmlns:hs="http://schemas.haansoft.com/office/spreadsheet/8.0" Requires="hs">
        <x:font hs:extension="1">
          <x:name val="Calibri"/>
          <x:sz val="11"/>
          <x:color rgb="ffff9900"/>
          <x:b val="1"/>
          <hs:size val="100"/>
          <hs:ratio val="100"/>
          <hs:spacing val="0"/>
          <hs:offset val="0"/>
        </x:font>
      </mc:Choice>
      <mc:Fallback>
        <x:font>
          <x:name val="Calibri"/>
          <x:sz val="11"/>
          <x:color rgb="ffff9900"/>
          <x:b val="1"/>
        </x:font>
      </mc:Fallback>
    </mc:AlternateContent>
    <mc:AlternateContent xmlns:mc="http://schemas.openxmlformats.org/markup-compatibility/2006">
      <mc:Choice xmlns:hs="http://schemas.haansoft.com/office/spreadsheet/8.0" Requires="hs">
        <x:font hs:extension="1">
          <x:name val="Helvetica-Narrow"/>
          <x:sz val="9"/>
          <x:color rgb="ff000000"/>
          <hs:size val="100"/>
          <hs:ratio val="100"/>
          <hs:spacing val="0"/>
          <hs:offset val="0"/>
        </x:font>
      </mc:Choice>
      <mc:Fallback>
        <x:font>
          <x:name val="Helvetica-Narrow"/>
          <x:sz val="9"/>
          <x:color rgb="ff000000"/>
        </x:font>
      </mc:Fallback>
    </mc:AlternateContent>
    <mc:AlternateContent xmlns:mc="http://schemas.openxmlformats.org/markup-compatibility/2006">
      <mc:Choice xmlns:hs="http://schemas.haansoft.com/office/spreadsheet/8.0" Requires="hs">
        <x:font hs:extension="1">
          <x:name val="Calibri"/>
          <x:sz val="11"/>
          <x:color rgb="ffffffff"/>
          <x:b val="1"/>
          <hs:size val="100"/>
          <hs:ratio val="100"/>
          <hs:spacing val="0"/>
          <hs:offset val="0"/>
        </x:font>
      </mc:Choice>
      <mc:Fallback>
        <x:font>
          <x:name val="Calibri"/>
          <x:sz val="11"/>
          <x:color rgb="ffffffff"/>
          <x:b val="1"/>
        </x:font>
      </mc:Fallback>
    </mc:AlternateContent>
    <mc:AlternateContent xmlns:mc="http://schemas.openxmlformats.org/markup-compatibility/2006">
      <mc:Choice xmlns:hs="http://schemas.haansoft.com/office/spreadsheet/8.0" Requires="hs">
        <x:font hs:extension="1">
          <x:name val="Times New Roman"/>
          <x:sz val="10"/>
          <x:color rgb="ff000000"/>
          <hs:size val="100"/>
          <hs:ratio val="100"/>
          <hs:spacing val="0"/>
          <hs:offset val="0"/>
        </x:font>
      </mc:Choice>
      <mc:Fallback>
        <x:font>
          <x:name val="Times New Roman"/>
          <x:sz val="10"/>
          <x:color rgb="ff000000"/>
        </x:font>
      </mc:Fallback>
    </mc:AlternateContent>
    <mc:AlternateContent xmlns:mc="http://schemas.openxmlformats.org/markup-compatibility/2006">
      <mc:Choice xmlns:hs="http://schemas.haansoft.com/office/spreadsheet/8.0" Requires="hs">
        <x:font hs:extension="1">
          <x:name val="Calibri"/>
          <x:sz val="11"/>
          <x:color rgb="ff808080"/>
          <x:i val="1"/>
          <hs:size val="100"/>
          <hs:ratio val="100"/>
          <hs:spacing val="0"/>
          <hs:offset val="0"/>
        </x:font>
      </mc:Choice>
      <mc:Fallback>
        <x:font>
          <x:name val="Calibri"/>
          <x:sz val="11"/>
          <x:color rgb="ff808080"/>
          <x:i val="1"/>
        </x:font>
      </mc:Fallback>
    </mc:AlternateContent>
    <mc:AlternateContent xmlns:mc="http://schemas.openxmlformats.org/markup-compatibility/2006">
      <mc:Choice xmlns:hs="http://schemas.haansoft.com/office/spreadsheet/8.0" Requires="hs">
        <x:font hs:extension="1">
          <x:name val="Calibri"/>
          <x:sz val="11"/>
          <x:color rgb="ff008000"/>
          <hs:size val="100"/>
          <hs:ratio val="100"/>
          <hs:spacing val="0"/>
          <hs:offset val="0"/>
        </x:font>
      </mc:Choice>
      <mc:Fallback>
        <x:font>
          <x:name val="Calibri"/>
          <x:sz val="11"/>
          <x:color rgb="ff008000"/>
        </x:font>
      </mc:Fallback>
    </mc:AlternateContent>
    <mc:AlternateContent xmlns:mc="http://schemas.openxmlformats.org/markup-compatibility/2006">
      <mc:Choice xmlns:hs="http://schemas.haansoft.com/office/spreadsheet/8.0" Requires="hs">
        <x:font hs:extension="1">
          <x:name val="Calibri"/>
          <x:sz val="15"/>
          <x:color rgb="ff003366"/>
          <x:b val="1"/>
          <hs:size val="100"/>
          <hs:ratio val="100"/>
          <hs:spacing val="0"/>
          <hs:offset val="0"/>
        </x:font>
      </mc:Choice>
      <mc:Fallback>
        <x:font>
          <x:name val="Calibri"/>
          <x:sz val="15"/>
          <x:color rgb="ff003366"/>
          <x:b val="1"/>
        </x:font>
      </mc:Fallback>
    </mc:AlternateContent>
    <mc:AlternateContent xmlns:mc="http://schemas.openxmlformats.org/markup-compatibility/2006">
      <mc:Choice xmlns:hs="http://schemas.haansoft.com/office/spreadsheet/8.0" Requires="hs">
        <x:font hs:extension="1">
          <x:name val="Calibri"/>
          <x:sz val="13"/>
          <x:color rgb="ff003366"/>
          <x:b val="1"/>
          <hs:size val="100"/>
          <hs:ratio val="100"/>
          <hs:spacing val="0"/>
          <hs:offset val="0"/>
        </x:font>
      </mc:Choice>
      <mc:Fallback>
        <x:font>
          <x:name val="Calibri"/>
          <x:sz val="13"/>
          <x:color rgb="ff003366"/>
          <x:b val="1"/>
        </x:font>
      </mc:Fallback>
    </mc:AlternateContent>
    <mc:AlternateContent xmlns:mc="http://schemas.openxmlformats.org/markup-compatibility/2006">
      <mc:Choice xmlns:hs="http://schemas.haansoft.com/office/spreadsheet/8.0" Requires="hs">
        <x:font hs:extension="1">
          <x:name val="Calibri"/>
          <x:sz val="11"/>
          <x:color rgb="ff003366"/>
          <x:b val="1"/>
          <hs:size val="100"/>
          <hs:ratio val="100"/>
          <hs:spacing val="0"/>
          <hs:offset val="0"/>
        </x:font>
      </mc:Choice>
      <mc:Fallback>
        <x:font>
          <x:name val="Calibri"/>
          <x:sz val="11"/>
          <x:color rgb="ff003366"/>
          <x:b val="1"/>
        </x:font>
      </mc:Fallback>
    </mc:AlternateContent>
    <mc:AlternateContent xmlns:mc="http://schemas.openxmlformats.org/markup-compatibility/2006">
      <mc:Choice xmlns:hs="http://schemas.haansoft.com/office/spreadsheet/8.0" Requires="hs">
        <x:font hs:extension="1">
          <x:name val="Times New Roman"/>
          <x:sz val="10"/>
          <x:color rgb="ff0000ff"/>
          <x:u/>
          <hs:underlineType val="1"/>
          <hs:underlineShape val="solid"/>
          <hs:underlineColor rgb="ff0000ff"/>
          <hs:size val="100"/>
          <hs:ratio val="100"/>
          <hs:spacing val="0"/>
          <hs:offset val="0"/>
        </x:font>
      </mc:Choice>
      <mc:Fallback>
        <x:font>
          <x:name val="Times New Roman"/>
          <x:sz val="10"/>
          <x:color rgb="ff0000ff"/>
          <x:u/>
        </x:font>
      </mc:Fallback>
    </mc:AlternateContent>
    <mc:AlternateContent xmlns:mc="http://schemas.openxmlformats.org/markup-compatibility/2006">
      <mc:Choice xmlns:hs="http://schemas.haansoft.com/office/spreadsheet/8.0" Requires="hs">
        <x:font hs:extension="1">
          <x:name val="Calibri"/>
          <x:sz val="11"/>
          <x:color rgb="ff333399"/>
          <hs:size val="100"/>
          <hs:ratio val="100"/>
          <hs:spacing val="0"/>
          <hs:offset val="0"/>
        </x:font>
      </mc:Choice>
      <mc:Fallback>
        <x:font>
          <x:name val="Calibri"/>
          <x:sz val="11"/>
          <x:color rgb="ff333399"/>
        </x:font>
      </mc:Fallback>
    </mc:AlternateContent>
    <mc:AlternateContent xmlns:mc="http://schemas.openxmlformats.org/markup-compatibility/2006">
      <mc:Choice xmlns:hs="http://schemas.haansoft.com/office/spreadsheet/8.0" Requires="hs">
        <x:font hs:extension="1">
          <x:name val="Calibri"/>
          <x:sz val="11"/>
          <x:color rgb="ffff9900"/>
          <hs:size val="100"/>
          <hs:ratio val="100"/>
          <hs:spacing val="0"/>
          <hs:offset val="0"/>
        </x:font>
      </mc:Choice>
      <mc:Fallback>
        <x:font>
          <x:name val="Calibri"/>
          <x:sz val="11"/>
          <x:color rgb="ffff9900"/>
        </x:font>
      </mc:Fallback>
    </mc:AlternateContent>
    <mc:AlternateContent xmlns:mc="http://schemas.openxmlformats.org/markup-compatibility/2006">
      <mc:Choice xmlns:hs="http://schemas.haansoft.com/office/spreadsheet/8.0" Requires="hs">
        <x:font hs:extension="1">
          <x:name val="Calibri"/>
          <x:sz val="11"/>
          <x:color rgb="ff993300"/>
          <hs:size val="100"/>
          <hs:ratio val="100"/>
          <hs:spacing val="0"/>
          <hs:offset val="0"/>
        </x:font>
      </mc:Choice>
      <mc:Fallback>
        <x:font>
          <x:name val="Calibri"/>
          <x:sz val="11"/>
          <x:color rgb="ff993300"/>
        </x:font>
      </mc:Fallback>
    </mc:AlternateContent>
    <x:font>
      <x:name val="Arial"/>
      <x:sz val="8"/>
      <x:color rgb="ffffffff"/>
      <x:b val="1"/>
    </x:font>
    <mc:AlternateContent xmlns:mc="http://schemas.openxmlformats.org/markup-compatibility/2006">
      <mc:Choice xmlns:hs="http://schemas.haansoft.com/office/spreadsheet/8.0" Requires="hs">
        <x:font hs:extension="1">
          <x:name val="맑은 고딕"/>
          <x:sz val="8"/>
          <x:color rgb="ffffffff"/>
          <x:b val="1"/>
          <hs:size val="100"/>
          <hs:ratio val="100"/>
          <hs:spacing val="0"/>
          <hs:offset val="0"/>
        </x:font>
      </mc:Choice>
      <mc:Fallback>
        <x:font>
          <x:name val="맑은 고딕"/>
          <x:sz val="8"/>
          <x:color rgb="ffffffff"/>
          <x:b val="1"/>
        </x:font>
      </mc:Fallback>
    </mc:AlternateContent>
    <x:font>
      <x:name val="맑은 고딕"/>
      <x:sz val="11"/>
      <x:color rgb="ff000000"/>
    </x:font>
    <mc:AlternateContent xmlns:mc="http://schemas.openxmlformats.org/markup-compatibility/2006">
      <mc:Choice xmlns:hs="http://schemas.haansoft.com/office/spreadsheet/8.0" Requires="hs">
        <x:font hs:extension="1">
          <x:name val="Helv"/>
          <x:sz val="10"/>
          <x:color rgb="ff000000"/>
          <x:i val="1"/>
          <hs:size val="100"/>
          <hs:ratio val="100"/>
          <hs:spacing val="0"/>
          <hs:offset val="0"/>
        </x:font>
      </mc:Choice>
      <mc:Fallback>
        <x:font>
          <x:name val="Helv"/>
          <x:sz val="10"/>
          <x:color rgb="ff000000"/>
          <x:i val="1"/>
        </x:font>
      </mc:Fallback>
    </mc:AlternateContent>
    <mc:AlternateContent xmlns:mc="http://schemas.openxmlformats.org/markup-compatibility/2006">
      <mc:Choice xmlns:hs="http://schemas.haansoft.com/office/spreadsheet/8.0" Requires="hs">
        <x:font hs:extension="1">
          <x:name val="Calibri"/>
          <x:sz val="11"/>
          <x:color rgb="ff333333"/>
          <x:b val="1"/>
          <hs:size val="100"/>
          <hs:ratio val="100"/>
          <hs:spacing val="0"/>
          <hs:offset val="0"/>
        </x:font>
      </mc:Choice>
      <mc:Fallback>
        <x:font>
          <x:name val="Calibri"/>
          <x:sz val="11"/>
          <x:color rgb="ff333333"/>
          <x:b val="1"/>
        </x:font>
      </mc:Fallback>
    </mc:AlternateContent>
    <mc:AlternateContent xmlns:mc="http://schemas.openxmlformats.org/markup-compatibility/2006">
      <mc:Choice xmlns:hs="http://schemas.haansoft.com/office/spreadsheet/8.0" Requires="hs">
        <x:font hs:extension="1">
          <x:name val="Cambria"/>
          <x:sz val="18"/>
          <x:color rgb="ff003366"/>
          <x:b val="1"/>
          <hs:size val="100"/>
          <hs:ratio val="100"/>
          <hs:spacing val="0"/>
          <hs:offset val="0"/>
        </x:font>
      </mc:Choice>
      <mc:Fallback>
        <x:font>
          <x:name val="Cambria"/>
          <x:sz val="18"/>
          <x:color rgb="ff003366"/>
          <x:b val="1"/>
        </x:font>
      </mc:Fallback>
    </mc:AlternateContent>
    <mc:AlternateContent xmlns:mc="http://schemas.openxmlformats.org/markup-compatibility/2006">
      <mc:Choice xmlns:hs="http://schemas.haansoft.com/office/spreadsheet/8.0" Requires="hs">
        <x:font hs:extension="1">
          <x:name val="Calibri"/>
          <x:sz val="11"/>
          <x:color rgb="ff000000"/>
          <x:b val="1"/>
          <hs:size val="100"/>
          <hs:ratio val="100"/>
          <hs:spacing val="0"/>
          <hs:offset val="0"/>
        </x:font>
      </mc:Choice>
      <mc:Fallback>
        <x:font>
          <x:name val="Calibri"/>
          <x:sz val="11"/>
          <x:color rgb="ff000000"/>
          <x:b val="1"/>
        </x:font>
      </mc:Fallback>
    </mc:AlternateContent>
    <mc:AlternateContent xmlns:mc="http://schemas.openxmlformats.org/markup-compatibility/2006">
      <mc:Choice xmlns:hs="http://schemas.haansoft.com/office/spreadsheet/8.0" Requires="hs">
        <x:font hs:extension="1">
          <x:name val="Calibri"/>
          <x:sz val="11"/>
          <x:color rgb="ffff0000"/>
          <hs:size val="100"/>
          <hs:ratio val="100"/>
          <hs:spacing val="0"/>
          <hs:offset val="0"/>
        </x:font>
      </mc:Choice>
      <mc:Fallback>
        <x:font>
          <x:name val="Calibri"/>
          <x:sz val="11"/>
          <x:color rgb="ffff0000"/>
        </x:font>
      </mc:Fallback>
    </mc:AlternateContent>
    <mc:AlternateContent xmlns:mc="http://schemas.openxmlformats.org/markup-compatibility/2006">
      <mc:Choice xmlns:hs="http://schemas.haansoft.com/office/spreadsheet/8.0" Requires="hs">
        <x:font hs:extension="1">
          <x:name val="Arial"/>
          <x:sz val="10"/>
          <x:color rgb="ff000000"/>
          <x:b val="1"/>
          <hs:size val="100"/>
          <hs:ratio val="100"/>
          <hs:spacing val="0"/>
          <hs:offset val="0"/>
        </x:font>
      </mc:Choice>
      <mc:Fallback>
        <x:font>
          <x:name val="Arial"/>
          <x:sz val="10"/>
          <x:color rgb="ff000000"/>
          <x:b val="1"/>
        </x:font>
      </mc:Fallback>
    </mc:AlternateContent>
    <mc:AlternateContent xmlns:mc="http://schemas.openxmlformats.org/markup-compatibility/2006">
      <mc:Choice xmlns:hs="http://schemas.haansoft.com/office/spreadsheet/8.0" Requires="hs">
        <x:font hs:extension="1">
          <x:name val="Calibri"/>
          <x:sz val="11"/>
          <x:color rgb="ff333333"/>
          <hs:size val="100"/>
          <hs:ratio val="100"/>
          <hs:spacing val="0"/>
          <hs:offset val="0"/>
        </x:font>
      </mc:Choice>
      <mc:Fallback>
        <x:font>
          <x:name val="Calibri"/>
          <x:sz val="11"/>
          <x:color rgb="ff333333"/>
        </x:font>
      </mc:Fallback>
    </mc:AlternateContent>
    <mc:AlternateContent xmlns:mc="http://schemas.openxmlformats.org/markup-compatibility/2006">
      <mc:Choice xmlns:hs="http://schemas.haansoft.com/office/spreadsheet/8.0" Requires="hs">
        <x:font hs:extension="1">
          <x:name val="Arial"/>
          <x:sz val="8"/>
          <x:color rgb="ffffffff"/>
          <hs:size val="100"/>
          <hs:ratio val="100"/>
          <hs:spacing val="0"/>
          <hs:offset val="0"/>
        </x:font>
      </mc:Choice>
      <mc:Fallback>
        <x:font>
          <x:name val="Arial"/>
          <x:sz val="8"/>
          <x:color rgb="ffffffff"/>
        </x:font>
      </mc:Fallback>
    </mc:AlternateContent>
    <mc:AlternateContent xmlns:mc="http://schemas.openxmlformats.org/markup-compatibility/2006">
      <mc:Choice xmlns:hs="http://schemas.haansoft.com/office/spreadsheet/8.0" Requires="hs">
        <x:font hs:extension="1">
          <x:name val="Arial"/>
          <x:sz val="8"/>
          <x:color rgb="ff800080"/>
          <hs:size val="100"/>
          <hs:ratio val="100"/>
          <hs:spacing val="0"/>
          <hs:offset val="0"/>
        </x:font>
      </mc:Choice>
      <mc:Fallback>
        <x:font>
          <x:name val="Arial"/>
          <x:sz val="8"/>
          <x:color rgb="ff800080"/>
        </x:font>
      </mc:Fallback>
    </mc:AlternateContent>
    <mc:AlternateContent xmlns:mc="http://schemas.openxmlformats.org/markup-compatibility/2006">
      <mc:Choice xmlns:hs="http://schemas.haansoft.com/office/spreadsheet/8.0" Requires="hs">
        <x:font hs:extension="1">
          <x:name val="Arial"/>
          <x:sz val="8"/>
          <x:color rgb="ffff9900"/>
          <x:b val="1"/>
          <hs:size val="100"/>
          <hs:ratio val="100"/>
          <hs:spacing val="0"/>
          <hs:offset val="0"/>
        </x:font>
      </mc:Choice>
      <mc:Fallback>
        <x:font>
          <x:name val="Arial"/>
          <x:sz val="8"/>
          <x:color rgb="ffff9900"/>
          <x:b val="1"/>
        </x:font>
      </mc:Fallback>
    </mc:AlternateContent>
    <mc:AlternateContent xmlns:mc="http://schemas.openxmlformats.org/markup-compatibility/2006">
      <mc:Choice xmlns:hs="http://schemas.haansoft.com/office/spreadsheet/8.0" Requires="hs">
        <x:font hs:extension="1">
          <x:name val="Calibri"/>
          <x:sz val="11"/>
          <x:color rgb="ffff0000"/>
          <x:b val="1"/>
          <hs:size val="100"/>
          <hs:ratio val="100"/>
          <hs:spacing val="0"/>
          <hs:offset val="0"/>
        </x:font>
      </mc:Choice>
      <mc:Fallback>
        <x:font>
          <x:name val="Calibri"/>
          <x:sz val="11"/>
          <x:color rgb="ffff0000"/>
          <x:b val="1"/>
        </x:font>
      </mc:Fallback>
    </mc:AlternateContent>
    <mc:AlternateContent xmlns:mc="http://schemas.openxmlformats.org/markup-compatibility/2006">
      <mc:Choice xmlns:hs="http://schemas.haansoft.com/office/spreadsheet/8.0" Requires="hs">
        <x:font hs:extension="1">
          <x:name val="Arial"/>
          <x:sz val="8"/>
          <x:color rgb="ff808080"/>
          <x:i val="1"/>
          <hs:size val="100"/>
          <hs:ratio val="100"/>
          <hs:spacing val="0"/>
          <hs:offset val="0"/>
        </x:font>
      </mc:Choice>
      <mc:Fallback>
        <x:font>
          <x:name val="Arial"/>
          <x:sz val="8"/>
          <x:color rgb="ff808080"/>
          <x:i val="1"/>
        </x:font>
      </mc:Fallback>
    </mc:AlternateContent>
    <x:font>
      <x:name val="Arial"/>
      <x:sz val="8"/>
      <x:color rgb="ff008000"/>
    </x:font>
    <mc:AlternateContent xmlns:mc="http://schemas.openxmlformats.org/markup-compatibility/2006">
      <mc:Choice xmlns:hs="http://schemas.haansoft.com/office/spreadsheet/8.0" Requires="hs">
        <x:font hs:extension="1">
          <x:name val="Arial"/>
          <x:sz val="15"/>
          <x:color rgb="ff003366"/>
          <x:b val="1"/>
          <hs:size val="100"/>
          <hs:ratio val="100"/>
          <hs:spacing val="0"/>
          <hs:offset val="0"/>
        </x:font>
      </mc:Choice>
      <mc:Fallback>
        <x:font>
          <x:name val="Arial"/>
          <x:sz val="15"/>
          <x:color rgb="ff003366"/>
          <x:b val="1"/>
        </x:font>
      </mc:Fallback>
    </mc:AlternateContent>
    <mc:AlternateContent xmlns:mc="http://schemas.openxmlformats.org/markup-compatibility/2006">
      <mc:Choice xmlns:hs="http://schemas.haansoft.com/office/spreadsheet/8.0" Requires="hs">
        <x:font hs:extension="1">
          <x:name val="Calibri"/>
          <x:sz val="15"/>
          <x:color rgb="ff333399"/>
          <x:b val="1"/>
          <hs:size val="100"/>
          <hs:ratio val="100"/>
          <hs:spacing val="0"/>
          <hs:offset val="0"/>
        </x:font>
      </mc:Choice>
      <mc:Fallback>
        <x:font>
          <x:name val="Calibri"/>
          <x:sz val="15"/>
          <x:color rgb="ff333399"/>
          <x:b val="1"/>
        </x:font>
      </mc:Fallback>
    </mc:AlternateContent>
    <mc:AlternateContent xmlns:mc="http://schemas.openxmlformats.org/markup-compatibility/2006">
      <mc:Choice xmlns:hs="http://schemas.haansoft.com/office/spreadsheet/8.0" Requires="hs">
        <x:font hs:extension="1">
          <x:name val="Arial"/>
          <x:sz val="13"/>
          <x:color rgb="ff003366"/>
          <x:b val="1"/>
          <hs:size val="100"/>
          <hs:ratio val="100"/>
          <hs:spacing val="0"/>
          <hs:offset val="0"/>
        </x:font>
      </mc:Choice>
      <mc:Fallback>
        <x:font>
          <x:name val="Arial"/>
          <x:sz val="13"/>
          <x:color rgb="ff003366"/>
          <x:b val="1"/>
        </x:font>
      </mc:Fallback>
    </mc:AlternateContent>
    <mc:AlternateContent xmlns:mc="http://schemas.openxmlformats.org/markup-compatibility/2006">
      <mc:Choice xmlns:hs="http://schemas.haansoft.com/office/spreadsheet/8.0" Requires="hs">
        <x:font hs:extension="1">
          <x:name val="Calibri"/>
          <x:sz val="13"/>
          <x:color rgb="ff333399"/>
          <x:b val="1"/>
          <hs:size val="100"/>
          <hs:ratio val="100"/>
          <hs:spacing val="0"/>
          <hs:offset val="0"/>
        </x:font>
      </mc:Choice>
      <mc:Fallback>
        <x:font>
          <x:name val="Calibri"/>
          <x:sz val="13"/>
          <x:color rgb="ff333399"/>
          <x:b val="1"/>
        </x:font>
      </mc:Fallback>
    </mc:AlternateContent>
    <mc:AlternateContent xmlns:mc="http://schemas.openxmlformats.org/markup-compatibility/2006">
      <mc:Choice xmlns:hs="http://schemas.haansoft.com/office/spreadsheet/8.0" Requires="hs">
        <x:font hs:extension="1">
          <x:name val="Arial"/>
          <x:sz val="11"/>
          <x:color rgb="ff003366"/>
          <x:b val="1"/>
          <hs:size val="100"/>
          <hs:ratio val="100"/>
          <hs:spacing val="0"/>
          <hs:offset val="0"/>
        </x:font>
      </mc:Choice>
      <mc:Fallback>
        <x:font>
          <x:name val="Arial"/>
          <x:sz val="11"/>
          <x:color rgb="ff003366"/>
          <x:b val="1"/>
        </x:font>
      </mc:Fallback>
    </mc:AlternateContent>
    <mc:AlternateContent xmlns:mc="http://schemas.openxmlformats.org/markup-compatibility/2006">
      <mc:Choice xmlns:hs="http://schemas.haansoft.com/office/spreadsheet/8.0" Requires="hs">
        <x:font hs:extension="1">
          <x:name val="Calibri"/>
          <x:sz val="11"/>
          <x:color rgb="ff333399"/>
          <x:b val="1"/>
          <hs:size val="100"/>
          <hs:ratio val="100"/>
          <hs:spacing val="0"/>
          <hs:offset val="0"/>
        </x:font>
      </mc:Choice>
      <mc:Fallback>
        <x:font>
          <x:name val="Calibri"/>
          <x:sz val="11"/>
          <x:color rgb="ff333399"/>
          <x:b val="1"/>
        </x:font>
      </mc:Fallback>
    </mc:AlternateContent>
    <mc:AlternateContent xmlns:mc="http://schemas.openxmlformats.org/markup-compatibility/2006">
      <mc:Choice xmlns:hs="http://schemas.haansoft.com/office/spreadsheet/8.0" Requires="hs">
        <x:font hs:extension="1">
          <x:name val="Verdana"/>
          <x:sz val="8"/>
          <x:color rgb="ff000080"/>
          <x:u/>
          <hs:underlineType val="1"/>
          <hs:underlineShape val="solid"/>
          <hs:underlineColor rgb="ff000080"/>
          <hs:size val="100"/>
          <hs:ratio val="100"/>
          <hs:spacing val="0"/>
          <hs:offset val="0"/>
        </x:font>
      </mc:Choice>
      <mc:Fallback>
        <x:font>
          <x:name val="Verdana"/>
          <x:sz val="8"/>
          <x:color rgb="ff000080"/>
          <x:u/>
        </x:font>
      </mc:Fallback>
    </mc:AlternateContent>
    <mc:AlternateContent xmlns:mc="http://schemas.openxmlformats.org/markup-compatibility/2006">
      <mc:Choice xmlns:hs="http://schemas.haansoft.com/office/spreadsheet/8.0" Requires="hs">
        <x:font hs:extension="1">
          <x:name val="Arial"/>
          <x:sz val="8"/>
          <x:color rgb="ff333399"/>
          <hs:size val="100"/>
          <hs:ratio val="100"/>
          <hs:spacing val="0"/>
          <hs:offset val="0"/>
        </x:font>
      </mc:Choice>
      <mc:Fallback>
        <x:font>
          <x:name val="Arial"/>
          <x:sz val="8"/>
          <x:color rgb="ff333399"/>
        </x:font>
      </mc:Fallback>
    </mc:AlternateContent>
    <mc:AlternateContent xmlns:mc="http://schemas.openxmlformats.org/markup-compatibility/2006">
      <mc:Choice xmlns:hs="http://schemas.haansoft.com/office/spreadsheet/8.0" Requires="hs">
        <x:font hs:extension="1">
          <x:name val="Arial"/>
          <x:sz val="8"/>
          <x:color rgb="ffff9900"/>
          <hs:size val="100"/>
          <hs:ratio val="100"/>
          <hs:spacing val="0"/>
          <hs:offset val="0"/>
        </x:font>
      </mc:Choice>
      <mc:Fallback>
        <x:font>
          <x:name val="Arial"/>
          <x:sz val="8"/>
          <x:color rgb="ffff9900"/>
        </x:font>
      </mc:Fallback>
    </mc:AlternateContent>
    <mc:AlternateContent xmlns:mc="http://schemas.openxmlformats.org/markup-compatibility/2006">
      <mc:Choice xmlns:hs="http://schemas.haansoft.com/office/spreadsheet/8.0" Requires="hs">
        <x:font hs:extension="1">
          <x:name val="Arial"/>
          <x:sz val="8"/>
          <x:color rgb="ff993300"/>
          <hs:size val="100"/>
          <hs:ratio val="100"/>
          <hs:spacing val="0"/>
          <hs:offset val="0"/>
        </x:font>
      </mc:Choice>
      <mc:Fallback>
        <x:font>
          <x:name val="Arial"/>
          <x:sz val="8"/>
          <x:color rgb="ff993300"/>
        </x:font>
      </mc:Fallback>
    </mc:AlternateContent>
    <mc:AlternateContent xmlns:mc="http://schemas.openxmlformats.org/markup-compatibility/2006">
      <mc:Choice xmlns:hs="http://schemas.haansoft.com/office/spreadsheet/8.0" Requires="hs">
        <x:font hs:extension="1">
          <x:name val="Calibri"/>
          <x:sz val="11"/>
          <x:color rgb="ff808000"/>
          <hs:size val="100"/>
          <hs:ratio val="100"/>
          <hs:spacing val="0"/>
          <hs:offset val="0"/>
        </x:font>
      </mc:Choice>
      <mc:Fallback>
        <x:font>
          <x:name val="Calibri"/>
          <x:sz val="11"/>
          <x:color rgb="ff808000"/>
        </x:font>
      </mc:Fallback>
    </mc:AlternateContent>
    <mc:AlternateContent xmlns:mc="http://schemas.openxmlformats.org/markup-compatibility/2006">
      <mc:Choice xmlns:hs="http://schemas.haansoft.com/office/spreadsheet/8.0" Requires="hs">
        <x:font hs:extension="1">
          <x:name val="Calibri"/>
          <x:sz val="8"/>
          <x:color rgb="ffffffff"/>
          <x:b val="1"/>
          <hs:size val="100"/>
          <hs:ratio val="100"/>
          <hs:spacing val="0"/>
          <hs:offset val="0"/>
        </x:font>
      </mc:Choice>
      <mc:Fallback>
        <x:font>
          <x:name val="Calibri"/>
          <x:sz val="8"/>
          <x:color rgb="ffffffff"/>
          <x:b val="1"/>
        </x:font>
      </mc:Fallback>
    </mc:AlternateContent>
    <mc:AlternateContent xmlns:mc="http://schemas.openxmlformats.org/markup-compatibility/2006">
      <mc:Choice xmlns:hs="http://schemas.haansoft.com/office/spreadsheet/8.0" Requires="hs">
        <x:font hs:extension="1">
          <x:name val="Arial"/>
          <x:sz val="8"/>
          <x:color rgb="ff333333"/>
          <x:b val="1"/>
          <hs:size val="100"/>
          <hs:ratio val="100"/>
          <hs:spacing val="0"/>
          <hs:offset val="0"/>
        </x:font>
      </mc:Choice>
      <mc:Fallback>
        <x:font>
          <x:name val="Arial"/>
          <x:sz val="8"/>
          <x:color rgb="ff333333"/>
          <x:b val="1"/>
        </x:font>
      </mc:Fallback>
    </mc:AlternateContent>
    <mc:AlternateContent xmlns:mc="http://schemas.openxmlformats.org/markup-compatibility/2006">
      <mc:Choice xmlns:hs="http://schemas.haansoft.com/office/spreadsheet/8.0" Requires="hs">
        <x:font hs:extension="1">
          <x:name val="Cambria"/>
          <x:sz val="18"/>
          <x:color rgb="ff333399"/>
          <x:b val="1"/>
          <hs:size val="100"/>
          <hs:ratio val="100"/>
          <hs:spacing val="0"/>
          <hs:offset val="0"/>
        </x:font>
      </mc:Choice>
      <mc:Fallback>
        <x:font>
          <x:name val="Cambria"/>
          <x:sz val="18"/>
          <x:color rgb="ff333399"/>
          <x:b val="1"/>
        </x:font>
      </mc:Fallback>
    </mc:AlternateContent>
    <x:font>
      <x:name val="Arial"/>
      <x:sz val="8"/>
      <x:color rgb="ff000000"/>
      <x:b val="1"/>
    </x:font>
    <mc:AlternateContent xmlns:mc="http://schemas.openxmlformats.org/markup-compatibility/2006">
      <mc:Choice xmlns:hs="http://schemas.haansoft.com/office/spreadsheet/8.0" Requires="hs">
        <x:font hs:extension="1">
          <x:name val="Arial"/>
          <x:sz val="8"/>
          <x:color rgb="ffff0000"/>
          <hs:size val="100"/>
          <hs:ratio val="100"/>
          <hs:spacing val="0"/>
          <hs:offset val="0"/>
        </x:font>
      </mc:Choice>
      <mc:Fallback>
        <x:font>
          <x:name val="Arial"/>
          <x:sz val="8"/>
          <x:color rgb="ffff0000"/>
        </x:font>
      </mc:Fallback>
    </mc:AlternateContent>
    <mc:AlternateContent xmlns:mc="http://schemas.openxmlformats.org/markup-compatibility/2006">
      <mc:Choice xmlns:hs="http://schemas.haansoft.com/office/spreadsheet/8.0" Requires="hs">
        <x:font hs:extension="1">
          <x:name val="Arial"/>
          <x:sz val="9"/>
          <x:color rgb="ff000000"/>
          <hs:size val="100"/>
          <hs:ratio val="100"/>
          <hs:spacing val="0"/>
          <hs:offset val="0"/>
        </x:font>
      </mc:Choice>
      <mc:Fallback>
        <x:font>
          <x:name val="Arial"/>
          <x:sz val="9"/>
          <x:color rgb="ff000000"/>
        </x:font>
      </mc:Fallback>
    </mc:AlternateContent>
    <mc:AlternateContent xmlns:mc="http://schemas.openxmlformats.org/markup-compatibility/2006">
      <mc:Choice xmlns:hs="http://schemas.haansoft.com/office/spreadsheet/8.0" Requires="hs">
        <x:font hs:extension="1">
          <x:name val="Arial"/>
          <x:sz val="10"/>
          <x:color rgb="ffff0000"/>
          <hs:size val="100"/>
          <hs:ratio val="100"/>
          <hs:spacing val="0"/>
          <hs:offset val="0"/>
        </x:font>
      </mc:Choice>
      <mc:Fallback>
        <x:font>
          <x:name val="Arial"/>
          <x:sz val="10"/>
          <x:color rgb="ffff0000"/>
        </x:font>
      </mc:Fallback>
    </mc:AlternateContent>
    <mc:AlternateContent xmlns:mc="http://schemas.openxmlformats.org/markup-compatibility/2006">
      <mc:Choice xmlns:hs="http://schemas.haansoft.com/office/spreadsheet/8.0" Requires="hs">
        <x:font hs:extension="1">
          <x:name val="Calibri"/>
          <x:sz val="11"/>
          <x:color rgb="ff0000ff"/>
          <x:u/>
          <hs:underlineType val="1"/>
          <hs:underlineShape val="solid"/>
          <hs:underlineColor rgb="ff0000ff"/>
          <hs:size val="100"/>
          <hs:ratio val="100"/>
          <hs:spacing val="0"/>
          <hs:offset val="0"/>
        </x:font>
      </mc:Choice>
      <mc:Fallback>
        <x:font>
          <x:name val="Calibri"/>
          <x:sz val="11"/>
          <x:color rgb="ff0000ff"/>
          <x:u/>
        </x:font>
      </mc:Fallback>
    </mc:AlternateContent>
    <mc:AlternateContent xmlns:mc="http://schemas.openxmlformats.org/markup-compatibility/2006">
      <mc:Choice xmlns:hs="http://schemas.haansoft.com/office/spreadsheet/8.0" Requires="hs">
        <x:font hs:extension="1">
          <x:name val="Arial"/>
          <x:sz val="8"/>
          <x:color rgb="ff0000ff"/>
          <x:u/>
          <hs:underlineType val="1"/>
          <hs:underlineShape val="solid"/>
          <hs:underlineColor rgb="ff0000ff"/>
          <hs:size val="100"/>
          <hs:ratio val="100"/>
          <hs:spacing val="0"/>
          <hs:offset val="0"/>
        </x:font>
      </mc:Choice>
      <mc:Fallback>
        <x:font>
          <x:name val="Arial"/>
          <x:sz val="8"/>
          <x:color rgb="ff0000ff"/>
          <x:u/>
        </x:font>
      </mc:Fallback>
    </mc:AlternateContent>
    <mc:AlternateContent xmlns:mc="http://schemas.openxmlformats.org/markup-compatibility/2006">
      <mc:Choice xmlns:hs="http://schemas.haansoft.com/office/spreadsheet/8.0" Requires="hs">
        <x:font hs:extension="1">
          <x:name val="SimSun"/>
          <x:sz val="8"/>
          <x:color rgb="ff000000"/>
          <hs:size val="100"/>
          <hs:ratio val="100"/>
          <hs:spacing val="0"/>
          <hs:offset val="0"/>
        </x:font>
      </mc:Choice>
      <mc:Fallback>
        <x:font>
          <x:name val="SimSun"/>
          <x:sz val="8"/>
          <x:color rgb="ff000000"/>
        </x:font>
      </mc:Fallback>
    </mc:AlternateContent>
    <mc:AlternateContent xmlns:mc="http://schemas.openxmlformats.org/markup-compatibility/2006">
      <mc:Choice xmlns:hs="http://schemas.haansoft.com/office/spreadsheet/8.0" Requires="hs">
        <x:font hs:extension="1">
          <x:name val="Tahoma"/>
          <x:sz val="8"/>
          <x:color rgb="ff000000"/>
          <hs:size val="100"/>
          <hs:ratio val="100"/>
          <hs:spacing val="0"/>
          <hs:offset val="0"/>
        </x:font>
      </mc:Choice>
      <mc:Fallback>
        <x:font>
          <x:name val="Tahoma"/>
          <x:sz val="8"/>
          <x:color rgb="ff000000"/>
        </x:font>
      </mc:Fallback>
    </mc:AlternateContent>
    <mc:AlternateContent xmlns:mc="http://schemas.openxmlformats.org/markup-compatibility/2006">
      <mc:Choice xmlns:hs="http://schemas.haansoft.com/office/spreadsheet/8.0" Requires="hs">
        <x:font hs:extension="1">
          <x:name val="Arial"/>
          <x:sz val="14"/>
          <x:color rgb="ffffffff"/>
          <x:b val="1"/>
          <hs:size val="100"/>
          <hs:ratio val="100"/>
          <hs:spacing val="0"/>
          <hs:offset val="0"/>
        </x:font>
      </mc:Choice>
      <mc:Fallback>
        <x:font>
          <x:name val="Arial"/>
          <x:sz val="14"/>
          <x:color rgb="ffffffff"/>
          <x:b val="1"/>
        </x:font>
      </mc:Fallback>
    </mc:AlternateContent>
    <mc:AlternateContent xmlns:mc="http://schemas.openxmlformats.org/markup-compatibility/2006">
      <mc:Choice xmlns:hs="http://schemas.haansoft.com/office/spreadsheet/8.0" Requires="hs">
        <x:font hs:extension="1">
          <x:name val="Arial"/>
          <x:sz val="14"/>
          <x:color rgb="ff000000"/>
          <x:b val="1"/>
          <hs:size val="100"/>
          <hs:ratio val="100"/>
          <hs:spacing val="0"/>
          <hs:offset val="0"/>
        </x:font>
      </mc:Choice>
      <mc:Fallback>
        <x:font>
          <x:name val="Arial"/>
          <x:sz val="14"/>
          <x:color rgb="ff000000"/>
          <x:b val="1"/>
        </x:font>
      </mc:Fallback>
    </mc:AlternateContent>
    <mc:AlternateContent xmlns:mc="http://schemas.openxmlformats.org/markup-compatibility/2006">
      <mc:Choice xmlns:hs="http://schemas.haansoft.com/office/spreadsheet/8.0" Requires="hs">
        <x:font hs:extension="1">
          <x:name val="Arial"/>
          <x:sz val="12"/>
          <x:color rgb="ffffffff"/>
          <x:b val="1"/>
          <hs:size val="100"/>
          <hs:ratio val="100"/>
          <hs:spacing val="0"/>
          <hs:offset val="0"/>
        </x:font>
      </mc:Choice>
      <mc:Fallback>
        <x:font>
          <x:name val="Arial"/>
          <x:sz val="12"/>
          <x:color rgb="ffffffff"/>
          <x:b val="1"/>
        </x:font>
      </mc:Fallback>
    </mc:AlternateContent>
    <mc:AlternateContent xmlns:mc="http://schemas.openxmlformats.org/markup-compatibility/2006">
      <mc:Choice xmlns:hs="http://schemas.haansoft.com/office/spreadsheet/8.0" Requires="hs">
        <x:font hs:extension="1">
          <x:name val="Arial"/>
          <x:sz val="12"/>
          <x:color rgb="ff000000"/>
          <x:b val="1"/>
          <hs:size val="100"/>
          <hs:ratio val="100"/>
          <hs:spacing val="0"/>
          <hs:offset val="0"/>
        </x:font>
      </mc:Choice>
      <mc:Fallback>
        <x:font>
          <x:name val="Arial"/>
          <x:sz val="12"/>
          <x:color rgb="ff000000"/>
          <x:b val="1"/>
        </x:font>
      </mc:Fallback>
    </mc:AlternateContent>
    <mc:AlternateContent xmlns:mc="http://schemas.openxmlformats.org/markup-compatibility/2006">
      <mc:Choice xmlns:hs="http://schemas.haansoft.com/office/spreadsheet/8.0" Requires="hs">
        <x:font hs:extension="1">
          <x:name val="Arial"/>
          <x:sz val="10"/>
          <x:color rgb="ffffffff"/>
          <x:b val="1"/>
          <hs:size val="100"/>
          <hs:ratio val="100"/>
          <hs:spacing val="0"/>
          <hs:offset val="0"/>
        </x:font>
      </mc:Choice>
      <mc:Fallback>
        <x:font>
          <x:name val="Arial"/>
          <x:sz val="10"/>
          <x:color rgb="ffffffff"/>
          <x:b val="1"/>
        </x:font>
      </mc:Fallback>
    </mc:AlternateContent>
    <mc:AlternateContent xmlns:mc="http://schemas.openxmlformats.org/markup-compatibility/2006">
      <mc:Choice xmlns:hs="http://schemas.haansoft.com/office/spreadsheet/8.0" Requires="hs">
        <x:font hs:extension="1">
          <x:name val="Arial"/>
          <x:sz val="8"/>
          <x:color rgb="ffffffff"/>
          <x:b val="1"/>
          <x:i val="1"/>
          <hs:size val="100"/>
          <hs:ratio val="100"/>
          <hs:spacing val="0"/>
          <hs:offset val="0"/>
        </x:font>
      </mc:Choice>
      <mc:Fallback>
        <x:font>
          <x:name val="Arial"/>
          <x:sz val="8"/>
          <x:color rgb="ffffffff"/>
          <x:b val="1"/>
          <x:i val="1"/>
        </x:font>
      </mc:Fallback>
    </mc:AlternateContent>
    <x:font>
      <x:name val="Arial"/>
      <x:sz val="8"/>
      <x:color rgb="ff000000"/>
      <x:b val="1"/>
      <x:u val="singleAccounting"/>
    </x:font>
    <mc:AlternateContent xmlns:mc="http://schemas.openxmlformats.org/markup-compatibility/2006">
      <mc:Choice xmlns:hs="http://schemas.haansoft.com/office/spreadsheet/8.0" Requires="hs">
        <x:font hs:extension="1">
          <x:name val="Calibri"/>
          <x:sz val="15"/>
          <x:color rgb="ff33cccc"/>
          <x:b val="1"/>
          <hs:size val="100"/>
          <hs:ratio val="100"/>
          <hs:spacing val="0"/>
          <hs:offset val="0"/>
        </x:font>
      </mc:Choice>
      <mc:Fallback>
        <x:font>
          <x:name val="Calibri"/>
          <x:sz val="15"/>
          <x:color rgb="ff33cccc"/>
          <x:b val="1"/>
        </x:font>
      </mc:Fallback>
    </mc:AlternateContent>
    <mc:AlternateContent xmlns:mc="http://schemas.openxmlformats.org/markup-compatibility/2006">
      <mc:Choice xmlns:hs="http://schemas.haansoft.com/office/spreadsheet/8.0" Requires="hs">
        <x:font hs:extension="1">
          <x:name val="Calibri"/>
          <x:sz val="13"/>
          <x:color rgb="ff33cccc"/>
          <x:b val="1"/>
          <hs:size val="100"/>
          <hs:ratio val="100"/>
          <hs:spacing val="0"/>
          <hs:offset val="0"/>
        </x:font>
      </mc:Choice>
      <mc:Fallback>
        <x:font>
          <x:name val="Calibri"/>
          <x:sz val="13"/>
          <x:color rgb="ff33cccc"/>
          <x:b val="1"/>
        </x:font>
      </mc:Fallback>
    </mc:AlternateContent>
    <mc:AlternateContent xmlns:mc="http://schemas.openxmlformats.org/markup-compatibility/2006">
      <mc:Choice xmlns:hs="http://schemas.haansoft.com/office/spreadsheet/8.0" Requires="hs">
        <x:font hs:extension="1">
          <x:name val="Calibri"/>
          <x:sz val="11"/>
          <x:color rgb="ff33cccc"/>
          <x:b val="1"/>
          <hs:size val="100"/>
          <hs:ratio val="100"/>
          <hs:spacing val="0"/>
          <hs:offset val="0"/>
        </x:font>
      </mc:Choice>
      <mc:Fallback>
        <x:font>
          <x:name val="Calibri"/>
          <x:sz val="11"/>
          <x:color rgb="ff33cccc"/>
          <x:b val="1"/>
        </x:font>
      </mc:Fallback>
    </mc:AlternateContent>
    <mc:AlternateContent xmlns:mc="http://schemas.openxmlformats.org/markup-compatibility/2006">
      <mc:Choice xmlns:hs="http://schemas.haansoft.com/office/spreadsheet/8.0" Requires="hs">
        <x:font hs:extension="1">
          <x:name val="Calibri"/>
          <x:sz val="11"/>
          <x:color rgb="ff666699"/>
          <hs:size val="100"/>
          <hs:ratio val="100"/>
          <hs:spacing val="0"/>
          <hs:offset val="0"/>
        </x:font>
      </mc:Choice>
      <mc:Fallback>
        <x:font>
          <x:name val="Calibri"/>
          <x:sz val="11"/>
          <x:color rgb="ff666699"/>
        </x:font>
      </mc:Fallback>
    </mc:AlternateContent>
    <mc:AlternateContent xmlns:mc="http://schemas.openxmlformats.org/markup-compatibility/2006">
      <mc:Choice xmlns:hs="http://schemas.haansoft.com/office/spreadsheet/8.0" Requires="hs">
        <x:font hs:extension="1">
          <x:name val="Symbol"/>
          <x:sz val="1"/>
          <x:color rgb="ffffffff"/>
          <hs:size val="100"/>
          <hs:ratio val="100"/>
          <hs:spacing val="0"/>
          <hs:offset val="0"/>
        </x:font>
      </mc:Choice>
      <mc:Fallback>
        <x:font>
          <x:name val="Symbol"/>
          <x:sz val="1"/>
          <x:color rgb="ffffffff"/>
        </x:font>
      </mc:Fallback>
    </mc:AlternateContent>
    <mc:AlternateContent xmlns:mc="http://schemas.openxmlformats.org/markup-compatibility/2006">
      <mc:Choice xmlns:hs="http://schemas.haansoft.com/office/spreadsheet/8.0" Requires="hs">
        <x:font hs:extension="1">
          <x:name val="Verdana"/>
          <x:sz val="8"/>
          <x:color rgb="ff000000"/>
          <x:b val="1"/>
          <hs:size val="100"/>
          <hs:ratio val="100"/>
          <hs:spacing val="0"/>
          <hs:offset val="0"/>
        </x:font>
      </mc:Choice>
      <mc:Fallback>
        <x:font>
          <x:name val="Verdana"/>
          <x:sz val="8"/>
          <x:color rgb="ff000000"/>
          <x:b val="1"/>
          <x:u val="singleAccounting"/>
        </x:font>
      </mc:Fallback>
    </mc:AlternateContent>
    <mc:AlternateContent xmlns:mc="http://schemas.openxmlformats.org/markup-compatibility/2006">
      <mc:Choice xmlns:hs="http://schemas.haansoft.com/office/spreadsheet/8.0" Requires="hs">
        <x:font hs:extension="1">
          <x:name val="Verdana"/>
          <x:sz val="12"/>
          <x:color rgb="ff000000"/>
          <x:b val="1"/>
          <hs:size val="100"/>
          <hs:ratio val="100"/>
          <hs:spacing val="0"/>
          <hs:offset val="0"/>
        </x:font>
      </mc:Choice>
      <mc:Fallback>
        <x:font>
          <x:name val="Verdana"/>
          <x:sz val="12"/>
          <x:color rgb="ff000000"/>
          <x:b val="1"/>
        </x:font>
      </mc:Fallback>
    </mc:AlternateContent>
    <mc:AlternateContent xmlns:mc="http://schemas.openxmlformats.org/markup-compatibility/2006">
      <mc:Choice xmlns:hs="http://schemas.haansoft.com/office/spreadsheet/8.0" Requires="hs">
        <x:font hs:extension="1">
          <x:name val="Verdana"/>
          <x:sz val="8"/>
          <x:color rgb="ffffffff"/>
          <x:b val="1"/>
          <hs:size val="100"/>
          <hs:ratio val="100"/>
          <hs:spacing val="0"/>
          <hs:offset val="0"/>
        </x:font>
      </mc:Choice>
      <mc:Fallback>
        <x:font>
          <x:name val="Verdana"/>
          <x:sz val="8"/>
          <x:color rgb="ffffffff"/>
          <x:b val="1"/>
        </x:font>
      </mc:Fallback>
    </mc:AlternateContent>
    <mc:AlternateContent xmlns:mc="http://schemas.openxmlformats.org/markup-compatibility/2006">
      <mc:Choice xmlns:hs="http://schemas.haansoft.com/office/spreadsheet/8.0" Requires="hs">
        <x:font hs:extension="1">
          <x:name val="Courier"/>
          <x:sz val="10"/>
          <x:color rgb="ff000000"/>
          <hs:size val="100"/>
          <hs:ratio val="100"/>
          <hs:spacing val="0"/>
          <hs:offset val="0"/>
        </x:font>
      </mc:Choice>
      <mc:Fallback>
        <x:font>
          <x:name val="Courier"/>
          <x:sz val="10"/>
          <x:color rgb="ff000000"/>
        </x:font>
      </mc:Fallback>
    </mc:AlternateContent>
    <mc:AlternateContent xmlns:mc="http://schemas.openxmlformats.org/markup-compatibility/2006">
      <mc:Choice xmlns:hs="http://schemas.haansoft.com/office/spreadsheet/8.0" Requires="hs">
        <x:font hs:extension="1">
          <x:name val="Verdana"/>
          <x:sz val="13"/>
          <x:color rgb="ff000000"/>
          <x:b val="1"/>
          <hs:size val="100"/>
          <hs:ratio val="100"/>
          <hs:spacing val="0"/>
          <hs:offset val="0"/>
        </x:font>
      </mc:Choice>
      <mc:Fallback>
        <x:font>
          <x:name val="Verdana"/>
          <x:sz val="13"/>
          <x:color rgb="ff000000"/>
          <x:b val="1"/>
        </x:font>
      </mc:Fallback>
    </mc:AlternateContent>
    <mc:AlternateContent xmlns:mc="http://schemas.openxmlformats.org/markup-compatibility/2006">
      <mc:Choice xmlns:hs="http://schemas.haansoft.com/office/spreadsheet/8.0" Requires="hs">
        <x:font hs:extension="1">
          <x:name val="Arial"/>
          <x:sz val="8"/>
          <x:color rgb="ff000000"/>
          <x:i val="1"/>
          <hs:size val="100"/>
          <hs:ratio val="100"/>
          <hs:spacing val="0"/>
          <hs:offset val="0"/>
        </x:font>
      </mc:Choice>
      <mc:Fallback>
        <x:font>
          <x:name val="Arial"/>
          <x:sz val="8"/>
          <x:color rgb="ff000000"/>
          <x:i val="1"/>
        </x:font>
      </mc:Fallback>
    </mc:AlternateContent>
    <mc:AlternateContent xmlns:mc="http://schemas.openxmlformats.org/markup-compatibility/2006">
      <mc:Choice xmlns:hs="http://schemas.haansoft.com/office/spreadsheet/8.0" Requires="hs">
        <x:font hs:extension="1">
          <x:name val="Symbol"/>
          <x:sz val="2"/>
          <x:color rgb="ffffffff"/>
          <hs:size val="100"/>
          <hs:ratio val="100"/>
          <hs:spacing val="0"/>
          <hs:offset val="0"/>
        </x:font>
      </mc:Choice>
      <mc:Fallback>
        <x:font>
          <x:name val="Symbol"/>
          <x:sz val="2"/>
          <x:color rgb="ffffffff"/>
        </x:font>
      </mc:Fallback>
    </mc:AlternateContent>
    <mc:AlternateContent xmlns:mc="http://schemas.openxmlformats.org/markup-compatibility/2006">
      <mc:Choice xmlns:hs="http://schemas.haansoft.com/office/spreadsheet/8.0" Requires="hs">
        <x:font hs:extension="1">
          <x:name val="Arial"/>
          <x:sz val="8"/>
          <x:color rgb="ff000000"/>
          <x:vertAlign val="subscript"/>
          <hs:subscript val="1"/>
          <hs:size val="100"/>
          <hs:ratio val="100"/>
          <hs:spacing val="0"/>
          <hs:offset val="0"/>
        </x:font>
      </mc:Choice>
      <mc:Fallback>
        <x:font>
          <x:name val="Arial"/>
          <x:sz val="8"/>
          <x:color rgb="ff000000"/>
          <x:vertAlign val="subscript"/>
        </x:font>
      </mc:Fallback>
    </mc:AlternateContent>
    <mc:AlternateContent xmlns:mc="http://schemas.openxmlformats.org/markup-compatibility/2006">
      <mc:Choice xmlns:hs="http://schemas.haansoft.com/office/spreadsheet/8.0" Requires="hs">
        <x:font hs:extension="1">
          <x:name val="Arial"/>
          <x:sz val="8"/>
          <x:color rgb="ff000000"/>
          <x:vertAlign val="superscript"/>
          <hs:superscript val="1"/>
          <hs:size val="100"/>
          <hs:ratio val="100"/>
          <hs:spacing val="0"/>
          <hs:offset val="0"/>
        </x:font>
      </mc:Choice>
      <mc:Fallback>
        <x:font>
          <x:name val="Arial"/>
          <x:sz val="8"/>
          <x:color rgb="ff000000"/>
          <x:vertAlign val="superscript"/>
        </x:font>
      </mc:Fallback>
    </mc:AlternateContent>
    <mc:AlternateContent xmlns:mc="http://schemas.openxmlformats.org/markup-compatibility/2006">
      <mc:Choice xmlns:hs="http://schemas.haansoft.com/office/spreadsheet/8.0" Requires="hs">
        <x:font hs:extension="1">
          <x:name val="Cambria"/>
          <x:sz val="18"/>
          <x:color rgb="ff33cccc"/>
          <x:b val="1"/>
          <hs:size val="100"/>
          <hs:ratio val="100"/>
          <hs:spacing val="0"/>
          <hs:offset val="0"/>
        </x:font>
      </mc:Choice>
      <mc:Fallback>
        <x:font>
          <x:name val="Cambria"/>
          <x:sz val="18"/>
          <x:color rgb="ff33cccc"/>
          <x:b val="1"/>
        </x:font>
      </mc:Fallback>
    </mc:AlternateContent>
    <mc:AlternateContent xmlns:mc="http://schemas.openxmlformats.org/markup-compatibility/2006">
      <mc:Choice xmlns:hs="http://schemas.haansoft.com/office/spreadsheet/8.0" Requires="hs">
        <x:font hs:extension="1">
          <x:name val="Arial"/>
          <x:sz val="8"/>
          <x:color rgb="ff0563c1"/>
          <x:u/>
          <hs:underlineType val="1"/>
          <hs:underlineShape val="solid"/>
          <hs:underlineColor rgb="ff0563c1"/>
          <hs:size val="100"/>
          <hs:ratio val="100"/>
          <hs:spacing val="0"/>
          <hs:offset val="0"/>
        </x:font>
      </mc:Choice>
      <mc:Fallback>
        <x:font>
          <x:name val="Arial"/>
          <x:sz val="8"/>
          <x:color rgb="ff0563c1"/>
          <x:u/>
        </x:font>
      </mc:Fallback>
    </mc:AlternateContent>
    <mc:AlternateContent xmlns:mc="http://schemas.openxmlformats.org/markup-compatibility/2006">
      <mc:Choice xmlns:hs="http://schemas.haansoft.com/office/spreadsheet/8.0" Requires="hs">
        <x:font hs:extension="1">
          <x:name val="Arial"/>
          <x:sz val="9"/>
          <x:color rgb="ff000000"/>
          <x:b val="1"/>
          <x:u/>
          <hs:underlineType val="1"/>
          <hs:underlineShape val="solid"/>
          <hs:underlineColor rgb="ff000000"/>
          <hs:size val="100"/>
          <hs:ratio val="100"/>
          <hs:spacing val="0"/>
          <hs:offset val="0"/>
        </x:font>
      </mc:Choice>
      <mc:Fallback>
        <x:font>
          <x:name val="Arial"/>
          <x:sz val="9"/>
          <x:color rgb="ff000000"/>
          <x:b val="1"/>
          <x:u/>
        </x:font>
      </mc:Fallback>
    </mc:AlternateContent>
    <mc:AlternateContent xmlns:mc="http://schemas.openxmlformats.org/markup-compatibility/2006">
      <mc:Choice xmlns:hs="http://schemas.haansoft.com/office/spreadsheet/8.0" Requires="hs">
        <x:font hs:extension="1">
          <x:name val="Arial"/>
          <x:sz val="18"/>
          <x:color rgb="ff000000"/>
          <x:b val="1"/>
          <hs:size val="100"/>
          <hs:ratio val="100"/>
          <hs:spacing val="0"/>
          <hs:offset val="0"/>
        </x:font>
      </mc:Choice>
      <mc:Fallback>
        <x:font>
          <x:name val="Arial"/>
          <x:sz val="18"/>
          <x:color rgb="ff000000"/>
          <x:b val="1"/>
        </x:font>
      </mc:Fallback>
    </mc:AlternateContent>
    <mc:AlternateContent xmlns:mc="http://schemas.openxmlformats.org/markup-compatibility/2006">
      <mc:Choice xmlns:hs="http://schemas.haansoft.com/office/spreadsheet/8.0" Requires="hs">
        <x:font hs:extension="1">
          <x:name val="Arial"/>
          <x:sz val="8"/>
          <x:color rgb="ff525252"/>
          <x:i val="1"/>
          <hs:size val="100"/>
          <hs:ratio val="100"/>
          <hs:spacing val="0"/>
          <hs:offset val="0"/>
        </x:font>
      </mc:Choice>
      <mc:Fallback>
        <x:font>
          <x:name val="Arial"/>
          <x:sz val="8"/>
          <x:color rgb="ff525252"/>
          <x:i val="1"/>
        </x:font>
      </mc:Fallback>
    </mc:AlternateContent>
    <mc:AlternateContent xmlns:mc="http://schemas.openxmlformats.org/markup-compatibility/2006">
      <mc:Choice xmlns:hs="http://schemas.haansoft.com/office/spreadsheet/8.0" Requires="hs">
        <x:font hs:extension="1">
          <x:name val="Arial"/>
          <x:sz val="8"/>
          <x:color rgb="ff008000"/>
          <x:b val="1"/>
          <hs:size val="100"/>
          <hs:ratio val="100"/>
          <hs:spacing val="0"/>
          <hs:offset val="0"/>
        </x:font>
      </mc:Choice>
      <mc:Fallback>
        <x:font>
          <x:name val="Arial"/>
          <x:sz val="8"/>
          <x:color rgb="ff008000"/>
          <x:b val="1"/>
        </x:font>
      </mc:Fallback>
    </mc:AlternateContent>
    <mc:AlternateContent xmlns:mc="http://schemas.openxmlformats.org/markup-compatibility/2006">
      <mc:Choice xmlns:hs="http://schemas.haansoft.com/office/spreadsheet/8.0" Requires="hs">
        <x:font hs:extension="1">
          <x:name val="Arial"/>
          <x:sz val="8"/>
          <x:color rgb="ff0000ff"/>
          <hs:size val="100"/>
          <hs:ratio val="100"/>
          <hs:spacing val="0"/>
          <hs:offset val="0"/>
        </x:font>
      </mc:Choice>
      <mc:Fallback>
        <x:font>
          <x:name val="Arial"/>
          <x:sz val="8"/>
          <x:color rgb="ff0000ff"/>
        </x:font>
      </mc:Fallback>
    </mc:AlternateContent>
    <mc:AlternateContent xmlns:mc="http://schemas.openxmlformats.org/markup-compatibility/2006">
      <mc:Choice xmlns:hs="http://schemas.haansoft.com/office/spreadsheet/8.0" Requires="hs">
        <x:font hs:extension="1">
          <x:name val="Arial"/>
          <x:sz val="10"/>
          <x:color rgb="ff000000"/>
          <x:b val="1"/>
          <x:i val="1"/>
          <x:u/>
          <hs:underlineType val="1"/>
          <hs:underlineShape val="solid"/>
          <hs:underlineColor rgb="ff000000"/>
          <hs:size val="100"/>
          <hs:ratio val="100"/>
          <hs:spacing val="0"/>
          <hs:offset val="0"/>
        </x:font>
      </mc:Choice>
      <mc:Fallback>
        <x:font>
          <x:name val="Arial"/>
          <x:sz val="10"/>
          <x:color rgb="ff000000"/>
          <x:b val="1"/>
          <x:i val="1"/>
          <x:u/>
        </x:font>
      </mc:Fallback>
    </mc:AlternateContent>
    <mc:AlternateContent xmlns:mc="http://schemas.openxmlformats.org/markup-compatibility/2006">
      <mc:Choice xmlns:hs="http://schemas.haansoft.com/office/spreadsheet/8.0" Requires="hs">
        <x:font hs:extension="1">
          <x:name val="Arial"/>
          <x:sz val="8"/>
          <x:color rgb="ff000000"/>
          <x:u/>
          <hs:underlineType val="1"/>
          <hs:underlineShape val="solid"/>
          <hs:underlineColor rgb="ff000000"/>
          <hs:size val="100"/>
          <hs:ratio val="100"/>
          <hs:spacing val="0"/>
          <hs:offset val="0"/>
        </x:font>
      </mc:Choice>
      <mc:Fallback>
        <x:font>
          <x:name val="Arial"/>
          <x:sz val="8"/>
          <x:color rgb="ff000000"/>
          <x:u/>
        </x:font>
      </mc:Fallback>
    </mc:AlternateContent>
    <mc:AlternateContent xmlns:mc="http://schemas.openxmlformats.org/markup-compatibility/2006">
      <mc:Choice xmlns:hs="http://schemas.haansoft.com/office/spreadsheet/8.0" Requires="hs">
        <x:font hs:extension="1">
          <x:name val="Arial"/>
          <x:sz val="8"/>
          <x:color rgb="ff223d92"/>
          <x:u/>
          <hs:underlineType val="1"/>
          <hs:underlineShape val="solid"/>
          <hs:underlineColor rgb="ff223d92"/>
          <hs:size val="100"/>
          <hs:ratio val="100"/>
          <hs:spacing val="0"/>
          <hs:offset val="0"/>
        </x:font>
      </mc:Choice>
      <mc:Fallback>
        <x:font>
          <x:name val="Arial"/>
          <x:sz val="8"/>
          <x:color rgb="ff223d92"/>
          <x:u/>
        </x:font>
      </mc:Fallback>
    </mc:AlternateContent>
    <mc:AlternateContent xmlns:mc="http://schemas.openxmlformats.org/markup-compatibility/2006">
      <mc:Choice xmlns:hs="http://schemas.haansoft.com/office/spreadsheet/8.0" Requires="hs">
        <x:font hs:extension="1">
          <x:name val="Arial"/>
          <x:sz val="10"/>
          <x:color rgb="ff000000"/>
          <x:i val="1"/>
          <hs:size val="100"/>
          <hs:ratio val="100"/>
          <hs:spacing val="0"/>
          <hs:offset val="0"/>
        </x:font>
      </mc:Choice>
      <mc:Fallback>
        <x:font>
          <x:name val="Arial"/>
          <x:sz val="10"/>
          <x:color rgb="ff000000"/>
          <x:i val="1"/>
        </x:font>
      </mc:Fallback>
    </mc:AlternateContent>
  </x:fonts>
  <x:fills count="7">
    <x:fill>
      <x:patternFill patternType="none"/>
    </x:fill>
    <x:fill>
      <x:patternFill patternType="gray125"/>
    </x:fill>
    <x:fill>
      <x:patternFill patternType="solid">
        <x:fgColor rgb="ffffffff"/>
        <x:bgColor indexed="64"/>
      </x:patternFill>
    </x:fill>
    <x:fill>
      <x:patternFill patternType="solid">
        <x:fgColor rgb="ffbfbfbf"/>
        <x:bgColor indexed="64"/>
      </x:patternFill>
    </x:fill>
    <x:fill>
      <x:patternFill patternType="solid">
        <x:fgColor rgb="fff2f2f2"/>
        <x:bgColor indexed="64"/>
      </x:patternFill>
    </x:fill>
    <x:fill>
      <x:patternFill patternType="solid">
        <x:fgColor rgb="ffffffcc"/>
        <x:bgColor indexed="64"/>
      </x:patternFill>
    </x:fill>
    <x:fill>
      <x:patternFill patternType="solid">
        <x:fgColor rgb="ffe7e6e6"/>
        <x:bgColor indexed="64"/>
      </x:patternFill>
    </x:fill>
  </x:fills>
  <x:borders count="29">
    <x:border>
      <x:left>
        <x:color auto="1"/>
      </x:left>
      <x:right>
        <x:color auto="1"/>
      </x:right>
      <x:top>
        <x:color auto="1"/>
      </x:top>
      <x:bottom>
        <x:color auto="1"/>
      </x:bottom>
    </x:border>
    <x:border>
      <x:left>
        <x:color auto="1"/>
      </x:left>
      <x:right>
        <x:color auto="1"/>
      </x:right>
      <x:top>
        <x:color auto="1"/>
      </x:top>
      <x:bottom style="thin">
        <x:color rgb="ff525252"/>
      </x:bottom>
    </x:border>
    <x:border>
      <x:left style="thin">
        <x:color auto="1"/>
      </x:left>
      <x:right>
        <x:color auto="1"/>
      </x:right>
      <x:top style="thin">
        <x:color auto="1"/>
      </x:top>
      <x:bottom style="thin">
        <x:color auto="1"/>
      </x:bottom>
    </x:border>
    <x:border>
      <x:left style="thin">
        <x:color auto="1"/>
      </x:left>
      <x:right>
        <x:color auto="1"/>
      </x:right>
      <x:top>
        <x:color auto="1"/>
      </x:top>
      <x:bottom style="thin">
        <x:color auto="1"/>
      </x:bottom>
    </x:border>
    <x:border>
      <x:left>
        <x:color auto="1"/>
      </x:left>
      <x:right>
        <x:color auto="1"/>
      </x:right>
      <x:top style="thin">
        <x:color auto="1"/>
      </x:top>
      <x:bottom style="thin">
        <x:color auto="1"/>
      </x:bottom>
    </x:border>
    <x:border>
      <x:left>
        <x:color auto="1"/>
      </x:left>
      <x:right style="thin">
        <x:color auto="1"/>
      </x:right>
      <x:top style="thin">
        <x:color auto="1"/>
      </x:top>
      <x:bottom style="thin">
        <x:color auto="1"/>
      </x:bottom>
    </x:border>
    <x:border>
      <x:left>
        <x:color auto="1"/>
      </x:left>
      <x:right>
        <x:color auto="1"/>
      </x:right>
      <x:top>
        <x:color auto="1"/>
      </x:top>
      <x:bottom style="thin">
        <x:color auto="1"/>
      </x:bottom>
    </x:border>
    <x:border>
      <x:left>
        <x:color auto="1"/>
      </x:left>
      <x:right style="thin">
        <x:color auto="1"/>
      </x:right>
      <x:top>
        <x:color auto="1"/>
      </x:top>
      <x:bottom style="thin">
        <x:color auto="1"/>
      </x:bottom>
    </x:border>
    <x:border>
      <x:left style="thin">
        <x:color auto="1"/>
      </x:left>
      <x:right style="thin">
        <x:color auto="1"/>
      </x:right>
      <x:top style="thin">
        <x:color auto="1"/>
      </x:top>
      <x:bottom style="thin">
        <x:color auto="1"/>
      </x:bottom>
    </x:border>
    <x:border>
      <x:left>
        <x:color auto="1"/>
      </x:left>
      <x:right>
        <x:color auto="1"/>
      </x:right>
      <x:top>
        <x:color auto="1"/>
      </x:top>
      <x:bottom style="medium">
        <x:color rgb="ff525252"/>
      </x:bottom>
    </x:border>
    <x:border>
      <x:left style="thin">
        <x:color rgb="ff525252"/>
      </x:left>
      <x:right style="thin">
        <x:color rgb="ff525252"/>
      </x:right>
      <x:top style="thin">
        <x:color rgb="ff525252"/>
      </x:top>
      <x:bottom style="thin">
        <x:color rgb="ff525252"/>
      </x:bottom>
    </x:border>
    <x:border>
      <x:left>
        <x:color auto="1"/>
      </x:left>
      <x:right style="thin">
        <x:color auto="1"/>
      </x:right>
      <x:top>
        <x:color auto="1"/>
      </x:top>
      <x:bottom>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thin">
        <x:color auto="1"/>
      </x:bottom>
    </x:border>
    <x:border>
      <x:left style="thin">
        <x:color auto="1"/>
      </x:left>
      <x:right style="thin">
        <x:color auto="1"/>
      </x:right>
      <x:top style="thin">
        <x:color auto="1"/>
      </x:top>
      <x:bottom style="hair">
        <x:color auto="1"/>
      </x:bottom>
    </x:border>
    <x:border>
      <x:left>
        <x:color auto="1"/>
      </x:left>
      <x:right style="thin">
        <x:color auto="1"/>
      </x:right>
      <x:top style="thin">
        <x:color auto="1"/>
      </x:top>
      <x:bottom style="hair">
        <x:color auto="1"/>
      </x:bottom>
    </x:border>
    <x:border>
      <x:left style="thin">
        <x:color auto="1"/>
      </x:left>
      <x:right style="thin">
        <x:color auto="1"/>
      </x:right>
      <x:top style="hair">
        <x:color auto="1"/>
      </x:top>
      <x:bottom style="hair">
        <x:color auto="1"/>
      </x:bottom>
    </x:border>
    <x:border>
      <x:left>
        <x:color auto="1"/>
      </x:left>
      <x:right style="thin">
        <x:color auto="1"/>
      </x:right>
      <x:top style="hair">
        <x:color auto="1"/>
      </x:top>
      <x:bottom style="hair">
        <x:color auto="1"/>
      </x:bottom>
    </x:border>
    <x:border>
      <x:left style="thin">
        <x:color auto="1"/>
      </x:left>
      <x:right style="thin">
        <x:color auto="1"/>
      </x:right>
      <x:top style="hair">
        <x:color auto="1"/>
      </x:top>
      <x:bottom style="thin">
        <x:color auto="1"/>
      </x:bottom>
    </x:border>
    <x:border>
      <x:left>
        <x:color auto="1"/>
      </x:left>
      <x:right style="thin">
        <x:color auto="1"/>
      </x:right>
      <x:top style="hair">
        <x:color auto="1"/>
      </x:top>
      <x:bottom style="thin">
        <x:color auto="1"/>
      </x:bottom>
    </x:border>
    <x:border>
      <x:left>
        <x:color auto="1"/>
      </x:left>
      <x:right>
        <x:color auto="1"/>
      </x:right>
      <x:top style="thin">
        <x:color rgb="ff525252"/>
      </x:top>
      <x:bottom>
        <x:color auto="1"/>
      </x:bottom>
    </x:border>
    <x:border>
      <x:left>
        <x:color auto="1"/>
      </x:left>
      <x:right>
        <x:color auto="1"/>
      </x:right>
      <x:top style="thin">
        <x:color rgb="ff525252"/>
      </x:top>
      <x:bottom style="double">
        <x:color rgb="ff525252"/>
      </x:bottom>
    </x:border>
    <x:border>
      <x:left>
        <x:color auto="1"/>
      </x:left>
      <x:right>
        <x:color auto="1"/>
      </x:right>
      <x:top style="thin">
        <x:color rgb="ff525252"/>
      </x:top>
      <x:bottom style="thin">
        <x:color rgb="ff525252"/>
      </x:bottom>
    </x:border>
    <x:border>
      <x:left style="thin">
        <x:color rgb="ffc0c0c0"/>
      </x:left>
      <x:right style="thin">
        <x:color rgb="ffc0c0c0"/>
      </x:right>
      <x:top style="thin">
        <x:color rgb="ffc0c0c0"/>
      </x:top>
      <x:bottom style="thin">
        <x:color rgb="ffc0c0c0"/>
      </x:bottom>
    </x:border>
    <x:border>
      <x:left style="thin">
        <x:color rgb="ffc0c0c0"/>
      </x:left>
      <x:right style="thin">
        <x:color rgb="ffc0c0c0"/>
      </x:right>
      <x:top>
        <x:color auto="1"/>
      </x:top>
      <x:bottom style="thin">
        <x:color rgb="ffc0c0c0"/>
      </x:bottom>
    </x:border>
    <x:border>
      <x:left style="thin">
        <x:color auto="1"/>
      </x:left>
      <x:right style="thin">
        <x:color auto="1"/>
      </x:right>
      <x:top style="thin">
        <x:color auto="1"/>
      </x:top>
      <x:bottom>
        <x:color auto="1"/>
      </x:bottom>
    </x:border>
    <x:border>
      <x:left>
        <x:color auto="1"/>
      </x:left>
      <x:right>
        <x:color auto="1"/>
      </x:right>
      <x:top style="thin">
        <x:color auto="1"/>
      </x:top>
      <x:bottom>
        <x:color auto="1"/>
      </x:bottom>
    </x:border>
    <x:border>
      <x:left style="thin">
        <x:color rgb="ff525252"/>
      </x:left>
      <x:right>
        <x:color auto="1"/>
      </x:right>
      <x:top style="thin">
        <x:color rgb="ff525252"/>
      </x:top>
      <x:bottom style="thin">
        <x:color rgb="ff525252"/>
      </x:bottom>
    </x:border>
    <x:border>
      <x:left>
        <x:color auto="1"/>
      </x:left>
      <x:right style="thin">
        <x:color rgb="ff525252"/>
      </x:right>
      <x:top style="thin">
        <x:color rgb="ff525252"/>
      </x:top>
      <x:bottom style="thin">
        <x:color rgb="ff525252"/>
      </x:bottom>
    </x:border>
  </x:borders>
  <x:cellStyleXfs count="10">
    <x:xf numFmtId="0" fontId="0" fillId="0" borderId="0">
      <x:alignment horizontal="general" vertical="center"/>
    </x:xf>
    <x:xf numFmtId="9" fontId="0" fillId="0" borderId="0" applyFont="1" applyFill="1" applyBorder="1" applyAlignment="1" applyProtection="1">
      <x:alignment horizontal="general" vertical="center"/>
    </x:xf>
    <x:xf numFmtId="186" fontId="0" fillId="0" borderId="0" applyFont="1" applyFill="1" applyBorder="1" applyAlignment="1" applyProtection="1">
      <x:alignment horizontal="general" vertical="center"/>
    </x:xf>
    <x:xf numFmtId="0" fontId="0" fillId="0" borderId="0">
      <x:alignment horizontal="general" vertical="bottom"/>
    </x:xf>
    <x:xf numFmtId="0" fontId="6" fillId="0" borderId="0">
      <x:alignment horizontal="general" vertical="bottom"/>
    </x:xf>
    <x:xf numFmtId="0" fontId="0" fillId="0" borderId="0">
      <x:alignment horizontal="general" vertical="bottom"/>
    </x:xf>
    <x:xf numFmtId="0" fontId="0" fillId="0" borderId="0">
      <x:alignment horizontal="general" vertical="top"/>
    </x:xf>
    <x:xf numFmtId="0" fontId="0" fillId="0" borderId="0">
      <x:alignment horizontal="general" vertical="bottom"/>
    </x:xf>
    <x:xf numFmtId="0" fontId="6" fillId="0" borderId="0">
      <x:alignment horizontal="general" vertical="bottom"/>
    </x:xf>
    <x:xf numFmtId="0" fontId="84" fillId="0" borderId="0">
      <x:alignment horizontal="general" vertical="bottom"/>
    </x:xf>
  </x:cellStyleXfs>
  <x:cellXfs count="281">
    <x:xf numFmtId="0" fontId="0" fillId="0" borderId="0" xfId="0" applyNumberFormat="1">
      <x:alignment horizontal="general" vertical="center"/>
    </x:xf>
    <x:xf numFmtId="0" fontId="0" fillId="0" borderId="0" xfId="0" applyNumberFormat="1">
      <x:alignment horizontal="general" vertical="bottom"/>
    </x:xf>
    <x:xf numFmtId="0" fontId="54" fillId="0" borderId="0" xfId="0" applyNumberFormat="1" applyFont="1">
      <x:alignment horizontal="general" vertical="bottom"/>
    </x:xf>
    <x:xf numFmtId="0" fontId="0" fillId="0" borderId="0" xfId="0" applyNumberFormat="1" applyAlignment="1">
      <x:alignment horizontal="left" vertical="bottom"/>
    </x:xf>
    <mc:AlternateContent xmlns:mc="http://schemas.openxmlformats.org/markup-compatibility/2006">
      <mc:Choice xmlns:hs="http://schemas.haansoft.com/office/spreadsheet/8.0" Requires="hs">
        <x:xf numFmtId="0"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0" xfId="0" applyNumberFormat="1" applyAlignment="1">
          <x:alignment horizontal="right" vertical="bottom"/>
        </x:xf>
      </mc:Fallback>
    </mc:AlternateContent>
    <x:xf numFmtId="0" fontId="0" fillId="2" borderId="0" xfId="0" applyNumberFormat="1" applyFont="1" applyFill="1">
      <x:alignment horizontal="general" vertical="bottom"/>
    </x:xf>
    <x:xf numFmtId="0" fontId="0" fillId="0" borderId="1" xfId="0" applyNumberFormat="1" applyFont="1" applyBorder="1" applyAlignment="1">
      <x:alignment horizontal="general" vertical="center"/>
    </x:xf>
    <x:xf numFmtId="0" fontId="85" fillId="0" borderId="0" xfId="0" applyNumberFormat="1" applyFont="1">
      <x:alignment horizontal="general" vertical="bottom"/>
    </x:xf>
    <x:xf numFmtId="0" fontId="85" fillId="0" borderId="0" xfId="0" applyNumberFormat="1" applyFont="1">
      <x:alignment horizontal="general" vertical="bottom"/>
    </x:xf>
    <x:xf numFmtId="0" fontId="86" fillId="0" borderId="1" xfId="0" applyNumberFormat="1" applyFont="1" applyBorder="1" applyAlignment="1">
      <x:alignment horizontal="left" vertical="center"/>
    </x:xf>
    <x:xf numFmtId="0" fontId="0" fillId="0" borderId="0" xfId="0" quotePrefix="1" applyNumberFormat="1">
      <x:alignment horizontal="general" vertical="bottom"/>
    </x:xf>
    <x:xf numFmtId="2" fontId="54" fillId="0" borderId="0" xfId="0" quotePrefix="1" applyNumberFormat="1" applyFont="1">
      <x:alignment horizontal="general" vertical="bottom"/>
    </x:xf>
    <x:xf numFmtId="0" fontId="54" fillId="0" borderId="0" xfId="0" quotePrefix="1" applyNumberFormat="1" applyFont="1">
      <x:alignment horizontal="general" vertical="bottom"/>
    </x:xf>
    <x:xf numFmtId="0" fontId="0" fillId="0" borderId="0" xfId="0" quotePrefix="1" applyNumberFormat="1" applyAlignment="1">
      <x:alignment horizontal="left" vertical="bottom"/>
    </x:xf>
    <x:xf numFmtId="1" fontId="54" fillId="0" borderId="0" xfId="6" quotePrefix="1" applyNumberFormat="1" applyFont="1" applyAlignment="1">
      <x:alignment horizontal="left" vertical="top"/>
    </x:xf>
    <mc:AlternateContent xmlns:mc="http://schemas.openxmlformats.org/markup-compatibility/2006">
      <mc:Choice xmlns:hs="http://schemas.haansoft.com/office/spreadsheet/8.0" Requires="hs">
        <x:xf numFmtId="3"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3" fontId="0" fillId="0" borderId="0" xfId="0" applyNumberFormat="1" applyAlignment="1">
          <x:alignment horizontal="right" vertical="bottom"/>
        </x:xf>
      </mc:Fallback>
    </mc:AlternateContent>
    <x:xf numFmtId="0" fontId="0" fillId="0" borderId="0" xfId="7" applyNumberFormat="1">
      <x:alignment horizontal="general" vertical="bottom"/>
    </x:xf>
    <x:xf numFmtId="0" fontId="0" fillId="0" borderId="0" xfId="0" applyNumberFormat="1" applyFont="1">
      <x:alignment horizontal="general" vertical="bottom"/>
    </x:xf>
    <x:xf numFmtId="0" fontId="0" fillId="0" borderId="0" xfId="0" applyNumberFormat="1" applyFont="1" applyAlignment="1">
      <x:alignment horizontal="general" vertical="center"/>
    </x:xf>
    <x:xf numFmtId="0" fontId="0" fillId="0" borderId="1" xfId="0" applyNumberFormat="1" applyBorder="1">
      <x:alignment horizontal="general" vertical="bottom"/>
    </x:xf>
    <x:xf numFmtId="0" fontId="0" fillId="0" borderId="1" xfId="0" applyNumberFormat="1" applyBorder="1" applyAlignment="1">
      <x:alignment horizontal="left" vertical="bottom"/>
    </x:xf>
    <mc:AlternateContent xmlns:mc="http://schemas.openxmlformats.org/markup-compatibility/2006">
      <mc:Choice xmlns:hs="http://schemas.haansoft.com/office/spreadsheet/8.0" Requires="hs">
        <x:xf numFmtId="0" fontId="0" fillId="0" borderId="1"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1" xfId="0" applyNumberFormat="1" applyBorder="1" applyAlignment="1">
          <x:alignment horizontal="right" vertical="bottom"/>
        </x:xf>
      </mc:Fallback>
    </mc:AlternateContent>
    <mc:AlternateContent xmlns:mc="http://schemas.openxmlformats.org/markup-compatibility/2006">
      <mc:Choice xmlns:hs="http://schemas.haansoft.com/office/spreadsheet/8.0" Requires="hs">
        <x:xf numFmtId="4"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4" fontId="0" fillId="0" borderId="0" xfId="0" applyNumberFormat="1" applyAlignment="1">
          <x:alignment horizontal="right" vertical="bottom"/>
        </x:xf>
      </mc:Fallback>
    </mc:AlternateContent>
    <mc:AlternateContent xmlns:mc="http://schemas.openxmlformats.org/markup-compatibility/2006">
      <mc:Choice xmlns:hs="http://schemas.haansoft.com/office/spreadsheet/8.0" Requires="hs">
        <x:xf numFmtId="14"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4" fontId="0" fillId="0" borderId="0" xfId="0" applyNumberFormat="1" applyAlignment="1">
          <x:alignment horizontal="right" vertical="bottom"/>
        </x:xf>
      </mc:Fallback>
    </mc:AlternateContent>
    <mc:AlternateContent xmlns:mc="http://schemas.openxmlformats.org/markup-compatibility/2006">
      <mc:Choice xmlns:hs="http://schemas.haansoft.com/office/spreadsheet/8.0" Requires="hs">
        <x:xf numFmtId="174"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74" fontId="0" fillId="0" borderId="0" xfId="0" applyNumberFormat="1" applyAlignment="1">
          <x:alignment horizontal="right" vertical="bottom"/>
        </x:xf>
      </mc:Fallback>
    </mc:AlternateContent>
    <x:xf numFmtId="0" fontId="87" fillId="0" borderId="0" xfId="0" applyNumberFormat="1" applyFont="1">
      <x:alignment horizontal="general" vertical="bottom"/>
    </x:xf>
    <mc:AlternateContent xmlns:mc="http://schemas.openxmlformats.org/markup-compatibility/2006">
      <mc:Choice xmlns:hs="http://schemas.haansoft.com/office/spreadsheet/8.0" Requires="hs">
        <x:xf numFmtId="0" fontId="0" fillId="0" borderId="1"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0" fillId="0" borderId="1"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75"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75" fontId="0" fillId="0" borderId="0" xfId="0" applyNumberFormat="1" applyAlignment="1">
          <x:alignment horizontal="right" vertical="bottom"/>
        </x:xf>
      </mc:Fallback>
    </mc:AlternateContent>
    <x:xf numFmtId="0" fontId="54" fillId="0" borderId="1" xfId="0" applyNumberFormat="1" applyFont="1" applyBorder="1" applyAlignment="1">
      <x:alignment horizontal="general" vertical="center"/>
    </x:xf>
    <mc:AlternateContent xmlns:mc="http://schemas.openxmlformats.org/markup-compatibility/2006">
      <mc:Choice xmlns:hs="http://schemas.haansoft.com/office/spreadsheet/8.0" Requires="hs">
        <x:xf numFmtId="38" fontId="0" fillId="0" borderId="0" xfId="2"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0" xfId="2"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75" fontId="54" fillId="0" borderId="0" xfId="2"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5" fontId="54" fillId="0" borderId="0" xfId="2" applyNumberFormat="1" applyFont="1" applyAlignment="1">
          <x:alignment horizontal="right" vertical="bottom"/>
        </x:xf>
      </mc:Fallback>
    </mc:AlternateContent>
    <x:xf numFmtId="177" fontId="0" fillId="0" borderId="0" xfId="2" applyNumberFormat="1" applyFont="1">
      <x:alignment horizontal="general" vertical="bottom"/>
    </x:xf>
    <mc:AlternateContent xmlns:mc="http://schemas.openxmlformats.org/markup-compatibility/2006">
      <mc:Choice xmlns:hs="http://schemas.haansoft.com/office/spreadsheet/8.0" Requires="hs">
        <x:xf numFmtId="177" fontId="0" fillId="0" borderId="0" xfId="2"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7" fontId="0" fillId="0" borderId="0" xfId="2" applyNumberFormat="1" applyFont="1" applyAlignment="1">
          <x:alignment horizontal="right" vertical="bottom"/>
        </x:xf>
      </mc:Fallback>
    </mc:AlternateContent>
    <x:xf numFmtId="0" fontId="0" fillId="0" borderId="2" xfId="0" applyNumberFormat="1" applyBorder="1">
      <x:alignment horizontal="general" vertical="bottom"/>
    </x:xf>
    <x:xf numFmtId="0" fontId="0" fillId="0" borderId="3" xfId="0" applyNumberFormat="1" applyBorder="1">
      <x:alignment horizontal="general" vertical="bottom"/>
    </x:xf>
    <x:xf numFmtId="0" fontId="0" fillId="0" borderId="4" xfId="0" applyNumberFormat="1" applyBorder="1">
      <x:alignment horizontal="general" vertical="bottom"/>
    </x:xf>
    <x:xf numFmtId="0" fontId="0" fillId="0" borderId="5" xfId="0" applyNumberFormat="1" applyBorder="1">
      <x:alignment horizontal="general" vertical="bottom"/>
    </x:xf>
    <x:xf numFmtId="0" fontId="0" fillId="0" borderId="6" xfId="0" applyNumberFormat="1" applyBorder="1">
      <x:alignment horizontal="general" vertical="bottom"/>
    </x:xf>
    <x:xf numFmtId="0" fontId="0" fillId="0" borderId="7" xfId="0" applyNumberFormat="1" applyBorder="1">
      <x:alignment horizontal="general" vertical="bottom"/>
    </x:xf>
    <x:xf numFmtId="0" fontId="0" fillId="3" borderId="2" xfId="0" applyNumberFormat="1" applyFill="1" applyBorder="1">
      <x:alignment horizontal="general" vertical="bottom"/>
    </x:xf>
    <x:xf numFmtId="0" fontId="0" fillId="3" borderId="4" xfId="0" applyNumberFormat="1" applyFill="1" applyBorder="1">
      <x:alignment horizontal="general" vertical="bottom"/>
    </x:xf>
    <x:xf numFmtId="0" fontId="0" fillId="3" borderId="5" xfId="0" applyNumberFormat="1" applyFill="1" applyBorder="1">
      <x:alignment horizontal="general" vertical="bottom"/>
    </x:xf>
    <x:xf numFmtId="0" fontId="0" fillId="3" borderId="8" xfId="0" applyNumberFormat="1" applyFill="1" applyBorder="1">
      <x:alignment horizontal="general" vertical="bottom"/>
    </x:xf>
    <mc:AlternateContent xmlns:mc="http://schemas.openxmlformats.org/markup-compatibility/2006">
      <mc:Choice xmlns:hs="http://schemas.haansoft.com/office/spreadsheet/8.0" Requires="hs">
        <x:xf numFmtId="14" fontId="54" fillId="0" borderId="1"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4" fontId="54" fillId="0" borderId="1"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40"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40" fontId="0" fillId="0" borderId="0" xfId="0" applyNumberFormat="1" applyAlignment="1">
          <x:alignment horizontal="right" vertical="bottom"/>
        </x:xf>
      </mc:Fallback>
    </mc:AlternateContent>
    <x:xf numFmtId="0" fontId="39" fillId="0" borderId="0" xfId="0" applyNumberFormat="1" applyFont="1">
      <x:alignment horizontal="general" vertical="bottom"/>
    </x:xf>
    <x:xf numFmtId="0" fontId="0" fillId="0" borderId="0" xfId="4" applyNumberFormat="1" applyFont="1">
      <x:alignment horizontal="general" vertical="bottom"/>
    </x:xf>
    <mc:AlternateContent xmlns:mc="http://schemas.openxmlformats.org/markup-compatibility/2006">
      <mc:Choice xmlns:hs="http://schemas.haansoft.com/office/spreadsheet/8.0" Requires="hs">
        <x:xf numFmtId="0"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0" xfId="4" applyNumberFormat="1" applyFont="1" applyAlignment="1">
          <x:alignment horizontal="right" vertical="bottom"/>
        </x:xf>
      </mc:Fallback>
    </mc:AlternateContent>
    <x:xf numFmtId="0" fontId="39" fillId="0" borderId="0" xfId="4" applyNumberFormat="1" applyFont="1">
      <x:alignment horizontal="general" vertical="bottom"/>
    </x:xf>
    <x:xf numFmtId="0" fontId="65" fillId="0" borderId="9" xfId="4" applyNumberFormat="1" applyFont="1" applyBorder="1" applyAlignment="1">
      <x:alignment horizontal="left" vertical="bottom"/>
    </x:xf>
    <mc:AlternateContent xmlns:mc="http://schemas.openxmlformats.org/markup-compatibility/2006">
      <mc:Choice xmlns:hs="http://schemas.haansoft.com/office/spreadsheet/8.0" Requires="hs">
        <x:xf numFmtId="0" fontId="0" fillId="0" borderId="9" xfId="4"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0" fontId="0" fillId="0" borderId="9" xfId="4"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0" fontId="0" fillId="0" borderId="9"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9" xfId="4" applyNumberFormat="1" applyFont="1" applyBorder="1" applyAlignment="1">
          <x:alignment horizontal="right" vertical="bottom"/>
        </x:xf>
      </mc:Fallback>
    </mc:AlternateContent>
    <x:xf numFmtId="0" fontId="0" fillId="0" borderId="9" xfId="4" applyNumberFormat="1" applyFont="1" applyBorder="1">
      <x:alignment horizontal="general" vertical="bottom"/>
    </x:xf>
    <x:xf numFmtId="0" fontId="87" fillId="0" borderId="0" xfId="4" applyNumberFormat="1" applyFont="1" applyAlignment="1">
      <x:alignment horizontal="left" vertical="top"/>
    </x:xf>
    <mc:AlternateContent xmlns:mc="http://schemas.openxmlformats.org/markup-compatibility/2006">
      <mc:Choice xmlns:hs="http://schemas.haansoft.com/office/spreadsheet/8.0" Requires="hs">
        <x:xf numFmtId="0" fontId="0" fillId="0" borderId="0" xfId="4" applyNumberFormat="1" applyFont="1" applyAlignment="1" hs:applyExtension="1">
          <x:alignment horizontal="centerContinuous" vertical="bottom"/>
          <hs:parashape hs:lineSpacingType="betweenLines" hs:lineSpacing="75" hs:breakNonLatinWord="breakWord" hs:breakLatinWord="keepWord" hs:condense="0" hs:textAlignment="baseLine"/>
        </x:xf>
      </mc:Choice>
      <mc:Fallback>
        <x:xf numFmtId="0" fontId="0" fillId="0" borderId="0" xfId="4" applyNumberFormat="1" applyFont="1" applyAlignment="1">
          <x:alignment horizontal="centerContinuous" vertical="bottom"/>
        </x:xf>
      </mc:Fallback>
    </mc:AlternateContent>
    <x:xf numFmtId="0" fontId="88" fillId="0" borderId="0" xfId="4" applyNumberFormat="1" applyFont="1" applyAlignment="1">
      <x:alignment horizontal="left" vertical="bottom"/>
    </x:xf>
    <x:xf numFmtId="0" fontId="88" fillId="4" borderId="0" xfId="4" applyNumberFormat="1" applyFont="1" applyFill="1" applyAlignment="1">
      <x:alignment horizontal="left" vertical="bottom"/>
    </x:xf>
    <mc:AlternateContent xmlns:mc="http://schemas.openxmlformats.org/markup-compatibility/2006">
      <mc:Choice xmlns:hs="http://schemas.haansoft.com/office/spreadsheet/8.0" Requires="hs">
        <x:xf numFmtId="0" fontId="88" fillId="4" borderId="0" xfId="4" applyNumberFormat="1" applyFont="1" applyFill="1" applyAlignment="1" hs:applyExtension="1">
          <x:alignment horizontal="right" vertical="bottom"/>
          <hs:parashape hs:lineSpacingType="betweenLines" hs:lineSpacing="75" hs:breakNonLatinWord="breakWord" hs:breakLatinWord="keepWord" hs:condense="0" hs:textAlignment="baseLine"/>
        </x:xf>
      </mc:Choice>
      <mc:Fallback>
        <x:xf numFmtId="0" fontId="88" fillId="4" borderId="0" xfId="4" applyNumberFormat="1" applyFont="1" applyFill="1" applyAlignment="1">
          <x:alignment horizontal="right" vertical="bottom"/>
        </x:xf>
      </mc:Fallback>
    </mc:AlternateContent>
    <mc:AlternateContent xmlns:mc="http://schemas.openxmlformats.org/markup-compatibility/2006">
      <mc:Choice xmlns:hs="http://schemas.haansoft.com/office/spreadsheet/8.0" Requires="hs">
        <x:xf numFmtId="0" fontId="39" fillId="4" borderId="0" xfId="4" applyNumberFormat="1" applyFont="1" applyFill="1" applyAlignment="1" hs:applyExtension="1">
          <x:alignment horizontal="right" vertical="bottom"/>
          <hs:parashape hs:lineSpacingType="betweenLines" hs:lineSpacing="75" hs:breakNonLatinWord="breakWord" hs:breakLatinWord="keepWord" hs:condense="0" hs:textAlignment="baseLine"/>
        </x:xf>
      </mc:Choice>
      <mc:Fallback>
        <x:xf numFmtId="0" fontId="39" fillId="4" borderId="0" xfId="4" applyNumberFormat="1" applyFont="1" applyFill="1" applyAlignment="1">
          <x:alignment horizontal="right" vertical="bottom"/>
        </x:xf>
      </mc:Fallback>
    </mc:AlternateContent>
    <mc:AlternateContent xmlns:mc="http://schemas.openxmlformats.org/markup-compatibility/2006">
      <mc:Choice xmlns:hs="http://schemas.haansoft.com/office/spreadsheet/8.0" Requires="hs">
        <x:xf numFmtId="0" fontId="0" fillId="4" borderId="0" xfId="4" applyNumberFormat="1" applyFont="1" applyFill="1" applyAlignment="1" hs:applyExtension="1">
          <x:alignment horizontal="right" vertical="bottom"/>
          <hs:parashape hs:lineSpacingType="betweenLines" hs:lineSpacing="75" hs:breakNonLatinWord="breakWord" hs:breakLatinWord="keepWord" hs:condense="0" hs:textAlignment="baseLine"/>
        </x:xf>
      </mc:Choice>
      <mc:Fallback>
        <x:xf numFmtId="0" fontId="0" fillId="4" borderId="0" xfId="4" applyNumberFormat="1" applyFont="1" applyFill="1" applyAlignment="1">
          <x:alignment horizontal="right" vertical="bottom"/>
        </x:xf>
      </mc:Fallback>
    </mc:AlternateContent>
    <x:xf numFmtId="0" fontId="39" fillId="4" borderId="0" xfId="4" applyNumberFormat="1" applyFont="1" applyFill="1" applyAlignment="1">
      <x:alignment horizontal="left" vertical="bottom"/>
    </x:xf>
    <x:xf numFmtId="0" fontId="54" fillId="0" borderId="0" xfId="4" applyNumberFormat="1" applyFont="1">
      <x:alignment horizontal="general" vertical="bottom"/>
    </x:xf>
    <mc:AlternateContent xmlns:mc="http://schemas.openxmlformats.org/markup-compatibility/2006">
      <mc:Choice xmlns:hs="http://schemas.haansoft.com/office/spreadsheet/8.0" Requires="hs">
        <x:xf numFmtId="38"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78" fontId="54" fillId="0" borderId="0" xfId="4" applyNumberFormat="1" applyFont="1" applyAlignment="1" hs:applyExtension="1">
          <x:alignment horizontal="left" vertical="bottom" indent="1"/>
          <hs:parashape hs:leftMargin="1134" hs:lineSpacingType="betweenLines" hs:lineSpacing="75" hs:breakNonLatinWord="breakWord" hs:breakLatinWord="keepWord" hs:condense="0" hs:textAlignment="baseLine"/>
        </x:xf>
      </mc:Choice>
      <mc:Fallback>
        <x:xf numFmtId="178" fontId="54" fillId="0" borderId="0" xfId="4" applyNumberFormat="1" applyFont="1" applyAlignment="1">
          <x:alignment horizontal="left" vertical="bottom" indent="1"/>
        </x:xf>
      </mc:Fallback>
    </mc:AlternateContent>
    <mc:AlternateContent xmlns:mc="http://schemas.openxmlformats.org/markup-compatibility/2006">
      <mc:Choice xmlns:hs="http://schemas.haansoft.com/office/spreadsheet/8.0" Requires="hs">
        <x:xf numFmtId="0" fontId="39" fillId="4" borderId="0" xfId="4" applyNumberFormat="1" applyFont="1" applyFill="1" applyAlignment="1" hs:applyExtension="1">
          <x:alignment horizontal="left" vertical="bottom" indent="8"/>
          <hs:parashape hs:leftMargin="9071" hs:lineSpacingType="betweenLines" hs:lineSpacing="75" hs:breakNonLatinWord="breakWord" hs:breakLatinWord="keepWord" hs:condense="0" hs:textAlignment="baseLine"/>
        </x:xf>
      </mc:Choice>
      <mc:Fallback>
        <x:xf numFmtId="0" fontId="39" fillId="4" borderId="0" xfId="4" applyNumberFormat="1" applyFont="1" applyFill="1" applyAlignment="1">
          <x:alignment horizontal="left" vertical="bottom" indent="8"/>
        </x:xf>
      </mc:Fallback>
    </mc:AlternateContent>
    <x:xf numFmtId="179" fontId="0" fillId="0" borderId="0" xfId="4" applyNumberFormat="1" applyFont="1">
      <x:alignment horizontal="general" vertical="bottom"/>
    </x:xf>
    <mc:AlternateContent xmlns:mc="http://schemas.openxmlformats.org/markup-compatibility/2006">
      <mc:Choice xmlns:hs="http://schemas.haansoft.com/office/spreadsheet/8.0" Requires="hs">
        <x:xf numFmtId="0" fontId="39" fillId="4" borderId="0" xfId="4" applyNumberFormat="1" applyFont="1" applyFill="1" applyAlignment="1" hs:applyExtension="1">
          <x:alignment horizontal="right" vertical="bottom" indent="1"/>
          <hs:parashape hs:rightMargin="1134" hs:lineSpacingType="betweenLines" hs:lineSpacing="75" hs:breakNonLatinWord="breakWord" hs:breakLatinWord="keepWord" hs:condense="0" hs:textAlignment="baseLine"/>
        </x:xf>
      </mc:Choice>
      <mc:Fallback>
        <x:xf numFmtId="0" fontId="39" fillId="4" borderId="0" xfId="4" applyNumberFormat="1" applyFont="1" applyFill="1" applyAlignment="1">
          <x:alignment horizontal="right" vertical="bottom" indent="1"/>
        </x:xf>
      </mc:Fallback>
    </mc:AlternateContent>
    <x:xf numFmtId="178" fontId="0" fillId="0" borderId="0" xfId="4" applyNumberFormat="1" applyFont="1">
      <x:alignment horizontal="general" vertical="bottom"/>
    </x:xf>
    <x:xf numFmtId="178" fontId="54" fillId="0" borderId="0" xfId="4" applyNumberFormat="1" applyFont="1">
      <x:alignment horizontal="general" vertical="bottom"/>
    </x:xf>
    <x:xf numFmtId="179" fontId="54" fillId="0" borderId="0" xfId="4" applyNumberFormat="1" applyFont="1">
      <x:alignment horizontal="general" vertical="bottom"/>
    </x:xf>
    <mc:AlternateContent xmlns:mc="http://schemas.openxmlformats.org/markup-compatibility/2006">
      <mc:Choice xmlns:hs="http://schemas.haansoft.com/office/spreadsheet/8.0" Requires="hs">
        <x:xf numFmtId="38" fontId="54"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40"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40"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37"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7"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79"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9"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78"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8"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80"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80"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81"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81"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81" fontId="0" fillId="0" borderId="0" xfId="4" applyNumberFormat="1" applyFont="1" applyAlignment="1" hs:applyExtension="1">
          <x:alignment horizontal="right" vertical="bottom" wrapText="1"/>
          <hs:parashape hs:lineSpacingType="betweenLines" hs:lineSpacing="75" hs:breakNonLatinWord="breakWord" hs:breakLatinWord="keepWord" hs:condense="0" hs:textAlignment="baseLine"/>
        </x:xf>
      </mc:Choice>
      <mc:Fallback>
        <x:xf numFmtId="181" fontId="0" fillId="0" borderId="0" xfId="4" applyNumberFormat="1" applyFont="1" applyAlignment="1">
          <x:alignment horizontal="right" vertical="bottom" wrapText="1"/>
        </x:xf>
      </mc:Fallback>
    </mc:AlternateContent>
    <x:xf numFmtId="38" fontId="0" fillId="0" borderId="0" xfId="4" applyNumberFormat="1" applyFont="1">
      <x:alignment horizontal="general" vertical="bottom"/>
    </x:xf>
    <x:xf numFmtId="3" fontId="0" fillId="0" borderId="0" xfId="4" applyNumberFormat="1" applyFont="1">
      <x:alignment horizontal="general" vertical="bottom"/>
    </x:xf>
    <mc:AlternateContent xmlns:mc="http://schemas.openxmlformats.org/markup-compatibility/2006">
      <mc:Choice xmlns:hs="http://schemas.haansoft.com/office/spreadsheet/8.0" Requires="hs">
        <x:xf numFmtId="38"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0" xfId="0" applyNumberFormat="1" applyAlignment="1">
          <x:alignment horizontal="right" vertical="bottom"/>
        </x:xf>
      </mc:Fallback>
    </mc:AlternateContent>
    <mc:AlternateContent xmlns:mc="http://schemas.openxmlformats.org/markup-compatibility/2006">
      <mc:Choice xmlns:hs="http://schemas.haansoft.com/office/spreadsheet/8.0" Requires="hs">
        <x:xf numFmtId="14" fontId="39"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4" fontId="39" fillId="0" borderId="0" xfId="0"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38" fontId="54"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0" xfId="0"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0" fontId="54" fillId="0" borderId="0" xfId="0" applyNumberFormat="1" applyFont="1" applyAlignment="1" hs:applyExtension="1">
          <x:alignment horizontal="left" vertical="bottom" indent="1"/>
          <hs:parashape hs:leftMargin="1134" hs:lineSpacingType="betweenLines" hs:lineSpacing="75" hs:breakNonLatinWord="breakWord" hs:breakLatinWord="keepWord" hs:condense="0" hs:textAlignment="baseLine"/>
        </x:xf>
      </mc:Choice>
      <mc:Fallback>
        <x:xf numFmtId="0" fontId="54" fillId="0" borderId="0" xfId="0" applyNumberFormat="1" applyFont="1" applyAlignment="1">
          <x:alignment horizontal="left" vertical="bottom" indent="1"/>
        </x:xf>
      </mc:Fallback>
    </mc:AlternateContent>
    <x:xf numFmtId="0" fontId="0" fillId="0" borderId="0" xfId="4" applyNumberFormat="1" applyFont="1" applyAlignment="1">
      <x:alignment horizontal="left" vertical="bottom"/>
    </x:xf>
    <x:xf numFmtId="0" fontId="54" fillId="0" borderId="0" xfId="0" applyNumberFormat="1" applyFont="1">
      <x:alignment horizontal="general" vertical="bottom"/>
    </x:xf>
    <mc:AlternateContent xmlns:mc="http://schemas.openxmlformats.org/markup-compatibility/2006">
      <mc:Choice xmlns:hs="http://schemas.haansoft.com/office/spreadsheet/8.0" Requires="hs">
        <x:xf numFmtId="182"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82" fontId="0" fillId="0" borderId="0" xfId="0" applyNumberFormat="1" applyAlignment="1">
          <x:alignment horizontal="right" vertical="bottom"/>
        </x:xf>
      </mc:Fallback>
    </mc:AlternateContent>
    <x:xf numFmtId="0" fontId="54" fillId="0" borderId="0" xfId="0" applyNumberFormat="1" applyFont="1" applyAlignment="1">
      <x:alignment horizontal="left" vertical="bottom"/>
    </x:xf>
    <x:xf numFmtId="0" fontId="54" fillId="0" borderId="0" xfId="4" applyNumberFormat="1" applyFont="1" applyAlignment="1">
      <x:alignment horizontal="left" vertical="bottom"/>
    </x:xf>
    <x:xf numFmtId="0" fontId="0" fillId="0" borderId="0" xfId="8" applyNumberFormat="1" applyFont="1">
      <x:alignment horizontal="general" vertical="bottom"/>
    </x:xf>
    <x:xf numFmtId="0" fontId="0" fillId="0" borderId="9" xfId="4" applyNumberFormat="1" applyFont="1" applyBorder="1" applyAlignment="1">
      <x:alignment horizontal="left" vertical="bottom"/>
    </x:xf>
    <x:xf numFmtId="0" fontId="0" fillId="4" borderId="0" xfId="4" applyNumberFormat="1" applyFont="1" applyFill="1" applyAlignment="1">
      <x:alignment horizontal="left" vertical="bottom"/>
    </x:xf>
    <x:xf numFmtId="40" fontId="0" fillId="0" borderId="0" xfId="0" applyNumberFormat="1">
      <x:alignment horizontal="general" vertical="bottom"/>
    </x:xf>
    <mc:AlternateContent xmlns:mc="http://schemas.openxmlformats.org/markup-compatibility/2006">
      <mc:Choice xmlns:hs="http://schemas.haansoft.com/office/spreadsheet/8.0" Requires="hs">
        <x:xf numFmtId="0" fontId="39"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0" fontId="39" fillId="0" borderId="0" xfId="4" applyNumberFormat="1" applyFont="1" applyAlignment="1">
          <x:alignment horizontal="right" vertical="bottom"/>
        </x:xf>
      </mc:Fallback>
    </mc:AlternateContent>
    <x:xf numFmtId="0" fontId="54" fillId="0" borderId="0" xfId="4" applyNumberFormat="1" applyFont="1" applyAlignment="1">
      <x:alignment horizontal="left" vertical="top"/>
    </x:xf>
    <mc:AlternateContent xmlns:mc="http://schemas.openxmlformats.org/markup-compatibility/2006">
      <mc:Choice xmlns:hs="http://schemas.haansoft.com/office/spreadsheet/8.0" Requires="hs">
        <x:xf numFmtId="14" fontId="54"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4" fontId="54"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40" fontId="0" fillId="0" borderId="0" xfId="1"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40" fontId="0" fillId="0" borderId="0" xfId="1"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38" fontId="54" fillId="0" borderId="0" xfId="2"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0" xfId="2" applyNumberFormat="1" applyFont="1" applyAlignment="1">
          <x:alignment horizontal="right" vertical="bottom"/>
        </x:xf>
      </mc:Fallback>
    </mc:AlternateContent>
    <x:xf numFmtId="38" fontId="0" fillId="0" borderId="5" xfId="2" applyNumberFormat="1" applyFont="1" applyBorder="1">
      <x:alignment horizontal="general" vertical="bottom"/>
    </x:xf>
    <x:xf numFmtId="38" fontId="0" fillId="0" borderId="8" xfId="2" applyNumberFormat="1" applyFont="1" applyBorder="1">
      <x:alignment horizontal="general" vertical="bottom"/>
    </x:xf>
    <mc:AlternateContent xmlns:mc="http://schemas.openxmlformats.org/markup-compatibility/2006">
      <mc:Choice xmlns:hs="http://schemas.haansoft.com/office/spreadsheet/8.0" Requires="hs">
        <x:xf numFmtId="38" fontId="0" fillId="0" borderId="8" xfId="2"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8" xfId="2"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76" fontId="0" fillId="0" borderId="0" xfId="1"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6" fontId="0" fillId="0" borderId="0" xfId="1"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76"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76" fontId="0" fillId="0" borderId="0" xfId="0" applyNumberFormat="1" applyAlignment="1">
          <x:alignment horizontal="right" vertical="bottom"/>
        </x:xf>
      </mc:Fallback>
    </mc:AlternateContent>
    <mc:AlternateContent xmlns:mc="http://schemas.openxmlformats.org/markup-compatibility/2006">
      <mc:Choice xmlns:hs="http://schemas.haansoft.com/office/spreadsheet/8.0" Requires="hs">
        <x:xf numFmtId="40" fontId="54"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40" fontId="54" fillId="0" borderId="0" xfId="0"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0" fontId="54" fillId="0" borderId="9"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54" fillId="0" borderId="9" xfId="4" applyNumberFormat="1" applyFont="1" applyBorder="1" applyAlignment="1">
          <x:alignment horizontal="right" vertical="bottom"/>
        </x:xf>
      </mc:Fallback>
    </mc:AlternateContent>
    <x:xf numFmtId="0" fontId="65" fillId="0" borderId="1"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89" fillId="5" borderId="1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9" fillId="5" borderId="10" xfId="0" applyNumberFormat="1" applyFont="1" applyFill="1" applyBorder="1" applyAlignment="1">
          <x:alignment horizontal="center" vertical="center"/>
        </x:xf>
      </mc:Fallback>
    </mc:AlternateContent>
    <x:xf numFmtId="0" fontId="0" fillId="0" borderId="0" xfId="0" applyNumberFormat="1" applyFont="1">
      <x:alignment horizontal="general" vertical="bottom"/>
    </x:xf>
    <mc:AlternateContent xmlns:mc="http://schemas.openxmlformats.org/markup-compatibility/2006">
      <mc:Choice xmlns:hs="http://schemas.haansoft.com/office/spreadsheet/8.0" Requires="hs">
        <x:xf numFmtId="0" fontId="0" fillId="0" borderId="0" xfId="0" applyNumberFormat="1" applyAlignment="1" hs:applyExtension="1">
          <x:alignment horizontal="right" vertical="bottom" indent="1"/>
          <hs:parashape hs:rightMargin="1134" hs:lineSpacingType="betweenLines" hs:lineSpacing="75" hs:breakNonLatinWord="breakWord" hs:breakLatinWord="keepWord" hs:condense="0" hs:textAlignment="baseLine"/>
        </x:xf>
      </mc:Choice>
      <mc:Fallback>
        <x:xf numFmtId="0" fontId="0" fillId="0" borderId="0" xfId="0" applyNumberFormat="1" applyAlignment="1">
          <x:alignment horizontal="right" vertical="bottom" indent="1"/>
        </x:xf>
      </mc:Fallback>
    </mc:AlternateContent>
    <x:xf numFmtId="0" fontId="86" fillId="0" borderId="1"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9"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0" fontId="39" fillId="0" borderId="0" xfId="0" applyNumberFormat="1" applyFont="1" applyAlignment="1">
          <x:alignment horizontal="right" vertical="bottom"/>
        </x:xf>
      </mc:Fallback>
    </mc:AlternateContent>
    <x:xf numFmtId="4" fontId="0" fillId="0" borderId="8" xfId="0" applyNumberFormat="1" applyFont="1" applyBorder="1" applyAlignment="1">
      <x:alignment horizontal="left" vertical="bottom"/>
    </x:xf>
    <x:xf numFmtId="0" fontId="54" fillId="0" borderId="6" xfId="0" applyNumberFormat="1" applyFont="1" applyBorder="1">
      <x:alignment horizontal="general" vertical="bottom"/>
    </x:xf>
    <x:xf numFmtId="4" fontId="0" fillId="0" borderId="0" xfId="0" applyNumberFormat="1" applyFont="1" applyAlignment="1">
      <x:alignment horizontal="left" vertical="bottom"/>
    </x:xf>
    <x:xf numFmtId="4" fontId="0" fillId="0" borderId="0" xfId="0" quotePrefix="1" applyNumberFormat="1" applyFont="1" applyAlignment="1">
      <x:alignment horizontal="left" vertical="bottom"/>
    </x:xf>
    <x:xf numFmtId="179" fontId="0" fillId="0" borderId="0" xfId="4" applyNumberFormat="1" applyFont="1" applyAlignment="1">
      <x:alignment horizontal="left" vertical="bottom"/>
    </x:xf>
    <x:xf numFmtId="0" fontId="54" fillId="0" borderId="0" xfId="5" applyNumberFormat="1" applyFont="1" applyAlignment="1">
      <x:alignment horizontal="left" vertical="bottom"/>
    </x:xf>
    <x:xf numFmtId="0" fontId="39" fillId="4" borderId="6" xfId="4" applyNumberFormat="1" applyFont="1" applyFill="1" applyBorder="1" applyAlignment="1">
      <x:alignment horizontal="left" vertical="bottom"/>
    </x:xf>
    <x:xf numFmtId="0" fontId="90" fillId="0" borderId="0" xfId="0" applyNumberFormat="1" applyFont="1">
      <x:alignment horizontal="general" vertical="bottom"/>
    </x:xf>
    <x:xf numFmtId="0" fontId="91" fillId="0" borderId="0" xfId="0" applyNumberFormat="1" applyFont="1">
      <x:alignment horizontal="general" vertical="bottom"/>
    </x:xf>
    <x:xf numFmtId="4" fontId="0" fillId="0" borderId="0" xfId="0" applyNumberFormat="1" applyFont="1">
      <x:alignment horizontal="general" vertical="bottom"/>
    </x:xf>
    <x:xf numFmtId="4" fontId="0" fillId="0" borderId="11" xfId="0" quotePrefix="1" applyNumberFormat="1" applyFont="1" applyBorder="1" applyAlignment="1">
      <x:alignment horizontal="left" vertical="bottom"/>
    </x:xf>
    <x:xf numFmtId="4" fontId="0" fillId="0" borderId="6" xfId="0" applyNumberFormat="1" applyFont="1" applyBorder="1" applyAlignment="1">
      <x:alignment horizontal="left" vertical="bottom"/>
    </x:xf>
    <x:xf numFmtId="4" fontId="0" fillId="0" borderId="11" xfId="0" applyNumberFormat="1" applyFont="1" applyBorder="1" applyAlignment="1">
      <x:alignment horizontal="left" vertical="bottom"/>
    </x:xf>
    <x:xf numFmtId="4" fontId="0" fillId="0" borderId="7" xfId="0" applyNumberFormat="1" applyFont="1" applyBorder="1" applyAlignment="1">
      <x:alignment horizontal="left" vertical="bottom"/>
    </x:xf>
    <x:xf numFmtId="4" fontId="0" fillId="0" borderId="12" xfId="0" applyNumberFormat="1" applyFont="1" applyBorder="1" applyAlignment="1">
      <x:alignment horizontal="left" vertical="bottom"/>
    </x:xf>
    <x:xf numFmtId="4" fontId="0" fillId="0" borderId="13" xfId="0" applyNumberFormat="1" applyFont="1" applyBorder="1" applyAlignment="1">
      <x:alignment horizontal="left" vertical="bottom"/>
    </x:xf>
    <x:xf numFmtId="4" fontId="0" fillId="0" borderId="14" xfId="0" applyNumberFormat="1" applyFont="1" applyBorder="1" applyAlignment="1">
      <x:alignment horizontal="left" vertical="bottom"/>
    </x:xf>
    <x:xf numFmtId="4" fontId="0" fillId="0" borderId="15" xfId="0" applyNumberFormat="1" applyFont="1" applyBorder="1" applyAlignment="1">
      <x:alignment horizontal="left" vertical="bottom"/>
    </x:xf>
    <x:xf numFmtId="4" fontId="0" fillId="0" borderId="16" xfId="0" applyNumberFormat="1" applyFont="1" applyBorder="1" applyAlignment="1">
      <x:alignment horizontal="left" vertical="bottom"/>
    </x:xf>
    <x:xf numFmtId="4" fontId="0" fillId="0" borderId="17" xfId="0" applyNumberFormat="1" applyFont="1" applyBorder="1" applyAlignment="1">
      <x:alignment horizontal="left" vertical="bottom"/>
    </x:xf>
    <x:xf numFmtId="4" fontId="0" fillId="0" borderId="17" xfId="0" quotePrefix="1" applyNumberFormat="1" applyFont="1" applyBorder="1" applyAlignment="1">
      <x:alignment horizontal="left" vertical="bottom"/>
    </x:xf>
    <x:xf numFmtId="4" fontId="0" fillId="0" borderId="18" xfId="0" applyNumberFormat="1" applyFont="1" applyBorder="1" applyAlignment="1">
      <x:alignment horizontal="left" vertical="bottom"/>
    </x:xf>
    <x:xf numFmtId="4" fontId="0" fillId="0" borderId="19" xfId="0" applyNumberFormat="1" applyFont="1" applyBorder="1" applyAlignment="1">
      <x:alignment horizontal="left" vertical="bottom"/>
    </x:xf>
    <x:xf numFmtId="4" fontId="0" fillId="0" borderId="19" xfId="0" quotePrefix="1" applyNumberFormat="1" applyFont="1" applyBorder="1" applyAlignment="1">
      <x:alignment horizontal="left" vertical="bottom"/>
    </x:xf>
    <x:xf numFmtId="4" fontId="0" fillId="0" borderId="5" xfId="0" applyNumberFormat="1" applyFont="1" applyBorder="1" applyAlignment="1">
      <x:alignment horizontal="left" vertical="bottom"/>
    </x:xf>
    <x:xf numFmtId="0" fontId="54" fillId="0" borderId="4" xfId="0" applyNumberFormat="1" applyFont="1" applyBorder="1">
      <x:alignment horizontal="general" vertical="bottom"/>
    </x:xf>
    <x:xf numFmtId="0" fontId="54" fillId="0" borderId="5" xfId="0" applyNumberFormat="1" applyFont="1" applyBorder="1">
      <x:alignment horizontal="general" vertical="bottom"/>
    </x:xf>
    <x:xf numFmtId="0" fontId="54" fillId="0" borderId="8" xfId="0" applyNumberFormat="1" applyFont="1" applyBorder="1">
      <x:alignment horizontal="general" vertical="bottom"/>
    </x:xf>
    <x:xf numFmtId="0" fontId="54" fillId="0" borderId="1" xfId="0" applyNumberFormat="1" applyFont="1" applyBorder="1">
      <x:alignment horizontal="general" vertical="bottom"/>
    </x:xf>
    <x:xf numFmtId="0" fontId="39" fillId="4" borderId="1" xfId="4" applyNumberFormat="1" applyFont="1" applyFill="1" applyBorder="1" applyAlignment="1">
      <x:alignment horizontal="left" vertical="bottom"/>
    </x:xf>
    <mc:AlternateContent xmlns:mc="http://schemas.openxmlformats.org/markup-compatibility/2006">
      <mc:Choice xmlns:hs="http://schemas.haansoft.com/office/spreadsheet/8.0" Requires="hs">
        <x:xf numFmtId="38" fontId="0" fillId="0" borderId="1" xfId="2"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1" xfId="2"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8" fontId="54" fillId="0" borderId="20"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20" xfId="0"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8" fontId="54" fillId="0" borderId="21"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21" xfId="0"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4" fontId="54" fillId="0" borderId="22"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14" fontId="54" fillId="0" borderId="22"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79" fontId="54" fillId="0" borderId="1" xfId="4"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179" fontId="54" fillId="0" borderId="1" xfId="4"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38" fontId="54" fillId="0" borderId="21"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21"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8" fontId="54" fillId="0" borderId="20"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54" fillId="0" borderId="20"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8" fontId="0" fillId="0" borderId="1"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1"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8" fontId="0" fillId="0" borderId="20"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20"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4" fontId="54" fillId="0" borderId="1"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14" fontId="54" fillId="0" borderId="1" xfId="0"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8" fontId="0" fillId="0" borderId="1"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1" xfId="0" applyNumberFormat="1" applyBorder="1" applyAlignment="1">
          <x:alignment horizontal="right" vertical="bottom"/>
        </x:xf>
      </mc:Fallback>
    </mc:AlternateContent>
    <x:xf numFmtId="0" fontId="0" fillId="0" borderId="1" xfId="0" quotePrefix="1" applyNumberFormat="1" applyBorder="1">
      <x:alignment horizontal="general" vertical="bottom"/>
    </x:xf>
    <x:xf numFmtId="38" fontId="54" fillId="0" borderId="21" xfId="0" applyNumberFormat="1" applyFont="1" applyBorder="1" applyAlignment="1">
      <x:alignment horizontal="left" vertical="bottom"/>
    </x:xf>
    <x:xf numFmtId="0" fontId="39" fillId="4" borderId="21" xfId="4" applyNumberFormat="1" applyFont="1" applyFill="1" applyBorder="1" applyAlignment="1">
      <x:alignment horizontal="left" vertical="bottom"/>
    </x:xf>
    <x:xf numFmtId="38" fontId="54" fillId="0" borderId="21" xfId="0" applyNumberFormat="1" applyFont="1" applyBorder="1">
      <x:alignment horizontal="general" vertical="bottom"/>
    </x:xf>
    <mc:AlternateContent xmlns:mc="http://schemas.openxmlformats.org/markup-compatibility/2006">
      <mc:Choice xmlns:hs="http://schemas.haansoft.com/office/spreadsheet/8.0" Requires="hs">
        <x:xf numFmtId="176" fontId="0" fillId="0" borderId="1"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176" fontId="0" fillId="0" borderId="1" xfId="0" applyNumberFormat="1" applyBorder="1" applyAlignment="1">
          <x:alignment horizontal="right" vertical="bottom"/>
        </x:xf>
      </mc:Fallback>
    </mc:AlternateContent>
    <x:xf numFmtId="0" fontId="54" fillId="0" borderId="0" xfId="0" applyNumberFormat="1" applyFont="1">
      <x:alignment horizontal="general" vertical="bottom"/>
    </x:xf>
    <x:xf numFmtId="0" fontId="54" fillId="0" borderId="1" xfId="0" applyNumberFormat="1" applyFont="1" applyBorder="1">
      <x:alignment horizontal="general" vertical="bottom"/>
    </x:xf>
    <mc:AlternateContent xmlns:mc="http://schemas.openxmlformats.org/markup-compatibility/2006">
      <mc:Choice xmlns:hs="http://schemas.haansoft.com/office/spreadsheet/8.0" Requires="hs">
        <x:xf numFmtId="40" fontId="0" fillId="0" borderId="1"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40" fontId="0" fillId="0" borderId="1" xfId="0" applyNumberFormat="1" applyBorder="1" applyAlignment="1">
          <x:alignment horizontal="right" vertical="bottom"/>
        </x:xf>
      </mc:Fallback>
    </mc:AlternateContent>
    <x:xf numFmtId="0" fontId="0" fillId="0" borderId="6" xfId="0" applyNumberFormat="1" applyBorder="1" applyAlignment="1">
      <x:alignment horizontal="left" vertical="bottom"/>
    </x:xf>
    <mc:AlternateContent xmlns:mc="http://schemas.openxmlformats.org/markup-compatibility/2006">
      <mc:Choice xmlns:hs="http://schemas.haansoft.com/office/spreadsheet/8.0" Requires="hs">
        <x:xf numFmtId="3" fontId="54"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 fontId="54" fillId="0" borderId="0" xfId="4" applyNumberFormat="1" applyFont="1" applyAlignment="1">
          <x:alignment horizontal="right" vertical="bottom"/>
        </x:xf>
      </mc:Fallback>
    </mc:AlternateContent>
    <x:xf numFmtId="0" fontId="0" fillId="0" borderId="6" xfId="4" applyNumberFormat="1" applyFont="1" applyBorder="1">
      <x:alignment horizontal="general" vertical="bottom"/>
    </x:xf>
    <mc:AlternateContent xmlns:mc="http://schemas.openxmlformats.org/markup-compatibility/2006">
      <mc:Choice xmlns:hs="http://schemas.haansoft.com/office/spreadsheet/8.0" Requires="hs">
        <x:xf numFmtId="0" fontId="39" fillId="4" borderId="6" xfId="4" applyNumberFormat="1" applyFont="1" applyFill="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39" fillId="4" borderId="6" xfId="4" applyNumberFormat="1" applyFont="1" applyFill="1" applyBorder="1" applyAlignment="1">
          <x:alignment horizontal="right" vertical="bottom"/>
        </x:xf>
      </mc:Fallback>
    </mc:AlternateContent>
    <mc:AlternateContent xmlns:mc="http://schemas.openxmlformats.org/markup-compatibility/2006">
      <mc:Choice xmlns:hs="http://schemas.haansoft.com/office/spreadsheet/8.0" Requires="hs">
        <x:xf numFmtId="176"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6"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3"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3"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4"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4"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0" fontId="87" fillId="0" borderId="0" xfId="0" applyNumberFormat="1" applyFont="1" applyAlignment="1" hs:applyExtension="1">
          <x:alignment horizontal="left" vertical="bottom" indent="1"/>
          <hs:parashape hs:leftMargin="1134" hs:lineSpacingType="betweenLines" hs:lineSpacing="75" hs:breakNonLatinWord="breakWord" hs:breakLatinWord="keepWord" hs:condense="0" hs:textAlignment="baseLine"/>
        </x:xf>
      </mc:Choice>
      <mc:Fallback>
        <x:xf numFmtId="0" fontId="87" fillId="0" borderId="0" xfId="0" applyNumberFormat="1" applyFont="1" applyAlignment="1">
          <x:alignment horizontal="left" vertical="bottom" indent="1"/>
        </x:xf>
      </mc:Fallback>
    </mc:AlternateContent>
    <x:xf numFmtId="0" fontId="0" fillId="0" borderId="0" xfId="4" applyNumberFormat="1" applyFont="1" applyAlignment="1">
      <x:alignment horizontal="general" vertical="bottom" wrapText="1"/>
    </x:xf>
    <x:xf numFmtId="0" fontId="0" fillId="2" borderId="0" xfId="0" quotePrefix="1" applyNumberFormat="1" applyFill="1" applyAlignment="1">
      <x:alignment horizontal="left" vertical="bottom"/>
    </x:xf>
    <mc:AlternateContent xmlns:mc="http://schemas.openxmlformats.org/markup-compatibility/2006">
      <mc:Choice xmlns:hs="http://schemas.haansoft.com/office/spreadsheet/8.0" Requires="hs">
        <x:xf numFmtId="0" fontId="87" fillId="0" borderId="0" xfId="0" applyNumberFormat="1"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87" fillId="0" borderId="0" xfId="0" applyNumberFormat="1" applyFont="1" applyAlignment="1">
          <x:alignment horizontal="center" vertical="bottom"/>
        </x:xf>
      </mc:Fallback>
    </mc:AlternateContent>
    <x:xf numFmtId="14" fontId="39" fillId="4" borderId="0" xfId="4" applyNumberFormat="1" applyFont="1" applyFill="1" applyAlignment="1">
      <x:alignment horizontal="left" vertical="bottom"/>
    </x:xf>
    <x:xf numFmtId="14" fontId="0" fillId="0" borderId="0" xfId="0" applyNumberFormat="1">
      <x:alignment horizontal="general" vertical="bottom"/>
    </x:xf>
    <x:xf numFmtId="0" fontId="85" fillId="2" borderId="0" xfId="0" applyNumberFormat="1" applyFont="1" applyFill="1" applyAlignment="1">
      <x:alignment horizontal="left" vertical="bottom"/>
    </x:xf>
    <x:xf numFmtId="0" fontId="0" fillId="2" borderId="0" xfId="0" applyNumberFormat="1" applyFill="1" applyAlignment="1">
      <x:alignment horizontal="left" vertical="bottom"/>
    </x:xf>
    <x:xf numFmtId="16" fontId="0" fillId="0" borderId="0" xfId="0" applyNumberFormat="1">
      <x:alignment horizontal="general" vertical="bottom"/>
    </x:xf>
    <x:xf numFmtId="0" fontId="0" fillId="0" borderId="12" xfId="0" applyNumberFormat="1" applyFont="1" applyBorder="1">
      <x:alignment horizontal="general" vertical="bottom"/>
    </x:xf>
    <x:xf numFmtId="0" fontId="0" fillId="0" borderId="13" xfId="0" applyNumberFormat="1" applyFont="1" applyBorder="1">
      <x:alignment horizontal="general" vertical="bottom"/>
    </x:xf>
    <x:xf numFmtId="0" fontId="0" fillId="0" borderId="8" xfId="0" applyNumberFormat="1" applyFont="1" applyBorder="1">
      <x:alignment horizontal="general" vertical="bottom"/>
    </x:xf>
    <mc:AlternateContent xmlns:mc="http://schemas.openxmlformats.org/markup-compatibility/2006">
      <mc:Choice xmlns:hs="http://schemas.haansoft.com/office/spreadsheet/8.0" Requires="hs">
        <x:xf numFmtId="14" fontId="89" fillId="5" borderId="1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4" fontId="89" fillId="5" borderId="1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7" fillId="0" borderId="0" xfId="0" applyNumberFormat="1" applyFont="1" applyAlignment="1" hs:applyExtension="1">
          <x:alignment horizontal="left" vertical="top" indent="1"/>
          <hs:parashape hs:leftMargin="1134" hs:lineSpacingType="betweenLines" hs:lineSpacing="75" hs:breakNonLatinWord="breakWord" hs:breakLatinWord="keepWord" hs:condense="0" hs:textAlignment="baseLine"/>
        </x:xf>
      </mc:Choice>
      <mc:Fallback>
        <x:xf numFmtId="0" fontId="87" fillId="0" borderId="0" xfId="0" applyNumberFormat="1" applyFont="1" applyAlignment="1">
          <x:alignment horizontal="left" vertical="top" indent="1"/>
        </x:xf>
      </mc:Fallback>
    </mc:AlternateContent>
    <mc:AlternateContent xmlns:mc="http://schemas.openxmlformats.org/markup-compatibility/2006">
      <mc:Choice xmlns:hs="http://schemas.haansoft.com/office/spreadsheet/8.0" Requires="hs">
        <x:xf numFmtId="14" fontId="39" fillId="4" borderId="0" xfId="4" applyNumberFormat="1" applyFont="1" applyFill="1" applyAlignment="1" hs:applyExtension="1">
          <x:alignment horizontal="right" vertical="bottom"/>
          <hs:parashape hs:lineSpacingType="betweenLines" hs:lineSpacing="75" hs:breakNonLatinWord="breakWord" hs:breakLatinWord="keepWord" hs:condense="0" hs:textAlignment="baseLine"/>
        </x:xf>
      </mc:Choice>
      <mc:Fallback>
        <x:xf numFmtId="14" fontId="39" fillId="4" borderId="0" xfId="4" applyNumberFormat="1" applyFont="1" applyFill="1" applyAlignment="1">
          <x:alignment horizontal="right" vertical="bottom"/>
        </x:xf>
      </mc:Fallback>
    </mc:AlternateContent>
    <mc:AlternateContent xmlns:mc="http://schemas.openxmlformats.org/markup-compatibility/2006">
      <mc:Choice xmlns:hs="http://schemas.haansoft.com/office/spreadsheet/8.0" Requires="hs">
        <x:xf numFmtId="1"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 fontId="0" fillId="0" borderId="0" xfId="0" applyNumberFormat="1" applyAlignment="1">
          <x:alignment horizontal="right" vertical="bottom"/>
        </x:xf>
      </mc:Fallback>
    </mc:AlternateContent>
    <mc:AlternateContent xmlns:mc="http://schemas.openxmlformats.org/markup-compatibility/2006">
      <mc:Choice xmlns:hs="http://schemas.haansoft.com/office/spreadsheet/8.0" Requires="hs">
        <x:xf numFmtId="183"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83" fontId="0" fillId="0" borderId="0" xfId="0" applyNumberFormat="1" applyAlignment="1">
          <x:alignment horizontal="right" vertical="bottom"/>
        </x:xf>
      </mc:Fallback>
    </mc:AlternateContent>
    <x:xf numFmtId="0" fontId="54" fillId="0" borderId="2" xfId="0" applyNumberFormat="1" applyFont="1" applyBorder="1">
      <x:alignment horizontal="general" vertical="bottom"/>
    </x:xf>
    <x:xf numFmtId="0" fontId="54" fillId="0" borderId="4" xfId="0" applyNumberFormat="1" applyFont="1" applyBorder="1">
      <x:alignment horizontal="general" vertical="bottom"/>
    </x:xf>
    <x:xf numFmtId="0" fontId="54" fillId="0" borderId="5" xfId="0" applyNumberFormat="1" applyFont="1" applyBorder="1">
      <x:alignment horizontal="general" vertical="bottom"/>
    </x:xf>
    <mc:AlternateContent xmlns:mc="http://schemas.openxmlformats.org/markup-compatibility/2006">
      <mc:Choice xmlns:hs="http://schemas.haansoft.com/office/spreadsheet/8.0" Requires="hs">
        <x:xf numFmtId="0" fontId="0" fillId="0" borderId="22" xfId="0" applyNumberForma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22" xfId="0" applyNumberFormat="1" applyBorder="1" applyAlignment="1">
          <x:alignment horizontal="center" vertical="bottom"/>
        </x:xf>
      </mc:Fallback>
    </mc:AlternateContent>
    <x:xf numFmtId="0" fontId="0" fillId="0" borderId="23" xfId="0" applyNumberFormat="1" applyBorder="1">
      <x:alignment horizontal="general" vertical="bottom"/>
    </x:xf>
    <x:xf numFmtId="0" fontId="0" fillId="6" borderId="23" xfId="0" applyNumberFormat="1" applyFill="1" applyBorder="1">
      <x:alignment horizontal="general" vertical="bottom"/>
    </x:xf>
    <mc:AlternateContent xmlns:mc="http://schemas.openxmlformats.org/markup-compatibility/2006">
      <mc:Choice xmlns:hs="http://schemas.haansoft.com/office/spreadsheet/8.0" Requires="hs">
        <x:xf numFmtId="176" fontId="54" fillId="0" borderId="20"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176" fontId="54" fillId="0" borderId="20" xfId="0"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75" fontId="54" fillId="0" borderId="20"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175" fontId="54" fillId="0" borderId="20" xfId="0"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0" fontId="0" fillId="2" borderId="0" xfId="3" applyNumberFormat="1" applyFill="1" applyAlignment="1" hs:applyExtension="1">
          <x:alignment horizontal="left" vertical="bottom" indent="1"/>
          <hs:parashape hs:leftMargin="1134" hs:lineSpacingType="betweenLines" hs:lineSpacing="75" hs:breakNonLatinWord="breakWord" hs:breakLatinWord="keepWord" hs:condense="0" hs:textAlignment="baseLine"/>
        </x:xf>
      </mc:Choice>
      <mc:Fallback>
        <x:xf numFmtId="0" fontId="0" fillId="2" borderId="0" xfId="3" applyNumberFormat="1" applyFill="1" applyAlignment="1">
          <x:alignment horizontal="left" vertical="bottom" indent="1"/>
        </x:xf>
      </mc:Fallback>
    </mc:AlternateContent>
    <mc:AlternateContent xmlns:mc="http://schemas.openxmlformats.org/markup-compatibility/2006">
      <mc:Choice xmlns:hs="http://schemas.haansoft.com/office/spreadsheet/8.0" Requires="hs">
        <x:xf numFmtId="0" fontId="79"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0" fontId="79" fillId="0" borderId="0" xfId="0" applyNumberFormat="1" applyFont="1" applyAlignment="1">
          <x:alignment horizontal="right" vertical="bottom"/>
        </x:xf>
      </mc:Fallback>
    </mc:AlternateContent>
    <x:xf numFmtId="0" fontId="0" fillId="0" borderId="0" xfId="0" applyNumberFormat="1" applyFont="1">
      <x:alignment horizontal="general" vertical="bottom"/>
    </x:xf>
    <mc:AlternateContent xmlns:mc="http://schemas.openxmlformats.org/markup-compatibility/2006">
      <mc:Choice xmlns:hs="http://schemas.haansoft.com/office/spreadsheet/8.0" Requires="hs">
        <x:xf numFmtId="4" fontId="54"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4" fontId="54" fillId="0" borderId="0" xfId="0"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3" fontId="0" fillId="0" borderId="1"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3" fontId="0" fillId="0" borderId="1" xfId="0" applyNumberFormat="1" applyBorder="1" applyAlignment="1">
          <x:alignment horizontal="right" vertical="bottom"/>
        </x:xf>
      </mc:Fallback>
    </mc:AlternateContent>
    <mc:AlternateContent xmlns:mc="http://schemas.openxmlformats.org/markup-compatibility/2006">
      <mc:Choice xmlns:hs="http://schemas.haansoft.com/office/spreadsheet/8.0" Requires="hs">
        <x:xf numFmtId="3" fontId="54" fillId="0" borderId="1"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 fontId="54" fillId="0" borderId="1" xfId="0" applyNumberFormat="1" applyFont="1" applyBorder="1" applyAlignment="1">
          <x:alignment horizontal="right" vertical="bottom"/>
        </x:xf>
      </mc:Fallback>
    </mc:AlternateContent>
    <x:xf numFmtId="0" fontId="39" fillId="4" borderId="0" xfId="4" applyNumberFormat="1" applyFont="1" applyFill="1" applyAlignment="1">
      <x:alignment horizontal="left" vertical="top"/>
    </x:xf>
    <x:xf numFmtId="0" fontId="0" fillId="6" borderId="24" xfId="0" applyNumberFormat="1" applyFill="1" applyBorder="1">
      <x:alignment horizontal="general" vertical="bottom"/>
    </x:xf>
    <mc:AlternateContent xmlns:mc="http://schemas.openxmlformats.org/markup-compatibility/2006">
      <mc:Choice xmlns:hs="http://schemas.haansoft.com/office/spreadsheet/8.0" Requires="hs">
        <x:xf numFmtId="0" fontId="39"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0" fontId="39"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0" fontId="0" fillId="3" borderId="25" xfId="0" applyNumberFormat="1" applyFill="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0" fillId="3" borderId="25" xfId="0" applyNumberFormat="1" applyFill="1" applyBorder="1" applyAlignment="1">
          <x:alignment horizontal="right" vertical="bottom"/>
        </x:xf>
      </mc:Fallback>
    </mc:AlternateContent>
    <x:xf numFmtId="0" fontId="39" fillId="4" borderId="26" xfId="4" applyNumberFormat="1" applyFont="1" applyFill="1" applyBorder="1" applyAlignment="1">
      <x:alignment horizontal="left" vertical="bottom"/>
    </x:xf>
    <x:xf numFmtId="0" fontId="0" fillId="0" borderId="26" xfId="8" applyNumberFormat="1" applyFont="1" applyBorder="1">
      <x:alignment horizontal="general" vertical="bottom"/>
    </x:xf>
    <x:xf numFmtId="0" fontId="0" fillId="0" borderId="26" xfId="0" applyNumberFormat="1" applyBorder="1">
      <x:alignment horizontal="general" vertical="bottom"/>
    </x:xf>
    <mc:AlternateContent xmlns:mc="http://schemas.openxmlformats.org/markup-compatibility/2006">
      <mc:Choice xmlns:hs="http://schemas.haansoft.com/office/spreadsheet/8.0" Requires="hs">
        <x:xf numFmtId="0" fontId="0" fillId="0" borderId="26"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26" xfId="0" applyNumberFormat="1" applyBorder="1" applyAlignment="1">
          <x:alignment horizontal="right" vertical="bottom"/>
        </x:xf>
      </mc:Fallback>
    </mc:AlternateContent>
    <x:xf numFmtId="0" fontId="0" fillId="0" borderId="26" xfId="0" applyNumberFormat="1" applyBorder="1" applyAlignment="1">
      <x:alignment horizontal="left" vertical="bottom"/>
    </x:xf>
    <x:xf numFmtId="0" fontId="0" fillId="0" borderId="26" xfId="8" applyNumberFormat="1" applyFont="1" applyBorder="1" applyAlignment="1">
      <x:alignment horizontal="left" vertical="bottom"/>
    </x:xf>
    <x:xf numFmtId="4" fontId="0" fillId="0" borderId="25" xfId="0" applyNumberFormat="1" applyFont="1" applyBorder="1" applyAlignment="1">
      <x:alignment horizontal="left" vertical="bottom"/>
    </x:xf>
    <mc:AlternateContent xmlns:mc="http://schemas.openxmlformats.org/markup-compatibility/2006">
      <mc:Choice xmlns:hs="http://schemas.haansoft.com/office/spreadsheet/8.0" Requires="hs">
        <x:xf numFmtId="184"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84" fontId="0" fillId="0" borderId="0" xfId="0" applyNumberFormat="1" applyAlignment="1">
          <x:alignment horizontal="right" vertical="bottom"/>
        </x:xf>
      </mc:Fallback>
    </mc:AlternateContent>
    <x:xf numFmtId="184" fontId="0" fillId="0" borderId="0" xfId="0" applyNumberFormat="1">
      <x:alignment horizontal="general" vertical="bottom"/>
    </x:xf>
    <x:xf numFmtId="0" fontId="39" fillId="0" borderId="0" xfId="4" applyNumberFormat="1" applyFont="1" applyFill="1" applyAlignment="1">
      <x:alignment horizontal="left" vertical="bottom"/>
    </x:xf>
    <x:xf numFmtId="179" fontId="54" fillId="0" borderId="0" xfId="4" applyNumberFormat="1" applyFont="1" applyAlignment="1">
      <x:alignment horizontal="left" vertical="bottom"/>
    </x:xf>
    <x:xf numFmtId="11" fontId="0" fillId="0" borderId="0" xfId="0" applyNumberFormat="1">
      <x:alignment horizontal="general" vertical="bottom"/>
    </x:xf>
    <x:xf numFmtId="4" fontId="0" fillId="0" borderId="0" xfId="0" applyNumberFormat="1" applyFont="1" applyFill="1" applyBorder="1" applyAlignment="1">
      <x:alignment horizontal="left" vertical="bottom"/>
    </x:xf>
    <x:xf numFmtId="4" fontId="0" fillId="0" borderId="14" xfId="0" quotePrefix="1" applyNumberFormat="1" applyFont="1" applyBorder="1" applyAlignment="1">
      <x:alignment horizontal="left" vertical="bottom"/>
    </x:xf>
    <x:xf numFmtId="4" fontId="0" fillId="0" borderId="16" xfId="0" quotePrefix="1" applyNumberFormat="1" applyFont="1" applyBorder="1" applyAlignment="1">
      <x:alignment horizontal="left" vertical="bottom"/>
    </x:xf>
    <x:xf numFmtId="0" fontId="54" fillId="0" borderId="0" xfId="0" applyNumberFormat="1" applyFont="1" applyBorder="1">
      <x:alignment horizontal="general" vertical="bottom"/>
    </x:xf>
    <x:xf numFmtId="0" fontId="0" fillId="0" borderId="0" xfId="0" applyNumberFormat="1" applyBorder="1">
      <x:alignment horizontal="general" vertical="bottom"/>
    </x:xf>
    <x:xf numFmtId="0" fontId="54" fillId="0" borderId="6" xfId="0" applyNumberFormat="1" applyFont="1" applyBorder="1">
      <x:alignment horizontal="general" vertical="bottom"/>
    </x:xf>
    <x:xf numFmtId="0" fontId="0" fillId="0" borderId="0" xfId="0" applyNumberFormat="1" applyAlignment="1">
      <x:alignment horizontal="general" vertical="bottom"/>
    </x:xf>
    <x:xf numFmtId="0" fontId="88" fillId="0" borderId="0" xfId="0" applyNumberFormat="1" applyFont="1">
      <x:alignment horizontal="general" vertical="bottom"/>
    </x:xf>
    <x:xf numFmtId="14" fontId="54" fillId="0" borderId="4" xfId="0" applyNumberFormat="1" applyFont="1" applyBorder="1" applyAlignment="1">
      <x:alignment horizontal="left" vertical="bottom"/>
    </x:xf>
    <x:xf numFmtId="10" fontId="0" fillId="0" borderId="0" xfId="0" applyNumberFormat="1" applyAlignment="1">
      <x:alignment horizontal="general" vertical="bottom"/>
    </x:xf>
    <x:xf numFmtId="0" fontId="0" fillId="0" borderId="0" xfId="4" applyNumberFormat="1" applyFont="1" applyAlignment="1">
      <x:alignment horizontal="general" vertical="bottom"/>
    </x:xf>
    <x:xf numFmtId="40" fontId="0" fillId="0" borderId="0" xfId="0" applyNumberFormat="1" applyAlignment="1">
      <x:alignment horizontal="general" vertical="bottom"/>
    </x:xf>
    <x:xf numFmtId="182" fontId="0" fillId="0" borderId="0" xfId="0" applyNumberFormat="1" applyAlignment="1">
      <x:alignment horizontal="general" vertical="bottom"/>
    </x:xf>
    <mc:AlternateContent xmlns:mc="http://schemas.openxmlformats.org/markup-compatibility/2006">
      <mc:Choice xmlns:hs="http://schemas.haansoft.com/office/spreadsheet/8.0" Requires="hs">
        <x:xf numFmtId="4" fontId="0" fillId="0" borderId="22"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4" fontId="0" fillId="0" borderId="22" xfId="0" applyNumberFormat="1" applyBorder="1" applyAlignment="1">
          <x:alignment horizontal="right" vertical="bottom"/>
        </x:xf>
      </mc:Fallback>
    </mc:AlternateContent>
    <x:xf numFmtId="0" fontId="92" fillId="2" borderId="0" xfId="9" applyNumberFormat="1" applyFont="1" applyFill="1" applyAlignment="1" applyProtection="1">
      <x:alignment horizontal="general" vertical="bottom"/>
    </x:xf>
    <x:xf numFmtId="38" fontId="0" fillId="0" borderId="0" xfId="2" applyNumberFormat="1" applyFont="1" applyBorder="1">
      <x:alignment horizontal="general" vertical="bottom"/>
    </x:xf>
    <x:xf numFmtId="0" fontId="0" fillId="0" borderId="26" xfId="0" applyNumberFormat="1" applyBorder="1">
      <x:alignment horizontal="general" vertical="bottom"/>
    </x:xf>
    <mc:AlternateContent xmlns:mc="http://schemas.openxmlformats.org/markup-compatibility/2006">
      <mc:Choice xmlns:hs="http://schemas.haansoft.com/office/spreadsheet/8.0" Requires="hs">
        <x:xf numFmtId="4" fontId="0" fillId="0" borderId="8" xfId="0" applyNumberFormat="1" applyBorder="1" applyAlignment="1" hs:applyExtension="1">
          <x:alignment horizontal="center" vertical="bottom"/>
          <hs:parashape hs:lineSpacingType="betweenLines" hs:lineSpacing="75" hs:breakNonLatinWord="breakWord" hs:breakLatinWord="keepWord" hs:condense="0" hs:textAlignment="baseLine"/>
        </x:xf>
      </mc:Choice>
      <mc:Fallback>
        <x:xf numFmtId="4" fontId="0" fillId="0" borderId="8" xfId="0" applyNumberFormat="1" applyBorder="1" applyAlignment="1">
          <x:alignment horizontal="center" vertical="bottom"/>
        </x:xf>
      </mc:Fallback>
    </mc:AlternateContent>
    <mc:AlternateContent xmlns:mc="http://schemas.openxmlformats.org/markup-compatibility/2006">
      <mc:Choice xmlns:hs="http://schemas.haansoft.com/office/spreadsheet/8.0" Requires="hs">
        <x:xf numFmtId="14" fontId="0" fillId="0" borderId="0" xfId="4"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4" fontId="0" fillId="0" borderId="0" xfId="4" applyNumberFormat="1" applyFont="1" applyAlignment="1">
          <x:alignment horizontal="right" vertical="bottom"/>
        </x:xf>
      </mc:Fallback>
    </mc:AlternateContent>
    <mc:AlternateContent xmlns:mc="http://schemas.openxmlformats.org/markup-compatibility/2006">
      <mc:Choice xmlns:hs="http://schemas.haansoft.com/office/spreadsheet/8.0" Requires="hs">
        <x:xf numFmtId="175" fontId="54" fillId="0" borderId="0" xfId="0" applyNumberFormat="1" applyFont="1" applyAlignment="1" hs:applyExtension="1">
          <x:alignment horizontal="right" vertical="bottom"/>
          <hs:parashape hs:lineSpacingType="betweenLines" hs:lineSpacing="75" hs:breakNonLatinWord="breakWord" hs:breakLatinWord="keepWord" hs:condense="0" hs:textAlignment="baseLine"/>
        </x:xf>
      </mc:Choice>
      <mc:Fallback>
        <x:xf numFmtId="175" fontId="54" fillId="0" borderId="0" xfId="0" applyNumberFormat="1" applyFont="1" applyAlignment="1">
          <x:alignment horizontal="right" vertical="bottom"/>
        </x:xf>
      </mc:Fallback>
    </mc:AlternateContent>
    <x:xf numFmtId="0" fontId="0" fillId="0" borderId="0" xfId="0" applyNumberFormat="1" applyFont="1">
      <x:alignment horizontal="general" vertical="bottom"/>
    </x:xf>
    <x:xf numFmtId="0" fontId="93" fillId="0" borderId="0" xfId="0" applyNumberFormat="1" applyFont="1" applyBorder="1">
      <x:alignment horizontal="general" vertical="bottom"/>
    </x:xf>
    <x:xf numFmtId="0" fontId="54" fillId="0" borderId="0" xfId="0" applyNumberFormat="1" applyFont="1" applyFill="1">
      <x:alignment horizontal="general" vertical="bottom"/>
    </x:xf>
    <x:xf numFmtId="14" fontId="0" fillId="0" borderId="6" xfId="0" applyNumberFormat="1" applyBorder="1" applyAlignment="1">
      <x:alignment horizontal="general" vertical="bottom"/>
    </x:xf>
    <x:xf numFmtId="17" fontId="0" fillId="0" borderId="0" xfId="0" applyNumberFormat="1" applyAlignment="1">
      <x:alignment horizontal="general" vertical="bottom"/>
    </x:xf>
    <mc:AlternateContent xmlns:mc="http://schemas.openxmlformats.org/markup-compatibility/2006">
      <mc:Choice xmlns:hs="http://schemas.haansoft.com/office/spreadsheet/8.0" Requires="hs">
        <x:xf numFmtId="185" fontId="54" fillId="0" borderId="20"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185" fontId="54" fillId="0" borderId="20"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185" fontId="54" fillId="0" borderId="1" xfId="0"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185" fontId="54" fillId="0" borderId="1" xfId="0" applyNumberFormat="1" applyFont="1" applyBorder="1" applyAlignment="1">
          <x:alignment horizontal="right" vertical="bottom"/>
        </x:xf>
      </mc:Fallback>
    </mc:AlternateContent>
    <x:xf numFmtId="0" fontId="0" fillId="4" borderId="0" xfId="4" applyNumberFormat="1" applyFont="1" applyFill="1" applyAlignment="1">
      <x:alignment horizontal="left" vertical="bottom"/>
    </x:xf>
    <mc:AlternateContent xmlns:mc="http://schemas.openxmlformats.org/markup-compatibility/2006">
      <mc:Choice xmlns:hs="http://schemas.haansoft.com/office/spreadsheet/8.0" Requires="hs">
        <x:xf numFmtId="38" fontId="0" fillId="0" borderId="6"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8" fontId="0" fillId="0" borderId="6" xfId="4" applyNumberFormat="1" applyFont="1" applyBorder="1" applyAlignment="1">
          <x:alignment horizontal="right" vertical="bottom"/>
        </x:xf>
      </mc:Fallback>
    </mc:AlternateContent>
    <x:xf numFmtId="179" fontId="0" fillId="0" borderId="0" xfId="4" applyNumberFormat="1" applyFont="1" applyAlignment="1">
      <x:alignment horizontal="general" vertical="bottom"/>
    </x:xf>
    <x:xf numFmtId="40" fontId="0" fillId="0" borderId="0" xfId="4" applyNumberFormat="1" applyFont="1" applyAlignment="1">
      <x:alignment horizontal="general" vertical="bottom"/>
    </x:xf>
    <x:xf numFmtId="179" fontId="54" fillId="0" borderId="0" xfId="4" applyNumberFormat="1" applyFont="1" applyAlignment="1">
      <x:alignment horizontal="general" vertical="bottom"/>
    </x:xf>
    <mc:AlternateContent xmlns:mc="http://schemas.openxmlformats.org/markup-compatibility/2006">
      <mc:Choice xmlns:hs="http://schemas.haansoft.com/office/spreadsheet/8.0" Requires="hs">
        <x:xf numFmtId="0" fontId="0" fillId="0" borderId="0"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0" xfId="0" applyNumberFormat="1" applyBorder="1" applyAlignment="1">
          <x:alignment horizontal="right" vertical="bottom"/>
        </x:xf>
      </mc:Fallback>
    </mc:AlternateContent>
    <x:xf numFmtId="0" fontId="0" fillId="2" borderId="24" xfId="0" applyNumberFormat="1" applyFill="1" applyBorder="1">
      <x:alignment horizontal="general" vertical="bottom"/>
    </x:xf>
    <mc:AlternateContent xmlns:mc="http://schemas.openxmlformats.org/markup-compatibility/2006">
      <mc:Choice xmlns:hs="http://schemas.haansoft.com/office/spreadsheet/8.0" Requires="hs">
        <x:xf numFmtId="17" fontId="0" fillId="0" borderId="0" xfId="0" applyNumberFormat="1" applyAlignment="1" hs:applyExtension="1">
          <x:alignment horizontal="right" vertical="bottom"/>
          <hs:parashape hs:lineSpacingType="betweenLines" hs:lineSpacing="75" hs:breakNonLatinWord="breakWord" hs:breakLatinWord="keepWord" hs:condense="0" hs:textAlignment="baseLine"/>
        </x:xf>
      </mc:Choice>
      <mc:Fallback>
        <x:xf numFmtId="17" fontId="0" fillId="0" borderId="0" xfId="0" applyNumberFormat="1" applyAlignment="1">
          <x:alignment horizontal="right" vertical="bottom"/>
        </x:xf>
      </mc:Fallback>
    </mc:AlternateContent>
    <x:xf numFmtId="38" fontId="0" fillId="0" borderId="0" xfId="0" applyNumberFormat="1">
      <x:alignment horizontal="general" vertical="bottom"/>
    </x:xf>
    <mc:AlternateContent xmlns:mc="http://schemas.openxmlformats.org/markup-compatibility/2006">
      <mc:Choice xmlns:hs="http://schemas.haansoft.com/office/spreadsheet/8.0" Requires="hs">
        <x:xf numFmtId="0" fontId="54" fillId="0" borderId="0" xfId="4" applyNumberFormat="1" applyFont="1" applyAlignment="1" hs:applyExtension="1">
          <x:alignment horizontal="centerContinuous" vertical="bottom"/>
          <hs:parashape hs:lineSpacingType="betweenLines" hs:lineSpacing="75" hs:breakNonLatinWord="breakWord" hs:breakLatinWord="keepWord" hs:condense="0" hs:textAlignment="baseLine"/>
        </x:xf>
      </mc:Choice>
      <mc:Fallback>
        <x:xf numFmtId="0" fontId="54" fillId="0" borderId="0" xfId="4" applyNumberFormat="1" applyFont="1" applyAlignment="1">
          <x:alignment horizontal="centerContinuous" vertical="bottom"/>
        </x:xf>
      </mc:Fallback>
    </mc:AlternateContent>
    <mc:AlternateContent xmlns:mc="http://schemas.openxmlformats.org/markup-compatibility/2006">
      <mc:Choice xmlns:hs="http://schemas.haansoft.com/office/spreadsheet/8.0" Requires="hs">
        <x:xf numFmtId="4" fontId="54" fillId="0" borderId="1" xfId="4"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4" fontId="54" fillId="0" borderId="1" xfId="4"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4" fontId="54" fillId="0" borderId="1" xfId="4" applyNumberFormat="1"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4" fontId="54" fillId="0" borderId="1" xfId="4" applyNumberFormat="1" applyFont="1" applyBorder="1" applyAlignment="1">
          <x:alignment horizontal="center" vertical="bottom"/>
        </x:xf>
      </mc:Fallback>
    </mc:AlternateContent>
    <mc:AlternateContent xmlns:mc="http://schemas.openxmlformats.org/markup-compatibility/2006">
      <mc:Choice xmlns:hs="http://schemas.haansoft.com/office/spreadsheet/8.0" Requires="hs">
        <x:xf numFmtId="3" fontId="54" fillId="0" borderId="0" xfId="4" applyNumberFormat="1" applyFont="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54" fillId="0" borderId="0" xfId="4" applyNumberFormat="1" applyFont="1" applyAlignment="1">
          <x:alignment horizontal="centerContinuous" vertical="bottom"/>
        </x:xf>
      </mc:Fallback>
    </mc:AlternateContent>
    <mc:AlternateContent xmlns:mc="http://schemas.openxmlformats.org/markup-compatibility/2006">
      <mc:Choice xmlns:hs="http://schemas.haansoft.com/office/spreadsheet/8.0" Requires="hs">
        <x:xf numFmtId="3" fontId="0" fillId="0" borderId="0" xfId="4" applyNumberFormat="1" applyFont="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0" fillId="0" borderId="0" xfId="4" applyNumberFormat="1" applyFont="1" applyAlignment="1">
          <x:alignment horizontal="centerContinuous" vertical="bottom"/>
        </x:xf>
      </mc:Fallback>
    </mc:AlternateContent>
    <x:xf numFmtId="0" fontId="65" fillId="0" borderId="0" xfId="4" applyNumberFormat="1" applyFont="1" applyBorder="1" applyAlignment="1">
      <x:alignment horizontal="left" vertical="bottom"/>
    </x:xf>
    <x:xf numFmtId="0" fontId="0" fillId="0" borderId="0" xfId="4" applyNumberFormat="1" applyFont="1" applyBorder="1" applyAlignment="1">
      <x:alignment horizontal="left" vertical="bottom"/>
    </x:xf>
    <x:xf numFmtId="0" fontId="0" fillId="0" borderId="0" xfId="4" applyNumberFormat="1" applyFont="1" applyBorder="1">
      <x:alignment horizontal="general" vertical="bottom"/>
    </x:xf>
    <mc:AlternateContent xmlns:mc="http://schemas.openxmlformats.org/markup-compatibility/2006">
      <mc:Choice xmlns:hs="http://schemas.haansoft.com/office/spreadsheet/8.0" Requires="hs">
        <x:xf numFmtId="0" fontId="54" fillId="0" borderId="0" xfId="4" applyNumberFormat="1"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54" fillId="0" borderId="0" xfId="4" applyNumberFormat="1" applyFont="1" applyAlignment="1">
          <x:alignment horizontal="center" vertical="bottom"/>
        </x:xf>
      </mc:Fallback>
    </mc:AlternateContent>
    <mc:AlternateContent xmlns:mc="http://schemas.openxmlformats.org/markup-compatibility/2006">
      <mc:Choice xmlns:hs="http://schemas.haansoft.com/office/spreadsheet/8.0" Requires="hs">
        <x:xf numFmtId="0" fontId="54" fillId="0" borderId="0"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54" fillId="0" borderId="0"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0" fontId="0" fillId="0" borderId="0"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0" fontId="0" fillId="0" borderId="0"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3" fontId="0" fillId="0" borderId="0" xfId="0" applyNumberFormat="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0" fillId="0" borderId="0" xfId="0" applyNumberFormat="1" applyAlignment="1">
          <x:alignment horizontal="centerContinuous" vertical="bottom"/>
        </x:xf>
      </mc:Fallback>
    </mc:AlternateContent>
    <mc:AlternateContent xmlns:mc="http://schemas.openxmlformats.org/markup-compatibility/2006">
      <mc:Choice xmlns:hs="http://schemas.haansoft.com/office/spreadsheet/8.0" Requires="hs">
        <x:xf numFmtId="3" fontId="54" fillId="0" borderId="0" xfId="0" applyNumberFormat="1" applyFont="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54" fillId="0" borderId="0" xfId="0" applyNumberFormat="1" applyFont="1" applyAlignment="1">
          <x:alignment horizontal="centerContinuous" vertical="bottom"/>
        </x:xf>
      </mc:Fallback>
    </mc:AlternateContent>
    <mc:AlternateContent xmlns:mc="http://schemas.openxmlformats.org/markup-compatibility/2006">
      <mc:Choice xmlns:hs="http://schemas.haansoft.com/office/spreadsheet/8.0" Requires="hs">
        <x:xf numFmtId="3" fontId="54" fillId="0" borderId="1" xfId="4"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54" fillId="0" borderId="1" xfId="4"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3" fontId="0" fillId="0" borderId="1" xfId="4"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0" fillId="0" borderId="1" xfId="4"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3" fontId="54" fillId="0" borderId="1" xfId="4" applyNumberFormat="1" applyFont="1" applyBorder="1" applyAlignment="1" hs:applyExtension="1">
          <x:alignment horizontal="right" vertical="bottom"/>
          <hs:parashape hs:lineSpacingType="betweenLines" hs:lineSpacing="75" hs:breakNonLatinWord="breakWord" hs:breakLatinWord="keepWord" hs:condense="0" hs:textAlignment="baseLine"/>
        </x:xf>
      </mc:Choice>
      <mc:Fallback>
        <x:xf numFmtId="3" fontId="54" fillId="0" borderId="1" xfId="4" applyNumberFormat="1" applyFont="1" applyBorder="1" applyAlignment="1">
          <x:alignment horizontal="right" vertical="bottom"/>
        </x:xf>
      </mc:Fallback>
    </mc:AlternateContent>
    <mc:AlternateContent xmlns:mc="http://schemas.openxmlformats.org/markup-compatibility/2006">
      <mc:Choice xmlns:hs="http://schemas.haansoft.com/office/spreadsheet/8.0" Requires="hs">
        <x:xf numFmtId="0" fontId="0" fillId="0" borderId="0" xfId="0" applyNumberFormat="1" applyAlignment="1" hs:applyExtension="1">
          <x:alignment horizontal="centerContinuous" vertical="bottom"/>
          <hs:parashape hs:lineSpacingType="betweenLines" hs:lineSpacing="75" hs:breakNonLatinWord="breakWord" hs:breakLatinWord="keepWord" hs:condense="0" hs:textAlignment="baseLine"/>
        </x:xf>
      </mc:Choice>
      <mc:Fallback>
        <x:xf numFmtId="0" fontId="0" fillId="0" borderId="0" xfId="0" applyNumberFormat="1" applyAlignment="1">
          <x:alignment horizontal="centerContinuous" vertical="bottom"/>
        </x:xf>
      </mc:Fallback>
    </mc:AlternateContent>
    <mc:AlternateContent xmlns:mc="http://schemas.openxmlformats.org/markup-compatibility/2006">
      <mc:Choice xmlns:hs="http://schemas.haansoft.com/office/spreadsheet/8.0" Requires="hs">
        <x:xf numFmtId="0" fontId="54" fillId="0" borderId="0" xfId="0" applyNumberFormat="1" applyFont="1" applyAlignment="1" hs:applyExtension="1">
          <x:alignment horizontal="centerContinuous" vertical="bottom"/>
          <hs:parashape hs:lineSpacingType="betweenLines" hs:lineSpacing="75" hs:breakNonLatinWord="breakWord" hs:breakLatinWord="keepWord" hs:condense="0" hs:textAlignment="baseLine"/>
        </x:xf>
      </mc:Choice>
      <mc:Fallback>
        <x:xf numFmtId="0" fontId="54" fillId="0" borderId="0" xfId="0" applyNumberFormat="1" applyFont="1" applyAlignment="1">
          <x:alignment horizontal="centerContinuous" vertical="bottom"/>
        </x:xf>
      </mc:Fallback>
    </mc:AlternateContent>
    <mc:AlternateContent xmlns:mc="http://schemas.openxmlformats.org/markup-compatibility/2006">
      <mc:Choice xmlns:hs="http://schemas.haansoft.com/office/spreadsheet/8.0" Requires="hs">
        <x:xf numFmtId="3" fontId="54" fillId="0" borderId="1" xfId="0"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54" fillId="0" borderId="1" xfId="0"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0" fontId="54" fillId="0" borderId="0" xfId="0" applyNumberFormat="1" applyFont="1" applyAlignment="1" hs:applyExtension="1">
          <x:alignment horizontal="centerContinuous" vertical="bottom" wrapText="1"/>
          <hs:parashape hs:lineSpacingType="betweenLines" hs:lineSpacing="75" hs:breakNonLatinWord="breakWord" hs:breakLatinWord="keepWord" hs:condense="0" hs:textAlignment="baseLine"/>
        </x:xf>
      </mc:Choice>
      <mc:Fallback>
        <x:xf numFmtId="0" fontId="54" fillId="0" borderId="0" xfId="0" applyNumberFormat="1" applyFont="1" applyAlignment="1">
          <x:alignment horizontal="centerContinuous" vertical="bottom" wrapText="1"/>
        </x:xf>
      </mc:Fallback>
    </mc:AlternateContent>
    <mc:AlternateContent xmlns:mc="http://schemas.openxmlformats.org/markup-compatibility/2006">
      <mc:Choice xmlns:hs="http://schemas.haansoft.com/office/spreadsheet/8.0" Requires="hs">
        <x:xf numFmtId="3" fontId="0" fillId="0" borderId="0" xfId="0" applyNumberFormat="1" applyBorder="1" applyAlignment="1" hs:applyExtension="1">
          <x:alignment horizontal="right" vertical="bottom"/>
          <hs:parashape hs:lineSpacingType="betweenLines" hs:lineSpacing="75" hs:breakNonLatinWord="breakWord" hs:breakLatinWord="keepWord" hs:condense="0" hs:textAlignment="baseLine"/>
        </x:xf>
      </mc:Choice>
      <mc:Fallback>
        <x:xf numFmtId="3" fontId="0" fillId="0" borderId="0" xfId="0" applyNumberFormat="1" applyBorder="1" applyAlignment="1">
          <x:alignment horizontal="right" vertical="bottom"/>
        </x:xf>
      </mc:Fallback>
    </mc:AlternateContent>
    <mc:AlternateContent xmlns:mc="http://schemas.openxmlformats.org/markup-compatibility/2006">
      <mc:Choice xmlns:hs="http://schemas.haansoft.com/office/spreadsheet/8.0" Requires="hs">
        <x:xf numFmtId="3" fontId="54" fillId="0" borderId="6" xfId="0" applyNumberFormat="1" applyFont="1" applyBorder="1" applyAlignment="1" hs:applyExtension="1">
          <x:alignment horizontal="centerContinuous" vertical="bottom"/>
          <hs:parashape hs:lineSpacingType="betweenLines" hs:lineSpacing="75" hs:breakNonLatinWord="breakWord" hs:breakLatinWord="keepWord" hs:condense="0" hs:textAlignment="baseLine"/>
        </x:xf>
      </mc:Choice>
      <mc:Fallback>
        <x:xf numFmtId="3" fontId="54" fillId="0" borderId="6" xfId="0" applyNumberFormat="1" applyFont="1" applyBorder="1" applyAlignment="1">
          <x:alignment horizontal="centerContinuous" vertical="bottom"/>
        </x:xf>
      </mc:Fallback>
    </mc:AlternateContent>
    <mc:AlternateContent xmlns:mc="http://schemas.openxmlformats.org/markup-compatibility/2006">
      <mc:Choice xmlns:hs="http://schemas.haansoft.com/office/spreadsheet/8.0" Requires="hs">
        <x:xf numFmtId="0" fontId="54" fillId="0" borderId="6" xfId="0" applyNumberFormat="1" applyFont="1" applyBorder="1" applyAlignment="1" hs:applyExtension="1">
          <x:alignment horizontal="centerContinuous" vertical="bottom" wrapText="1"/>
          <hs:parashape hs:lineSpacingType="betweenLines" hs:lineSpacing="75" hs:breakNonLatinWord="breakWord" hs:breakLatinWord="keepWord" hs:condense="0" hs:textAlignment="baseLine"/>
        </x:xf>
      </mc:Choice>
      <mc:Fallback>
        <x:xf numFmtId="0" fontId="54" fillId="0" borderId="6" xfId="0" applyNumberFormat="1" applyFont="1" applyBorder="1" applyAlignment="1">
          <x:alignment horizontal="centerContinuous" vertical="bottom" wrapText="1"/>
        </x:xf>
      </mc:Fallback>
    </mc:AlternateContent>
    <mc:AlternateContent xmlns:mc="http://schemas.openxmlformats.org/markup-compatibility/2006">
      <mc:Choice xmlns:hs="http://schemas.haansoft.com/office/spreadsheet/8.0" Requires="hs">
        <x:xf numFmtId="3" fontId="54" fillId="0" borderId="6" xfId="0" applyNumberFormat="1" applyFont="1" applyBorder="1" applyAlignment="1" hs:applyExtension="1">
          <x:alignment horizontal="right" vertical="bottom" wrapText="1"/>
          <hs:parashape hs:lineSpacingType="betweenLines" hs:lineSpacing="75" hs:breakNonLatinWord="breakWord" hs:breakLatinWord="keepWord" hs:condense="0" hs:textAlignment="baseLine"/>
        </x:xf>
      </mc:Choice>
      <mc:Fallback>
        <x:xf numFmtId="3" fontId="54" fillId="0" borderId="6" xfId="0" applyNumberFormat="1" applyFont="1" applyBorder="1" applyAlignment="1">
          <x:alignment horizontal="right" vertical="bottom" wrapText="1"/>
        </x:xf>
      </mc:Fallback>
    </mc:AlternateContent>
    <mc:AlternateContent xmlns:mc="http://schemas.openxmlformats.org/markup-compatibility/2006">
      <mc:Choice xmlns:hs="http://schemas.haansoft.com/office/spreadsheet/8.0" Requires="hs">
        <x:xf numFmtId="0" fontId="54" fillId="0" borderId="0" xfId="0" applyNumberFormat="1" applyFont="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54" fillId="0" borderId="0" xfId="0" applyNumberFormat="1" applyFont="1" applyAlignment="1">
          <x:alignment horizontal="right" vertical="bottom" wrapText="1"/>
        </x:xf>
      </mc:Fallback>
    </mc:AlternateContent>
    <mc:AlternateContent xmlns:mc="http://schemas.openxmlformats.org/markup-compatibility/2006">
      <mc:Choice xmlns:hs="http://schemas.haansoft.com/office/spreadsheet/8.0" Requires="hs">
        <x:xf numFmtId="0" fontId="89" fillId="5" borderId="2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9" fillId="5" borderId="2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9" fillId="5" borderId="2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9" fillId="5" borderId="2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4" fontId="0" fillId="0" borderId="27" xfId="0" applyNumberFormat="1" applyBorder="1" applyAlignment="1" hs:applyExtension="1">
          <x:alignment horizontal="center" vertical="bottom"/>
          <hs:parashape hs:lineSpacingType="betweenLines" hs:lineSpacing="75" hs:breakNonLatinWord="breakWord" hs:breakLatinWord="keepWord" hs:condense="0" hs:textAlignment="baseLine"/>
        </x:xf>
      </mc:Choice>
      <mc:Fallback>
        <x:xf numFmtId="4" fontId="0" fillId="0" borderId="27" xfId="0" applyNumberFormat="1" applyBorder="1" applyAlignment="1">
          <x:alignment horizontal="center" vertical="bottom"/>
        </x:xf>
      </mc:Fallback>
    </mc:AlternateContent>
    <mc:AlternateContent xmlns:mc="http://schemas.openxmlformats.org/markup-compatibility/2006">
      <mc:Choice xmlns:hs="http://schemas.haansoft.com/office/spreadsheet/8.0" Requires="hs">
        <x:xf numFmtId="4" fontId="0" fillId="0" borderId="22" xfId="0" applyNumberFormat="1" applyBorder="1" applyAlignment="1" hs:applyExtension="1">
          <x:alignment horizontal="center" vertical="bottom"/>
          <hs:parashape hs:lineSpacingType="betweenLines" hs:lineSpacing="75" hs:breakNonLatinWord="breakWord" hs:breakLatinWord="keepWord" hs:condense="0" hs:textAlignment="baseLine"/>
        </x:xf>
      </mc:Choice>
      <mc:Fallback>
        <x:xf numFmtId="4" fontId="0" fillId="0" borderId="22" xfId="0" applyNumberFormat="1" applyBorder="1" applyAlignment="1">
          <x:alignment horizontal="center" vertical="bottom"/>
        </x:xf>
      </mc:Fallback>
    </mc:AlternateContent>
    <mc:AlternateContent xmlns:mc="http://schemas.openxmlformats.org/markup-compatibility/2006">
      <mc:Choice xmlns:hs="http://schemas.haansoft.com/office/spreadsheet/8.0" Requires="hs">
        <x:xf numFmtId="4" fontId="0" fillId="0" borderId="28" xfId="0" applyNumberFormat="1" applyBorder="1" applyAlignment="1" hs:applyExtension="1">
          <x:alignment horizontal="center" vertical="bottom"/>
          <hs:parashape hs:lineSpacingType="betweenLines" hs:lineSpacing="75" hs:breakNonLatinWord="breakWord" hs:breakLatinWord="keepWord" hs:condense="0" hs:textAlignment="baseLine"/>
        </x:xf>
      </mc:Choice>
      <mc:Fallback>
        <x:xf numFmtId="4" fontId="0" fillId="0" borderId="28" xfId="0" applyNumberFormat="1" applyBorder="1" applyAlignment="1">
          <x:alignment horizontal="center" vertical="bottom"/>
        </x:xf>
      </mc:Fallback>
    </mc:AlternateContent>
    <mc:AlternateContent xmlns:mc="http://schemas.openxmlformats.org/markup-compatibility/2006">
      <mc:Choice xmlns:hs="http://schemas.haansoft.com/office/spreadsheet/8.0" Requires="hs">
        <x:xf numFmtId="0" fontId="87" fillId="0" borderId="1" xfId="0" applyNumberFormat="1"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87" fillId="0" borderId="1" xfId="0" applyNumberFormat="1" applyFont="1" applyBorder="1" applyAlignment="1">
          <x:alignment horizontal="center" vertical="bottom"/>
        </x:xf>
      </mc:Fallback>
    </mc:AlternateContent>
  </x:cellXfs>
  <x:cellStyles count="10">
    <x:cellStyle name="Normal" xfId="0" builtinId="0"/>
    <x:cellStyle name="Percent" xfId="1" builtinId="5"/>
    <x:cellStyle name="Comma" xfId="2" builtinId="3"/>
    <x:cellStyle name="Normal 4" xfId="3"/>
    <x:cellStyle name="Normal 3 2 2" xfId="4"/>
    <x:cellStyle name="Style 24 2" xfId="5"/>
    <x:cellStyle name="TextNormal" xfId="6"/>
    <x:cellStyle name="Normal_SparkSpread_TimeSeries" xfId="7"/>
    <x:cellStyle name="Normal_eps-stock_9zdq01_" xfId="8"/>
    <x:cellStyle name="Hyperlink" xfId="9" builtinId="8"/>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externalLink" Target="externalLinks/externalLink1.xml"  /><Relationship Id="rId17" Type="http://schemas.openxmlformats.org/officeDocument/2006/relationships/externalLink" Target="externalLinks/externalLink2.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0.xml><?xml version="1.0" encoding="utf-8"?>
<c:chartSpace xmlns:r="http://schemas.openxmlformats.org/officeDocument/2006/relationships" xmlns:a="http://schemas.openxmlformats.org/drawingml/2006/main" xmlns:c="http://schemas.openxmlformats.org/drawingml/2006/chart">
  <c:date1904 val="0"/>
  <mc:AlternateContent xmlns:mc="http://schemas.openxmlformats.org/markup-compatibility/2006">
    <mc:Choice xmlns:c14="http://schemas.microsoft.com/office/drawing/2007/8/2/chart" Requires="c14">
      <c14:style val="102"/>
    </mc:Choice>
    <mc:Fallback>
      <c:style val="2"/>
    </mc:Fallback>
  </mc:AlternateContent>
  <c:roundedCorners val="0"/>
  <c:chart>
    <c:title>
      <c:layout/>
      <c:overlay val="0"/>
      <c:spPr>
        <a:noFill/>
        <a:ln>
          <a:noFill/>
        </a:ln>
        <a:effectLst/>
      </c:spPr>
      <c:txPr>
        <a:bodyPr rot="0" vert="horz" wrap="none" lIns="0" tIns="0" rIns="0" bIns="0" anchor="ctr" anchorCtr="1"/>
        <a:p>
          <a:pPr algn="l">
            <a:defRPr sz="1100" b="0" i="0" u="none">
              <a:solidFill>
                <a:sysClr val="windowText" lastClr="000000"/>
              </a:solidFill>
              <a:latin typeface="Arial"/>
              <a:ea typeface="+mn-ea"/>
              <a:cs typeface="+mn-ea"/>
              <a:sym typeface="+mn-ea"/>
            </a:defRPr>
          </a:pPr>
          <a:endParaRPr/>
        </a:p>
      </c:txPr>
    </c:title>
    <c:autoTitleDeleted val="0"/>
    <c:plotArea>
      <c:layout/>
      <c:barChart>
        <c:barDir val="col"/>
        <c:grouping val="stacked"/>
        <c:varyColors val="0"/>
        <c:ser>
          <c:idx val="0"/>
          <c:order val="0"/>
          <c:tx>
            <c:strRef>
              <c:f>Key_Stats!$E$78</c:f>
              <c:strCache>
                <c:ptCount val="1"/>
                <c:pt idx="0">
                  <c:v>Market Capitalization</c:v>
                </c:pt>
              </c:strCache>
            </c:strRef>
          </c:tx>
          <c:spPr>
            <a:solidFill>
              <a:srgbClr val="72adcd"/>
            </a:solidFill>
            <a:ln w="9525">
              <a:noFill/>
            </a:ln>
            <a:effectLst/>
          </c:spPr>
          <c:dPt>
            <c:idx val="1"/>
            <c:invertIfNegative val="0"/>
            <c:bubble3D val="0"/>
            <c:spPr>
              <a:solidFill>
                <a:srgbClr val="72adcd"/>
              </a:solidFill>
              <a:ln>
                <a:noFill/>
              </a:ln>
              <a:effectLst/>
            </c:spPr>
          </c:dPt>
          <c:invertIfNegative val="0"/>
          <c:dLbls>
            <c:delete val="1"/>
            <c:dLblPos val="outEnd"/>
            <c:showLegendKey val="0"/>
            <c:showVal val="0"/>
            <c:showCatName val="0"/>
            <c:showSerName val="0"/>
            <c:showPercent val="0"/>
            <c:showBubbleSize val="0"/>
            <c:showLeaderLines val="0"/>
          </c:dLbls>
          <c:cat>
            <c:strRef>
              <c:f>Key_Stats!$B$79:$D$81</c:f>
              <c:strCache>
                <c:ptCount val="3"/>
                <c:pt idx="0">
                  <c:v>Market Cap</c:v>
                </c:pt>
                <c:pt idx="1">
                  <c:v>TEV</c:v>
                </c:pt>
                <c:pt idx="2">
                  <c:v>Total Capital</c:v>
                </c:pt>
              </c:strCache>
            </c:strRef>
          </c:cat>
          <c:val>
            <c:numRef>
              <c:f>Key_Stats!$E$79:$E$81</c:f>
              <c:numCache>
                <c:formatCode>#,##0_);[Red](#,##0)</c:formatCode>
                <c:ptCount val="3"/>
                <c:pt idx="0">
                  <c:v>270970.38886733999</c:v>
                </c:pt>
                <c:pt idx="1">
                  <c:v>270970.38886733999</c:v>
                </c:pt>
              </c:numCache>
            </c:numRef>
          </c:val>
        </c:ser>
        <c:ser>
          <c:idx val="1"/>
          <c:order val="1"/>
          <c:tx>
            <c:strRef>
              <c:f>Key_Stats!$F$78</c:f>
              <c:strCache>
                <c:ptCount val="1"/>
                <c:pt idx="0">
                  <c:v>Net Liability</c:v>
                </c:pt>
              </c:strCache>
            </c:strRef>
          </c:tx>
          <c:spPr>
            <a:solidFill>
              <a:srgbClr val="005e92"/>
            </a:solidFill>
            <a:ln w="9525">
              <a:noFill/>
            </a:ln>
            <a:effectLst/>
          </c:spPr>
          <c:invertIfNegative val="0"/>
          <c:dLbls>
            <c:delete val="1"/>
            <c:dLblPos val="outEnd"/>
            <c:showLegendKey val="0"/>
            <c:showVal val="0"/>
            <c:showCatName val="0"/>
            <c:showSerName val="0"/>
            <c:showPercent val="0"/>
            <c:showBubbleSize val="0"/>
            <c:showLeaderLines val="0"/>
          </c:dLbls>
          <c:cat>
            <c:strRef>
              <c:f>Key_Stats!$B$79:$D$81</c:f>
              <c:strCache>
                <c:ptCount val="3"/>
                <c:pt idx="0">
                  <c:v>Market Cap</c:v>
                </c:pt>
                <c:pt idx="1">
                  <c:v>TEV</c:v>
                </c:pt>
                <c:pt idx="2">
                  <c:v>Total Capital</c:v>
                </c:pt>
              </c:strCache>
            </c:strRef>
          </c:cat>
          <c:val>
            <c:numRef>
              <c:f>Key_Stats!$F$79:$F$81</c:f>
              <c:numCache>
                <c:formatCode>#,##0_);[Red](#,##0)</c:formatCode>
                <c:ptCount val="3"/>
                <c:pt idx="1">
                  <c:v>50283</c:v>
                </c:pt>
              </c:numCache>
            </c:numRef>
          </c:val>
        </c:ser>
        <c:ser>
          <c:idx val="2"/>
          <c:order val="2"/>
          <c:tx>
            <c:strRef>
              <c:f>Key_Stats!$G$78</c:f>
              <c:strCache>
                <c:ptCount val="1"/>
                <c:pt idx="0">
                  <c:v>Total Liability</c:v>
                </c:pt>
              </c:strCache>
            </c:strRef>
          </c:tx>
          <c:spPr>
            <a:solidFill>
              <a:srgbClr val="d17925"/>
            </a:solidFill>
            <a:ln w="9525">
              <a:noFill/>
            </a:ln>
            <a:effectLst/>
          </c:spPr>
          <c:invertIfNegative val="0"/>
          <c:dLbls>
            <c:delete val="1"/>
            <c:dLblPos val="outEnd"/>
            <c:showLegendKey val="0"/>
            <c:showVal val="0"/>
            <c:showCatName val="0"/>
            <c:showSerName val="0"/>
            <c:showPercent val="0"/>
            <c:showBubbleSize val="0"/>
            <c:showLeaderLines val="0"/>
          </c:dLbls>
          <c:cat>
            <c:strRef>
              <c:f>Key_Stats!$B$79:$D$81</c:f>
              <c:strCache>
                <c:ptCount val="3"/>
                <c:pt idx="0">
                  <c:v>Market Cap</c:v>
                </c:pt>
                <c:pt idx="1">
                  <c:v>TEV</c:v>
                </c:pt>
                <c:pt idx="2">
                  <c:v>Total Capital</c:v>
                </c:pt>
              </c:strCache>
            </c:strRef>
          </c:cat>
          <c:val>
            <c:numRef>
              <c:f>Key_Stats!$G$79:$G$81</c:f>
              <c:numCache>
                <c:formatCode>#,##0_);[Red](#,##0)</c:formatCode>
                <c:ptCount val="3"/>
                <c:pt idx="2">
                  <c:v>64700</c:v>
                </c:pt>
              </c:numCache>
            </c:numRef>
          </c:val>
        </c:ser>
        <c:ser>
          <c:idx val="3"/>
          <c:order val="3"/>
          <c:tx>
            <c:strRef>
              <c:f>Key_Stats!$H$78</c:f>
              <c:strCache>
                <c:ptCount val="1"/>
                <c:pt idx="0">
                  <c:v>Common Equity</c:v>
                </c:pt>
              </c:strCache>
            </c:strRef>
          </c:tx>
          <c:spPr>
            <a:solidFill>
              <a:srgbClr val="08c3a5"/>
            </a:solidFill>
            <a:ln w="9525">
              <a:noFill/>
            </a:ln>
            <a:effectLst/>
          </c:spPr>
          <c:invertIfNegative val="0"/>
          <c:dLbls>
            <c:delete val="1"/>
            <c:dLblPos val="outEnd"/>
            <c:showLegendKey val="0"/>
            <c:showVal val="0"/>
            <c:showCatName val="0"/>
            <c:showSerName val="0"/>
            <c:showPercent val="0"/>
            <c:showBubbleSize val="0"/>
            <c:showLeaderLines val="0"/>
          </c:dLbls>
          <c:cat>
            <c:strRef>
              <c:f>Key_Stats!$B$79:$D$81</c:f>
              <c:strCache>
                <c:ptCount val="3"/>
                <c:pt idx="0">
                  <c:v>Market Cap</c:v>
                </c:pt>
                <c:pt idx="1">
                  <c:v>TEV</c:v>
                </c:pt>
                <c:pt idx="2">
                  <c:v>Total Capital</c:v>
                </c:pt>
              </c:strCache>
            </c:strRef>
          </c:cat>
          <c:val>
            <c:numRef>
              <c:f>Key_Stats!$H$79:$H$81</c:f>
              <c:numCache>
                <c:formatCode>#,##0_);[Red](#,##0)</c:formatCode>
                <c:ptCount val="3"/>
                <c:pt idx="2">
                  <c:v>32648</c:v>
                </c:pt>
              </c:numCache>
            </c:numRef>
          </c:val>
        </c:ser>
        <c:dLbls>
          <c:delete val="0"/>
          <c:dLblPos val="outEnd"/>
          <c:showLegendKey val="0"/>
          <c:showVal val="1"/>
          <c:showCatName val="0"/>
          <c:showSerName val="0"/>
          <c:showPercent val="0"/>
          <c:showBubbleSize val="0"/>
          <c:showLeaderLines val="0"/>
        </c:dLbls>
        <c:gapWidth val="150"/>
        <c:overlap val="100"/>
        <c:axId val="934938168"/>
        <c:axId val="934938824"/>
      </c:barChart>
      <c:catAx>
        <c:axId val="934938168"/>
        <c:scaling>
          <c:orientation val="minMax"/>
        </c:scaling>
        <c:axPos val="b"/>
        <c:crossAx val="934938824"/>
        <c:delete val="0"/>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p>
            <a:pPr algn="l">
              <a:defRPr sz="800" b="0" i="0" u="none">
                <a:solidFill>
                  <a:sysClr val="windowText" lastClr="000000"/>
                </a:solidFill>
                <a:latin typeface="Arial"/>
                <a:ea typeface="+mn-ea"/>
                <a:cs typeface="+mn-ea"/>
                <a:sym typeface="+mn-ea"/>
              </a:defRPr>
            </a:pPr>
            <a:endParaRPr/>
          </a:p>
        </c:txPr>
        <c:crosses val="autoZero"/>
        <c:auto val="1"/>
        <c:lblAlgn val="ctr"/>
        <c:lblOffset val="100"/>
        <c:tickMarkSkip val="1"/>
        <c:noMultiLvlLbl val="0"/>
      </c:catAx>
      <c:valAx>
        <c:axId val="934938824"/>
        <c:scaling>
          <c:orientation val="minMax"/>
        </c:scaling>
        <c:axPos val="l"/>
        <c:crossAx val="934938168"/>
        <c:delete val="0"/>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a:noFill/>
          </a:ln>
          <a:effectLst/>
        </c:spPr>
        <c:txPr>
          <a:bodyPr rot="0" vert="horz" wrap="none" lIns="0" tIns="0" rIns="0" bIns="0" anchor="ctr" anchorCtr="1"/>
          <a:p>
            <a:pPr algn="l">
              <a:defRPr sz="800" b="0" i="0" u="none">
                <a:solidFill>
                  <a:sysClr val="windowText" lastClr="000000"/>
                </a:solidFill>
                <a:latin typeface="Arial"/>
                <a:ea typeface="+mn-ea"/>
                <a:cs typeface="+mn-ea"/>
                <a:sym typeface="+mn-ea"/>
              </a:defRPr>
            </a:pPr>
            <a:endParaRPr/>
          </a:p>
        </c:txPr>
        <c:crosses val="autoZero"/>
        <c:crossBetween val="between"/>
      </c:valAx>
      <c:spPr>
        <a:noFill/>
        <a:ln>
          <a:noFill/>
        </a:ln>
        <a:effectLst/>
      </c:spPr>
    </c:plotArea>
    <c:legend>
      <c:legendPos val="b"/>
      <c:layout/>
      <c:overlay val="0"/>
      <c:spPr>
        <a:noFill/>
        <a:ln w="9525">
          <a:noFill/>
        </a:ln>
        <a:effectLst/>
      </c:spPr>
      <c:txPr>
        <a:bodyPr rot="0" vert="horz" wrap="none" lIns="0" tIns="0" rIns="0" bIns="0" anchor="ctr" anchorCtr="1"/>
        <a:p>
          <a:pPr algn="l">
            <a:defRPr sz="800" b="0" i="0" u="none">
              <a:solidFill>
                <a:sysClr val="windowText" lastClr="000000"/>
              </a:solidFill>
              <a:latin typeface="Arial"/>
              <a:ea typeface="+mn-ea"/>
              <a:cs typeface="+mn-ea"/>
              <a:sym typeface="+mn-ea"/>
            </a:defRPr>
          </a:pPr>
          <a:endParaRPr/>
        </a:p>
      </c:txPr>
    </c:legend>
    <c:plotVisOnly val="0"/>
    <c:dispBlanksAs val="gap"/>
  </c:chart>
  <c:txPr>
    <a:bodyPr rot="0" vert="horz" wrap="none" lIns="0" tIns="0" rIns="0" bIns="0" anchor="ctr" anchorCtr="1"/>
    <a:p>
      <a:pPr algn="l">
        <a:defRPr b="0" i="0" u="none"/>
      </a:pPr>
      <a:endParaRPr/>
    </a:p>
  </c:txPr>
  <c:spPr>
    <a:solidFill>
      <a:schemeClr val="bg1"/>
    </a:solidFill>
    <a:ln w="9525" cap="flat" cmpd="sng" algn="ctr">
      <a:solidFill>
        <a:srgbClr val="525252"/>
      </a:solidFill>
      <a:round/>
    </a:ln>
    <a:effectLst/>
  </c:spPr>
  <c:extLst>
    <c:ext uri="CC8EB2C9-7E31-499d-B8F2-F6CE61031016">
      <ho:hncChartStyle xmlns:ho="http://schemas.haansoft.com/office/8.0" layoutIndex="-1" colorIndex="-1" styleIndex="-1"/>
    </c:ext>
  </c:extLst>
</c:chartSpace>
</file>

<file path=xl/drawings/_rels/drawing0.xml.rels><?xml version="1.0" encoding="UTF-8" standalone="yes" ?><Relationships xmlns="http://schemas.openxmlformats.org/package/2006/relationships"><Relationship Id="rId1" Type="http://schemas.openxmlformats.org/officeDocument/2006/relationships/chart" Target="../charts/chart0.xml"  /><Relationship Id="rId2" Type="http://schemas.openxmlformats.org/officeDocument/2006/relationships/image" Target="../media/image0.png"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0</xdr:col>
      <xdr:colOff>114300</xdr:colOff>
      <xdr:row>81</xdr:row>
      <xdr:rowOff>133350</xdr:rowOff>
    </xdr:from>
    <xdr:to>
      <xdr:col>7</xdr:col>
      <xdr:colOff>812800</xdr:colOff>
      <xdr:row>98</xdr:row>
      <xdr:rowOff>107950</xdr:rowOff>
    </xdr:to>
    <xdr:graphicFrame fPublished="0">
      <xdr:nvGraphicFramePr>
        <xdr:cNvPr id="3" name="Chart 2"/>
        <xdr:cNvGraphicFramePr/>
      </xdr:nvGraphicFramePr>
      <xdr:xfrm>
        <a:off x="171450" y="14754225"/>
        <a:ext cx="9096375" cy="3543300"/>
      </xdr:xfrm>
      <a:graphic>
        <a:graphicData uri="http://schemas.openxmlformats.org/drawingml/2006/chart">
          <c:chart r:id="rId1"/>
        </a:graphicData>
      </a:graphic>
    </xdr:graphicFrame>
    <xdr:clientData fLocksWithSheet="1" fPrintsWithSheet="1"/>
  </xdr:twoCellAnchor>
  <xdr:twoCellAnchor editAs="oneCell">
    <xdr:from>
      <xdr:col>1</xdr:col>
      <xdr:colOff>19050</xdr:colOff>
      <xdr:row>1</xdr:row>
      <xdr:rowOff>69850</xdr:rowOff>
    </xdr:from>
    <xdr:to>
      <xdr:col>4</xdr:col>
      <xdr:colOff>323850</xdr:colOff>
      <xdr:row>1</xdr:row>
      <xdr:rowOff>539750</xdr:rowOff>
    </xdr:to>
    <xdr:pic macro="" fPublished="0">
      <xdr:nvPicPr>
        <xdr:cNvPr id="5" name="Graphic 1"/>
        <xdr:cNvPicPr>
          <a:picLocks noChangeAspect="1"/>
        </xdr:cNvPicPr>
      </xdr:nvPicPr>
      <xdr:blipFill rotWithShape="1">
        <a:blip r:embed="rId2"/>
        <a:stretch>
          <a:fillRect/>
        </a:stretch>
      </xdr:blipFill>
      <xdr:spPr>
        <a:xfrm>
          <a:off x="209550" y="314325"/>
          <a:ext cx="4000500" cy="704850"/>
        </a:xfrm>
        <a:prstGeom prst="rect">
          <a:avLst/>
        </a:prstGeom>
        <a:solidFill>
          <a:schemeClr val="bg1"/>
        </a:solidFill>
      </xdr:spPr>
    </xdr:pic>
    <xdr:clientData fLocksWithSheet="1" fPrintsWithSheet="1"/>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uravk/Downloads/+Key%20Stats%20-%20Standard%20(Metrics%20not%20covered%20in%20RED).xlsm" TargetMode="External" /></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akshmi_rajpurohit/Downloads/Copy%20of%20+Key%20Stats%20-%20Standard.xlsm" TargetMode="External" /></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__snloffice"/>
      <x:sheetName val="Key Stats"/>
      <x:sheetName val="Income Statement"/>
      <x:sheetName val="Balance Sheet"/>
      <x:sheetName val="Cash Flow"/>
      <x:sheetName val="Multiples"/>
      <x:sheetName val="Capitalization"/>
      <x:sheetName val="Capital Structure Summary"/>
      <x:sheetName val="Capital Structure Details"/>
      <x:sheetName val="Ratios"/>
      <x:sheetName val="Supplemental"/>
      <x:sheetName val="Pension-OPEB"/>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Set>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__snloffice"/>
      <x:sheetName val="Key Stats"/>
      <x:sheetName val="Income Statement"/>
      <x:sheetName val="Balance Sheet"/>
      <x:sheetName val="Cash Flow"/>
      <x:sheetName val="Multiples"/>
      <x:sheetName val="Capitalization"/>
      <x:sheetName val="Capital Structure Summary"/>
      <x:sheetName val="Capital Structure Details"/>
      <x:sheetName val="Ratios"/>
      <x:sheetName val="Supplemental"/>
      <x:sheetName val="Pension-OPEB"/>
      <x:sheetName val="Language Index"/>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row r="8">
          <x:cell r="A8" t="str">
            <x:v>Currency</x:v>
          </x:cell>
          <x:cell r="B8" t="str">
            <x:v>Currency</x:v>
          </x:cell>
        </x:row>
        <x:row r="9">
          <x:cell r="A9" t="str">
            <x:v>Date</x:v>
          </x:cell>
          <x:cell r="B9" t="str">
            <x:v>Date</x:v>
          </x:cell>
        </x:row>
        <x:row r="10">
          <x:cell r="A10" t="str">
            <x:v>Conversion</x:v>
          </x:cell>
          <x:cell r="B10" t="str">
            <x:v>Conversion</x:v>
          </x:cell>
        </x:row>
        <x:row r="11">
          <x:cell r="A11" t="str">
            <x:v>Key Financials</x:v>
          </x:cell>
          <x:cell r="B11" t="str">
            <x:v>Key Financials</x:v>
          </x:cell>
        </x:row>
        <x:row r="12">
          <x:cell r="A12" t="str">
            <x:v>Total Revenue</x:v>
          </x:cell>
          <x:cell r="B12" t="str">
            <x:v>Total Revenue</x:v>
          </x:cell>
        </x:row>
        <x:row r="13">
          <x:cell r="A13" t="str">
            <x:v>Gross Profit</x:v>
          </x:cell>
          <x:cell r="B13" t="str">
            <x:v>Gross Profit</x:v>
          </x:cell>
        </x:row>
        <x:row r="14">
          <x:cell r="A14" t="str">
            <x:v>Margin %</x:v>
          </x:cell>
          <x:cell r="B14" t="str">
            <x:v>Margin %</x:v>
          </x:cell>
        </x:row>
        <x:row r="15">
          <x:cell r="A15" t="str">
            <x:v>EBITDA</x:v>
          </x:cell>
          <x:cell r="B15" t="str">
            <x:v>EBITDA</x:v>
          </x:cell>
        </x:row>
        <x:row r="16">
          <x:cell r="A16" t="str">
            <x:v>EBIT</x:v>
          </x:cell>
          <x:cell r="B16" t="str">
            <x:v>EBIT</x:v>
          </x:cell>
        </x:row>
        <x:row r="17">
          <x:cell r="A17" t="str">
            <x:v>Earnings from Cont. Ops.</x:v>
          </x:cell>
          <x:cell r="B17" t="str">
            <x:v>Earnings from Cont. Ops.</x:v>
          </x:cell>
        </x:row>
        <x:row r="18">
          <x:cell r="A18" t="str">
            <x:v>Net Income</x:v>
          </x:cell>
          <x:cell r="B18" t="str">
            <x:v>Net Income</x:v>
          </x:cell>
        </x:row>
        <x:row r="19">
          <x:cell r="A19" t="str">
            <x:v>Diluted EPS Excl. Extra Items</x:v>
          </x:cell>
          <x:cell r="B19" t="str">
            <x:v>Diluted EPS Excl. Extra Items</x:v>
          </x:cell>
        </x:row>
        <x:row r="20">
          <x:cell r="A20" t="str">
            <x:v>All results taken from the most recently filed statement for each period as of the valuation date. When there has been more than one, earlier filings can be viewed on the individual statement pages.</x:v>
          </x:cell>
          <x:cell r="B20" t="str">
            <x:v>All results taken from the most recently filed statement for each period as of the valuation date. When there has been more than one, earlier filings can be viewed on the individual statement pages.</x:v>
          </x:cell>
        </x:row>
        <x:row r="21">
          <x:cell r="A21" t="str">
            <x:v>Growth rates for the LTM period are calculated against the LTM period ending 12 months before.</x:v>
          </x:cell>
          <x:cell r="B21" t="str">
            <x:v>Growth rates for the LTM period are calculated against the LTM period ending 12 months before.</x:v>
          </x:cell>
        </x:row>
        <x:row r="22">
          <x:cell r="A22" t="str">
            <x:v>EPS figures for forward periods are Reuters mean estimates.</x:v>
          </x:cell>
          <x:cell r="B22" t="str">
            <x:v>EPS figures for forward periods are Reuters mean estimates.</x:v>
          </x:cell>
        </x:row>
        <x:row r="23">
          <x:cell r="A23" t="str">
            <x:v>Capitalization</x:v>
          </x:cell>
          <x:cell r="B23" t="str">
            <x:v>Capitalization</x:v>
          </x:cell>
        </x:row>
        <x:row r="24">
          <x:cell r="A24" t="str">
            <x:v>Shares Out.</x:v>
          </x:cell>
          <x:cell r="B24" t="str">
            <x:v>Shares Out.</x:v>
          </x:cell>
        </x:row>
        <x:row r="25">
          <x:cell r="A25" t="str">
            <x:v>GRAPH DATA</x:v>
          </x:cell>
          <x:cell r="B25" t="str">
            <x:v>GRAPH DATA</x:v>
          </x:cell>
        </x:row>
        <x:row r="26">
          <x:cell r="A26" t="str">
            <x:v>Pref. Equity</x:v>
          </x:cell>
          <x:cell r="B26" t="str">
            <x:v>Pref. Equity</x:v>
          </x:cell>
        </x:row>
        <x:row r="27">
          <x:cell r="A27" t="str">
            <x:v>Total Minority Interest</x:v>
          </x:cell>
          <x:cell r="B27" t="str">
            <x:v>Total Minority Interest</x:v>
          </x:cell>
        </x:row>
        <x:row r="28">
          <x:cell r="A28" t="str">
            <x:v>Market Capitalization</x:v>
          </x:cell>
          <x:cell r="B28" t="str">
            <x:v>Market Capitalization</x:v>
          </x:cell>
        </x:row>
        <x:row r="29">
          <x:cell r="A29" t="str">
            <x:v>Net Liability</x:v>
          </x:cell>
          <x:cell r="B29" t="str">
            <x:v>Net Liability</x:v>
          </x:cell>
        </x:row>
        <x:row r="30">
          <x:cell r="A30" t="str">
            <x:v>Total Liability</x:v>
          </x:cell>
          <x:cell r="B30" t="str">
            <x:v>Total Liability</x:v>
          </x:cell>
        </x:row>
        <x:row r="31">
          <x:cell r="A31" t="str">
            <x:v>Common Equity</x:v>
          </x:cell>
          <x:cell r="B31" t="str">
            <x:v>Common Equity</x:v>
          </x:cell>
        </x:row>
        <x:row r="32">
          <x:cell r="A32" t="str">
            <x:v>Total Enterprise Value (TEV)</x:v>
          </x:cell>
          <x:cell r="B32" t="str">
            <x:v>Total Enterprise Value (TEV)</x:v>
          </x:cell>
        </x:row>
        <x:row r="33">
          <x:cell r="A33" t="str">
            <x:v>MarketCap</x:v>
          </x:cell>
          <x:cell r="B33" t="str">
            <x:v>MarketCap</x:v>
          </x:cell>
        </x:row>
        <x:row r="34">
          <x:cell r="A34" t="str">
            <x:v>TEV</x:v>
          </x:cell>
          <x:cell r="B34" t="str">
            <x:v>TEV</x:v>
          </x:cell>
        </x:row>
        <x:row r="35">
          <x:cell r="A35" t="str">
            <x:v>Book Value of Common Equity</x:v>
          </x:cell>
          <x:cell r="B35" t="str">
            <x:v>Book Value of Common Equity</x:v>
          </x:cell>
        </x:row>
        <x:row r="36">
          <x:cell r="A36" t="str">
            <x:v>Total Capital</x:v>
          </x:cell>
          <x:cell r="B36" t="str">
            <x:v>Total Capital</x:v>
          </x:cell>
        </x:row>
        <x:row r="37">
          <x:cell r="A37" t="str">
            <x:v>Total Liability includes Total Debt, Minority Interest and Pref. Equity.</x:v>
          </x:cell>
          <x:cell r="B37" t="str">
            <x:v>Total Liability includes Total Debt, Minority Interest and Pref. Equity.</x:v>
          </x:cell>
        </x:row>
        <x:row r="38">
          <x:cell r="A38" t="str">
            <x:v>Net Liability includes Total Liability, net of Cash and Equivalents.</x:v>
          </x:cell>
          <x:cell r="B38" t="str">
            <x:v>Net Liability includes Total Liability, net of Cash and Equivalents.</x:v>
          </x:cell>
        </x:row>
        <x:row r="39">
          <x:cell r="A39" t="str">
            <x:v>TEV includes Market Cap and Net Liability.</x:v>
          </x:cell>
          <x:cell r="B39" t="str">
            <x:v>TEV includes Market Cap and Net Liability.</x:v>
          </x:cell>
        </x:row>
        <x:row r="40">
          <x:cell r="A40" t="str">
            <x:v>Total Capital includes Common Equity and Total Liability.</x:v>
          </x:cell>
          <x:cell r="B40" t="str">
            <x:v>Total Capital includes Common Equity and Total Liability.</x:v>
          </x:cell>
        </x:row>
        <x:row r="41">
          <x:cell r="A41" t="str">
            <x:v>Valuation Multiples</x:v>
          </x:cell>
          <x:cell r="B41" t="str">
            <x:v>Valuation Multiples</x:v>
          </x:cell>
        </x:row>
        <x:row r="42">
          <x:cell r="A42" t="str">
            <x:v>TEV/Total Revenue</x:v>
          </x:cell>
          <x:cell r="B42" t="str">
            <x:v>TEV/Total Revenue</x:v>
          </x:cell>
        </x:row>
        <x:row r="43">
          <x:cell r="A43" t="str">
            <x:v>TEV/EBITDA</x:v>
          </x:cell>
          <x:cell r="B43" t="str">
            <x:v>TEV/EBITDA</x:v>
          </x:cell>
        </x:row>
        <x:row r="44">
          <x:cell r="A44" t="str">
            <x:v>TEV/EBIT</x:v>
          </x:cell>
          <x:cell r="B44" t="str">
            <x:v>TEV/EBIT</x:v>
          </x:cell>
        </x:row>
        <x:row r="45">
          <x:cell r="A45" t="str">
            <x:v>P/Diluted EPS Before Extra</x:v>
          </x:cell>
          <x:cell r="B45" t="str">
            <x:v>P/Diluted EPS Before Extra</x:v>
          </x:cell>
        </x:row>
        <x:row r="46">
          <x:cell r="A46" t="str">
            <x:v>P/BV</x:v>
          </x:cell>
          <x:cell r="B46" t="str">
            <x:v>P/BV</x:v>
          </x:cell>
        </x:row>
        <x:row r="47">
          <x:cell r="A47" t="str">
            <x:v>Price/Tang BV</x:v>
          </x:cell>
          <x:cell r="B47" t="str">
            <x:v>Price/Tang BV</x:v>
          </x:cell>
        </x:row>
        <x:row r="48">
          <x:cell r="A48" t="str">
            <x:v>Copyright © 2025 S&amp;P Global Market Intelligence LLC (and its affiliates as applicable) – All rights reserved.  This model and/or any data in it are provided subject to the written agreement of S&amp;P Global Market Intelligence LLC governing the subscription service to which this model is applied.</x:v>
          </x:cell>
          <x:cell r="B48" t="str">
            <x:v>Copyright © 2025 S&amp;P Global Market Intelligence LLC (and its affiliates as applicable) – All rights reserved.  This model and/or any data in it are provided subject to the written agreement of S&amp;P Global Market Intelligence LLC governing the subscription service to which this model is applied.</x:v>
          </x:cell>
        </x:row>
        <x:row r="49">
          <x:cell r="A49" t="str">
            <x:v>Ticker</x:v>
          </x:cell>
          <x:cell r="B49" t="str">
            <x:v>Ticker</x:v>
          </x:cell>
        </x:row>
        <x:row r="50">
          <x:cell r="A50" t="str">
            <x:v>In Currency</x:v>
          </x:cell>
          <x:cell r="B50" t="str">
            <x:v>In Currency</x:v>
          </x:cell>
        </x:row>
        <x:row r="51">
          <x:cell r="A51" t="str">
            <x:v>Revenues</x:v>
          </x:cell>
          <x:cell r="B51" t="str">
            <x:v>Revenues</x:v>
          </x:cell>
        </x:row>
        <x:row r="52">
          <x:cell r="A52" t="str">
            <x:v>Finance Div. Revenues</x:v>
          </x:cell>
          <x:cell r="B52" t="str">
            <x:v>Finance Div. Revenues</x:v>
          </x:cell>
        </x:row>
        <x:row r="53">
          <x:cell r="A53" t="str">
            <x:v>Insurance Div. Revenues</x:v>
          </x:cell>
          <x:cell r="B53" t="str">
            <x:v>Insurance Div. Revenues</x:v>
          </x:cell>
        </x:row>
        <x:row r="54">
          <x:cell r="A54" t="str">
            <x:v>Gain/(Loss) on Sale Of Assets (Rev)</x:v>
          </x:cell>
          <x:cell r="B54" t="str">
            <x:v>Gain/(Loss) on Sale Of Assets (Rev)</x:v>
          </x:cell>
        </x:row>
        <x:row r="55">
          <x:cell r="A55" t="str">
            <x:v>Gain/(Loss) on Sale Of Invest.(Rev)</x:v>
          </x:cell>
          <x:cell r="B55" t="str">
            <x:v>Gain/(Loss) on Sale Of Invest.(Rev)</x:v>
          </x:cell>
        </x:row>
        <x:row r="56">
          <x:cell r="A56" t="str">
            <x:v>Interest And Invest. Income (Rev)</x:v>
          </x:cell>
          <x:cell r="B56" t="str">
            <x:v>Interest And Invest. Income (Rev)</x:v>
          </x:cell>
        </x:row>
        <x:row r="57">
          <x:cell r="A57" t="str">
            <x:v>Other Revenues</x:v>
          </x:cell>
          <x:cell r="B57" t="str">
            <x:v>Other Revenues</x:v>
          </x:cell>
        </x:row>
        <x:row r="58">
          <x:cell r="A58" t="str">
            <x:v>Total Revenues</x:v>
          </x:cell>
          <x:cell r="B58" t="str">
            <x:v>Total Revenues</x:v>
          </x:cell>
        </x:row>
        <x:row r="59">
          <x:cell r="A59" t="str">
            <x:v>Cost Of Goods Sold</x:v>
          </x:cell>
          <x:cell r="B59" t="str">
            <x:v>Cost Of Goods Sold</x:v>
          </x:cell>
        </x:row>
        <x:row r="60">
          <x:cell r="A60" t="str">
            <x:v>Finance Div. Operating Exp.</x:v>
          </x:cell>
          <x:cell r="B60" t="str">
            <x:v>Finance Div. Operating Exp.</x:v>
          </x:cell>
        </x:row>
        <x:row r="61">
          <x:cell r="A61" t="str">
            <x:v>Insurance Div. Operating Exp.</x:v>
          </x:cell>
          <x:cell r="B61" t="str">
            <x:v>Insurance Div. Operating Exp.</x:v>
          </x:cell>
        </x:row>
        <x:row r="62">
          <x:cell r="A62" t="str">
            <x:v>Interest Expense - Finance Division</x:v>
          </x:cell>
          <x:cell r="B62" t="str">
            <x:v>Interest Expense - Finance Division</x:v>
          </x:cell>
        </x:row>
        <x:row r="63">
          <x:cell r="A63" t="str">
            <x:v>Selling General &amp; Admin Exp.</x:v>
          </x:cell>
          <x:cell r="B63" t="str">
            <x:v>Selling General &amp; Admin Exp.</x:v>
          </x:cell>
        </x:row>
        <x:row r="64">
          <x:cell r="A64" t="str">
            <x:v>Exploration/Drilling Costs</x:v>
          </x:cell>
          <x:cell r="B64" t="str">
            <x:v>Exploration/Drilling Costs</x:v>
          </x:cell>
        </x:row>
        <x:row r="65">
          <x:cell r="A65" t="str">
            <x:v>Provision for Bad Debts</x:v>
          </x:cell>
          <x:cell r="B65" t="str">
            <x:v>Provision for Bad Debts</x:v>
          </x:cell>
        </x:row>
        <x:row r="66">
          <x:cell r="A66" t="str">
            <x:v>Stock-Based Compensation</x:v>
          </x:cell>
          <x:cell r="B66" t="str">
            <x:v>Stock-Based Compensation</x:v>
          </x:cell>
        </x:row>
        <x:row r="67">
          <x:cell r="A67" t="str">
            <x:v>Pre-Opening Costs</x:v>
          </x:cell>
          <x:cell r="B67" t="str">
            <x:v>Pre-Opening Costs</x:v>
          </x:cell>
        </x:row>
        <x:row r="68">
          <x:cell r="A68" t="str">
            <x:v>R &amp; D Exp.</x:v>
          </x:cell>
          <x:cell r="B68" t="str">
            <x:v>R &amp; D Exp.</x:v>
          </x:cell>
        </x:row>
        <x:row r="69">
          <x:cell r="A69" t="str">
            <x:v>Depreciation &amp; Amort.</x:v>
          </x:cell>
          <x:cell r="B69" t="str">
            <x:v>Depreciation &amp; Amort.</x:v>
          </x:cell>
        </x:row>
        <x:row r="70">
          <x:cell r="A70" t="str">
            <x:v>Amort. of Goodwill and Intangibles</x:v>
          </x:cell>
          <x:cell r="B70" t="str">
            <x:v>Amort. of Goodwill and Intangibles</x:v>
          </x:cell>
        </x:row>
        <x:row r="71">
          <x:cell r="A71" t="str">
            <x:v>Impair. of Oil, Gas &amp; Mineral Prop.</x:v>
          </x:cell>
          <x:cell r="B71" t="str">
            <x:v>Impair. of Oil, Gas &amp; Mineral Prop.</x:v>
          </x:cell>
        </x:row>
        <x:row r="72">
          <x:cell r="A72" t="str">
            <x:v>Other Operating Expense/(Income)</x:v>
          </x:cell>
          <x:cell r="B72" t="str">
            <x:v>Other Operating Expense/(Income)</x:v>
          </x:cell>
        </x:row>
        <x:row r="73">
          <x:cell r="A73" t="str">
            <x:v>Other Operating Exp., Total</x:v>
          </x:cell>
          <x:cell r="B73" t="str">
            <x:v>Other Operating Exp., Total</x:v>
          </x:cell>
        </x:row>
        <x:row r="74">
          <x:cell r="A74" t="str">
            <x:v>Operating Income</x:v>
          </x:cell>
          <x:cell r="B74" t="str">
            <x:v>Operating Income</x:v>
          </x:cell>
        </x:row>
        <x:row r="75">
          <x:cell r="A75" t="str">
            <x:v>Interest Expense</x:v>
          </x:cell>
          <x:cell r="B75" t="str">
            <x:v>Interest Expense</x:v>
          </x:cell>
        </x:row>
        <x:row r="76">
          <x:cell r="A76" t="str">
            <x:v>Interest and Invest. Income</x:v>
          </x:cell>
          <x:cell r="B76" t="str">
            <x:v>Interest and Invest. Income</x:v>
          </x:cell>
        </x:row>
        <x:row r="77">
          <x:cell r="A77" t="str">
            <x:v>Net Interest Exp.</x:v>
          </x:cell>
          <x:cell r="B77" t="str">
            <x:v>Net Interest Exp.</x:v>
          </x:cell>
        </x:row>
        <x:row r="78">
          <x:cell r="A78" t="str">
            <x:v>Income / (Loss) from Affiliates</x:v>
          </x:cell>
          <x:cell r="B78" t="str">
            <x:v>Income / (Loss) from Affiliates</x:v>
          </x:cell>
        </x:row>
        <x:row r="79">
          <x:cell r="A79" t="str">
            <x:v>Currency Exchange Gains (Loss)</x:v>
          </x:cell>
          <x:cell r="B79" t="str">
            <x:v>Currency Exchange Gains (Loss)</x:v>
          </x:cell>
        </x:row>
        <x:row r="80">
          <x:cell r="A80" t="str">
            <x:v>Other Non-Operating Inc. (Exp.)</x:v>
          </x:cell>
          <x:cell r="B80" t="str">
            <x:v>Other Non-Operating Inc. (Exp.)</x:v>
          </x:cell>
        </x:row>
        <x:row r="81">
          <x:cell r="A81" t="str">
            <x:v>EBT Excl Unusual Items</x:v>
          </x:cell>
          <x:cell r="B81" t="str">
            <x:v>EBT Excl Unusual Items</x:v>
          </x:cell>
        </x:row>
        <x:row r="82">
          <x:cell r="A82" t="str">
            <x:v>Restructuring Charges</x:v>
          </x:cell>
          <x:cell r="B82" t="str">
            <x:v>Restructuring Charges</x:v>
          </x:cell>
        </x:row>
        <x:row r="83">
          <x:cell r="A83" t="str">
            <x:v>Merger &amp; Related Restruct. Charges</x:v>
          </x:cell>
          <x:cell r="B83" t="str">
            <x:v>Merger &amp; Related Restruct. Charges</x:v>
          </x:cell>
        </x:row>
        <x:row r="84">
          <x:cell r="A84" t="str">
            <x:v>Impairment of Goodwill</x:v>
          </x:cell>
          <x:cell r="B84" t="str">
            <x:v>Impairment of Goodwill</x:v>
          </x:cell>
        </x:row>
        <x:row r="85">
          <x:cell r="A85" t="str">
            <x:v>Gain (Loss) On Sale Of Invest.</x:v>
          </x:cell>
          <x:cell r="B85" t="str">
            <x:v>Gain (Loss) On Sale Of Invest.</x:v>
          </x:cell>
        </x:row>
        <x:row r="86">
          <x:cell r="A86" t="str">
            <x:v>Gain (Loss) On Sale Of Assets</x:v>
          </x:cell>
          <x:cell r="B86" t="str">
            <x:v>Gain (Loss) On Sale Of Assets</x:v>
          </x:cell>
        </x:row>
        <x:row r="87">
          <x:cell r="A87" t="str">
            <x:v>Asset Writedown</x:v>
          </x:cell>
          <x:cell r="B87" t="str">
            <x:v>Asset Writedown</x:v>
          </x:cell>
        </x:row>
        <x:row r="88">
          <x:cell r="A88" t="str">
            <x:v>In Process R &amp; D Exp.</x:v>
          </x:cell>
          <x:cell r="B88" t="str">
            <x:v>In Process R &amp; D Exp.</x:v>
          </x:cell>
        </x:row>
        <x:row r="89">
          <x:cell r="A89" t="str">
            <x:v>Insurance Settlements</x:v>
          </x:cell>
          <x:cell r="B89" t="str">
            <x:v>Insurance Settlements</x:v>
          </x:cell>
        </x:row>
        <x:row r="90">
          <x:cell r="A90" t="str">
            <x:v>Legal Settlements</x:v>
          </x:cell>
          <x:cell r="B90" t="str">
            <x:v>Legal Settlements</x:v>
          </x:cell>
        </x:row>
        <x:row r="91">
          <x:cell r="A91" t="str">
            <x:v>Other Unusual Items</x:v>
          </x:cell>
          <x:cell r="B91" t="str">
            <x:v>Other Unusual Items</x:v>
          </x:cell>
        </x:row>
        <x:row r="92">
          <x:cell r="A92" t="str">
            <x:v>EBT Incl Unusual Items</x:v>
          </x:cell>
          <x:cell r="B92" t="str">
            <x:v>EBT Incl Unusual Items</x:v>
          </x:cell>
        </x:row>
        <x:row r="93">
          <x:cell r="A93" t="str">
            <x:v>Income Tax Expense</x:v>
          </x:cell>
          <x:cell r="B93" t="str">
            <x:v>Income Tax Expense</x:v>
          </x:cell>
        </x:row>
        <x:row r="94">
          <x:cell r="A94" t="str">
            <x:v>Earnings of Discontinued Ops.</x:v>
          </x:cell>
          <x:cell r="B94" t="str">
            <x:v>Earnings of Discontinued Ops.</x:v>
          </x:cell>
        </x:row>
        <x:row r="95">
          <x:cell r="A95" t="str">
            <x:v>Extraord. Item &amp; Account. Change</x:v>
          </x:cell>
          <x:cell r="B95" t="str">
            <x:v>Extraord. Item &amp; Account. Change</x:v>
          </x:cell>
        </x:row>
        <x:row r="96">
          <x:cell r="A96" t="str">
            <x:v>Net Income to Company</x:v>
          </x:cell>
          <x:cell r="B96" t="str">
            <x:v>Net Income to Company</x:v>
          </x:cell>
        </x:row>
        <x:row r="97">
          <x:cell r="A97" t="str">
            <x:v>Minority Int. in Earnings</x:v>
          </x:cell>
          <x:cell r="B97" t="str">
            <x:v>Minority Int. in Earnings</x:v>
          </x:cell>
        </x:row>
        <x:row r="98">
          <x:cell r="A98" t="str">
            <x:v>Net Income to Parent</x:v>
          </x:cell>
          <x:cell r="B98" t="str">
            <x:v>Net Income to Parent</x:v>
          </x:cell>
        </x:row>
        <x:row r="99">
          <x:cell r="A99" t="str">
            <x:v>Pref. Dividends and Other Adj.</x:v>
          </x:cell>
          <x:cell r="B99" t="str">
            <x:v>Pref. Dividends and Other Adj.</x:v>
          </x:cell>
        </x:row>
        <x:row r="100">
          <x:cell r="A100" t="str">
            <x:v>NI to Common Incl Extra Items</x:v>
          </x:cell>
          <x:cell r="B100" t="str">
            <x:v>NI to Common Incl Extra Items</x:v>
          </x:cell>
        </x:row>
        <x:row r="101">
          <x:cell r="A101" t="str">
            <x:v>NI to Common Excl Extra Items</x:v>
          </x:cell>
          <x:cell r="B101" t="str">
            <x:v>NI to Common Excl Extra Items</x:v>
          </x:cell>
        </x:row>
        <x:row r="102">
          <x:cell r="A102" t="str">
            <x:v>Per Share Items</x:v>
          </x:cell>
          <x:cell r="B102" t="str">
            <x:v>Per Share Items</x:v>
          </x:cell>
        </x:row>
        <x:row r="103">
          <x:cell r="A103" t="str">
            <x:v>Basic EPS</x:v>
          </x:cell>
          <x:cell r="B103" t="str">
            <x:v>Basic EPS</x:v>
          </x:cell>
        </x:row>
        <x:row r="104">
          <x:cell r="A104" t="str">
            <x:v>Basic EPS Excl. Extra Items</x:v>
          </x:cell>
          <x:cell r="B104" t="str">
            <x:v>Basic EPS Excl. Extra Items</x:v>
          </x:cell>
        </x:row>
        <x:row r="105">
          <x:cell r="A105" t="str">
            <x:v>Weighted Avg. Basic Shares Out.</x:v>
          </x:cell>
          <x:cell r="B105" t="str">
            <x:v>Weighted Avg. Basic Shares Out.</x:v>
          </x:cell>
        </x:row>
        <x:row r="106">
          <x:cell r="A106" t="str">
            <x:v>Diluted EPS</x:v>
          </x:cell>
          <x:cell r="B106" t="str">
            <x:v>Diluted EPS</x:v>
          </x:cell>
        </x:row>
        <x:row r="107">
          <x:cell r="A107" t="str">
            <x:v>Weighted Avg. Diluted Shares Out.</x:v>
          </x:cell>
          <x:cell r="B107" t="str">
            <x:v>Weighted Avg. Diluted Shares Out.</x:v>
          </x:cell>
        </x:row>
        <x:row r="108">
          <x:cell r="A108" t="str">
            <x:v>Normalized Basic EPS</x:v>
          </x:cell>
          <x:cell r="B108" t="str">
            <x:v>Normalized Basic EPS</x:v>
          </x:cell>
        </x:row>
        <x:row r="109">
          <x:cell r="A109" t="str">
            <x:v>Normalized Diluted EPS</x:v>
          </x:cell>
          <x:cell r="B109" t="str">
            <x:v>Normalized Diluted EPS</x:v>
          </x:cell>
        </x:row>
        <x:row r="110">
          <x:cell r="A110" t="str">
            <x:v>Dividends per Share</x:v>
          </x:cell>
          <x:cell r="B110" t="str">
            <x:v>Dividends per Share</x:v>
          </x:cell>
        </x:row>
        <x:row r="111">
          <x:cell r="A111" t="str">
            <x:v>Shares per Depository Receipt</x:v>
          </x:cell>
          <x:cell r="B111" t="str">
            <x:v>Shares per Depository Receipt</x:v>
          </x:cell>
        </x:row>
        <x:row r="112">
          <x:cell r="A112" t="str">
            <x:v>Revenues per Share</x:v>
          </x:cell>
          <x:cell r="B112" t="str">
            <x:v>Revenues per Share</x:v>
          </x:cell>
        </x:row>
        <x:row r="113">
          <x:cell r="A113" t="str">
            <x:v>Distributable Cash per Share</x:v>
          </x:cell>
          <x:cell r="B113" t="str">
            <x:v>Distributable Cash per Share</x:v>
          </x:cell>
        </x:row>
        <x:row r="114">
          <x:cell r="A114" t="str">
            <x:v>Distributable Cash per Share (Diluted)</x:v>
          </x:cell>
          <x:cell r="B114" t="str">
            <x:v>Distributable Cash per Share (Diluted)</x:v>
          </x:cell>
        </x:row>
        <x:row r="115">
          <x:cell r="A115" t="str">
            <x:v>Special Dividend per Share</x:v>
          </x:cell>
          <x:cell r="B115" t="str">
            <x:v>Special Dividend per Share</x:v>
          </x:cell>
        </x:row>
        <x:row r="116">
          <x:cell r="A116" t="str">
            <x:v>Supplemental Items</x:v>
          </x:cell>
          <x:cell r="B116" t="str">
            <x:v>Supplemental Items</x:v>
          </x:cell>
        </x:row>
        <x:row r="117">
          <x:cell r="A117" t="str">
            <x:v>EBITDA (Incl. Equity Inc. from Affiliates)</x:v>
          </x:cell>
          <x:cell r="B117" t="str">
            <x:v>EBITDA (Incl. Equity Inc. from Affiliates)</x:v>
          </x:cell>
        </x:row>
        <x:row r="118">
          <x:cell r="A118" t="str">
            <x:v>EBITDA (Excl. SBC and Incl. Equity Inc. from Affiliates)</x:v>
          </x:cell>
          <x:cell r="B118" t="str">
            <x:v>EBITDA (Excl. SBC and Incl. Equity Inc. from Affiliates)</x:v>
          </x:cell>
        </x:row>
        <x:row r="119">
          <x:cell r="A119" t="str">
            <x:v>EBITDA (Excl. SBC)</x:v>
          </x:cell>
          <x:cell r="B119" t="str">
            <x:v>EBITDA (Excl. SBC)</x:v>
          </x:cell>
        </x:row>
        <x:row r="120">
          <x:cell r="A120" t="str">
            <x:v>EBITDA, Lease Adjusted</x:v>
          </x:cell>
          <x:cell r="B120" t="str">
            <x:v>EBITDA, Lease Adjusted</x:v>
          </x:cell>
        </x:row>
        <x:row r="121">
          <x:cell r="A121" t="str">
            <x:v>Lease Adjustment for EBITDA</x:v>
          </x:cell>
          <x:cell r="B121" t="str">
            <x:v>Lease Adjustment for EBITDA</x:v>
          </x:cell>
        </x:row>
        <x:row r="122">
          <x:cell r="A122" t="str">
            <x:v>EBITDA (Incl. Equity Inc. from Affiliates, Excl. Op. Lease Adj.)</x:v>
          </x:cell>
          <x:cell r="B122" t="str">
            <x:v>EBITDA (Incl. Equity Inc. from Affiliates, Excl. Op. Lease Adj.)</x:v>
          </x:cell>
        </x:row>
        <x:row r="123">
          <x:cell r="A123" t="str">
            <x:v>EBIT (Incl. Equity Inc. from Affiliates)</x:v>
          </x:cell>
          <x:cell r="B123" t="str">
            <x:v>EBIT (Incl. Equity Inc. from Affiliates)</x:v>
          </x:cell>
        </x:row>
        <x:row r="124">
          <x:cell r="A124" t="str">
            <x:v>EBIT (Excl. SBC and Incl. Equity Inc. from Affiliates)</x:v>
          </x:cell>
          <x:cell r="B124" t="str">
            <x:v>EBIT (Excl. SBC and Incl. Equity Inc. from Affiliates)</x:v>
          </x:cell>
        </x:row>
        <x:row r="125">
          <x:cell r="A125" t="str">
            <x:v>EBIT (Excl. SBC)</x:v>
          </x:cell>
          <x:cell r="B125" t="str">
            <x:v>EBIT (Excl. SBC)</x:v>
          </x:cell>
        </x:row>
        <x:row r="126">
          <x:cell r="A126" t="str">
            <x:v>EBITA</x:v>
          </x:cell>
          <x:cell r="B126" t="str">
            <x:v>EBITA</x:v>
          </x:cell>
        </x:row>
        <x:row r="127">
          <x:cell r="A127" t="str">
            <x:v>EBITA (Incl. Equity Inc. from Affiliates)</x:v>
          </x:cell>
          <x:cell r="B127" t="str">
            <x:v>EBITA (Incl. Equity Inc. from Affiliates)</x:v>
          </x:cell>
        </x:row>
        <x:row r="128">
          <x:cell r="A128" t="str">
            <x:v>EBITA (Excl. SBC and Incl. Equity Inc. from Affiliates)</x:v>
          </x:cell>
          <x:cell r="B128" t="str">
            <x:v>EBITA (Excl. SBC and Incl. Equity Inc. from Affiliates)</x:v>
          </x:cell>
        </x:row>
        <x:row r="129">
          <x:cell r="A129" t="str">
            <x:v>EBITA (Excl. SBC)</x:v>
          </x:cell>
          <x:cell r="B129" t="str">
            <x:v>EBITA (Excl. SBC)</x:v>
          </x:cell>
        </x:row>
        <x:row r="130">
          <x:cell r="A130" t="str">
            <x:v>EBITDAR</x:v>
          </x:cell>
          <x:cell r="B130" t="str">
            <x:v>EBITDAR</x:v>
          </x:cell>
        </x:row>
        <x:row r="131">
          <x:cell r="A131" t="str">
            <x:v>EBITDAR (Incl. Equity Inc. from Affiliates)</x:v>
          </x:cell>
          <x:cell r="B131" t="str">
            <x:v>EBITDAR (Incl. Equity Inc. from Affiliates)</x:v>
          </x:cell>
        </x:row>
        <x:row r="132">
          <x:cell r="A132" t="str">
            <x:v>EBITDAR (Excl. SBC and Incl. Equity Inc. from Affiliates)</x:v>
          </x:cell>
          <x:cell r="B132" t="str">
            <x:v>EBITDAR (Excl. SBC and Incl. Equity Inc. from Affiliates)</x:v>
          </x:cell>
        </x:row>
        <x:row r="133">
          <x:cell r="A133" t="str">
            <x:v>EBITDAR (Excl. SBC)</x:v>
          </x:cell>
          <x:cell r="B133" t="str">
            <x:v>EBITDAR (Excl. SBC)</x:v>
          </x:cell>
        </x:row>
        <x:row r="134">
          <x:cell r="A134" t="str">
            <x:v>EBITDA - CAPEX</x:v>
          </x:cell>
          <x:cell r="B134" t="str">
            <x:v>EBITDA - CAPEX</x:v>
          </x:cell>
        </x:row>
        <x:row r="135">
          <x:cell r="A135" t="str">
            <x:v>Fees and Other Income</x:v>
          </x:cell>
          <x:cell r="B135" t="str">
            <x:v>Fees and Other Income</x:v>
          </x:cell>
        </x:row>
        <x:row r="136">
          <x:cell r="A136" t="str">
            <x:v>Same Store Sales Growth</x:v>
          </x:cell>
          <x:cell r="B136" t="str">
            <x:v>Same Store Sales Growth</x:v>
          </x:cell>
        </x:row>
        <x:row r="137">
          <x:cell r="A137" t="str">
            <x:v>As Reported Total Revenue</x:v>
          </x:cell>
          <x:cell r="B137" t="str">
            <x:v>As Reported Total Revenue</x:v>
          </x:cell>
        </x:row>
        <x:row r="138">
          <x:cell r="A138" t="str">
            <x:v>As Reported EBITDA</x:v>
          </x:cell>
          <x:cell r="B138" t="str">
            <x:v>As Reported EBITDA</x:v>
          </x:cell>
        </x:row>
        <x:row r="139">
          <x:cell r="A139" t="str">
            <x:v>Provision for Doubtful Accounts - Patient Service Revenue</x:v>
          </x:cell>
          <x:cell r="B139" t="str">
            <x:v>Provision for Doubtful Accounts - Patient Service Revenue</x:v>
          </x:cell>
        </x:row>
        <x:row r="140">
          <x:cell r="A140" t="str">
            <x:v>Earnings to Parent before Extraordinary Items</x:v>
          </x:cell>
          <x:cell r="B140" t="str">
            <x:v>Earnings to Parent before Extraordinary Items</x:v>
          </x:cell>
        </x:row>
        <x:row r="141">
          <x:cell r="A141" t="str">
            <x:v>Net Income per SFAS 123 (after Options)</x:v>
          </x:cell>
          <x:cell r="B141" t="str">
            <x:v>Net Income per SFAS 123 (after Options)</x:v>
          </x:cell>
        </x:row>
        <x:row r="142">
          <x:cell r="A142" t="str">
            <x:v>Interest Income</x:v>
          </x:cell>
          <x:cell r="B142" t="str">
            <x:v>Interest Income</x:v>
          </x:cell>
        </x:row>
        <x:row r="143">
          <x:cell r="A143" t="str">
            <x:v>Investment Income</x:v>
          </x:cell>
          <x:cell r="B143" t="str">
            <x:v>Investment Income</x:v>
          </x:cell>
        </x:row>
        <x:row r="144">
          <x:cell r="A144" t="str">
            <x:v>Excise Taxes Excluded from Sales</x:v>
          </x:cell>
          <x:cell r="B144" t="str">
            <x:v>Excise Taxes Excluded from Sales</x:v>
          </x:cell>
        </x:row>
        <x:row r="145">
          <x:cell r="A145" t="str">
            <x:v>Excise Taxes Included in Sales</x:v>
          </x:cell>
          <x:cell r="B145" t="str">
            <x:v>Excise Taxes Included in Sales</x:v>
          </x:cell>
        </x:row>
        <x:row r="146">
          <x:cell r="A146" t="str">
            <x:v>Current Domestic Taxes</x:v>
          </x:cell>
          <x:cell r="B146" t="str">
            <x:v>Current Domestic Taxes</x:v>
          </x:cell>
        </x:row>
        <x:row r="147">
          <x:cell r="A147" t="str">
            <x:v>Current Foreign Taxes</x:v>
          </x:cell>
          <x:cell r="B147" t="str">
            <x:v>Current Foreign Taxes</x:v>
          </x:cell>
        </x:row>
        <x:row r="148">
          <x:cell r="A148" t="str">
            <x:v>Total Current Taxes</x:v>
          </x:cell>
          <x:cell r="B148" t="str">
            <x:v>Total Current Taxes</x:v>
          </x:cell>
        </x:row>
        <x:row r="149">
          <x:cell r="A149" t="str">
            <x:v>Deferred Domestic Taxes</x:v>
          </x:cell>
          <x:cell r="B149" t="str">
            <x:v>Deferred Domestic Taxes</x:v>
          </x:cell>
        </x:row>
        <x:row r="150">
          <x:cell r="A150" t="str">
            <x:v>Deferred Foreign Taxes</x:v>
          </x:cell>
          <x:cell r="B150" t="str">
            <x:v>Deferred Foreign Taxes</x:v>
          </x:cell>
        </x:row>
        <x:row r="151">
          <x:cell r="A151" t="str">
            <x:v>Total Deferred Taxes</x:v>
          </x:cell>
          <x:cell r="B151" t="str">
            <x:v>Total Deferred Taxes</x:v>
          </x:cell>
        </x:row>
        <x:row r="152">
          <x:cell r="A152" t="str">
            <x:v>Non-Recurring Income Taxes</x:v>
          </x:cell>
          <x:cell r="B152" t="str">
            <x:v>Non-Recurring Income Taxes</x:v>
          </x:cell>
        </x:row>
        <x:row r="153">
          <x:cell r="A153" t="str">
            <x:v>Normalized Net Income</x:v>
          </x:cell>
          <x:cell r="B153" t="str">
            <x:v>Normalized Net Income</x:v>
          </x:cell>
        </x:row>
        <x:row r="154">
          <x:cell r="A154" t="str">
            <x:v>Diluted Net Income</x:v>
          </x:cell>
          <x:cell r="B154" t="str">
            <x:v>Diluted Net Income</x:v>
          </x:cell>
        </x:row>
        <x:row r="155">
          <x:cell r="A155" t="str">
            <x:v>Interest Capitalized</x:v>
          </x:cell>
          <x:cell r="B155" t="str">
            <x:v>Interest Capitalized</x:v>
          </x:cell>
        </x:row>
        <x:row r="156">
          <x:cell r="A156" t="str">
            <x:v>Interest On Long Term Debt</x:v>
          </x:cell>
          <x:cell r="B156" t="str">
            <x:v>Interest On Long Term Debt</x:v>
          </x:cell>
        </x:row>
        <x:row r="157">
          <x:cell r="A157" t="str">
            <x:v>Interest Expenses On Lease Liability/Debt</x:v>
          </x:cell>
          <x:cell r="B157" t="str">
            <x:v>Interest Expenses On Lease Liability/Debt</x:v>
          </x:cell>
        </x:row>
        <x:row r="158">
          <x:cell r="A158" t="str">
            <x:v>Interest Expense (Incl. Cap. Interest)</x:v>
          </x:cell>
          <x:cell r="B158" t="str">
            <x:v>Interest Expense (Incl. Cap. Interest)</x:v>
          </x:cell>
        </x:row>
        <x:row r="159">
          <x:cell r="A159" t="str">
            <x:v>Non-Cash Pension Expense</x:v>
          </x:cell>
          <x:cell r="B159" t="str">
            <x:v>Non-Cash Pension Expense</x:v>
          </x:cell>
        </x:row>
        <x:row r="160">
          <x:cell r="A160" t="str">
            <x:v>D&amp;A For EBITDA</x:v>
          </x:cell>
          <x:cell r="B160" t="str">
            <x:v>D&amp;A For EBITDA</x:v>
          </x:cell>
        </x:row>
        <x:row r="161">
          <x:cell r="A161" t="str">
            <x:v>Distributable Cash</x:v>
          </x:cell>
          <x:cell r="B161" t="str">
            <x:v>Distributable Cash</x:v>
          </x:cell>
        </x:row>
        <x:row r="162">
          <x:cell r="A162" t="str">
            <x:v>Standardized Distributable Cash</x:v>
          </x:cell>
          <x:cell r="B162" t="str">
            <x:v>Standardized Distributable Cash</x:v>
          </x:cell>
        </x:row>
        <x:row r="163">
          <x:cell r="A163" t="str">
            <x:v>Distributable Cash Shares (Basic)</x:v>
          </x:cell>
          <x:cell r="B163" t="str">
            <x:v>Distributable Cash Shares (Basic)</x:v>
          </x:cell>
        </x:row>
        <x:row r="164">
          <x:cell r="A164" t="str">
            <x:v>Distributable Cash Shares (Diluted)</x:v>
          </x:cell>
          <x:cell r="B164" t="str">
            <x:v>Distributable Cash Shares (Diluted)</x:v>
          </x:cell>
        </x:row>
        <x:row r="165">
          <x:cell r="A165" t="str">
            <x:v>Annualized Distributions per Unit</x:v>
          </x:cell>
          <x:cell r="B165" t="str">
            <x:v>Annualized Distributions per Unit</x:v>
          </x:cell>
        </x:row>
        <x:row r="166">
          <x:cell r="A166" t="str">
            <x:v>Distributable Cash Payout Ratio (Income Trusts)</x:v>
          </x:cell>
          <x:cell r="B166" t="str">
            <x:v>Distributable Cash Payout Ratio (Income Trusts)</x:v>
          </x:cell>
        </x:row>
        <x:row r="167">
          <x:cell r="A167" t="str">
            <x:v>Common Stock Dividend Declared</x:v>
          </x:cell>
          <x:cell r="B167" t="str">
            <x:v>Common Stock Dividend Declared</x:v>
          </x:cell>
        </x:row>
        <x:row r="168">
          <x:cell r="A168" t="str">
            <x:v>Effective Tax Rate (%)</x:v>
          </x:cell>
          <x:cell r="B168" t="str">
            <x:v>Effective Tax Rate (%)</x:v>
          </x:cell>
        </x:row>
        <x:row r="169">
          <x:cell r="A169" t="str">
            <x:v>Payout Ratio (%)</x:v>
          </x:cell>
          <x:cell r="B169" t="str">
            <x:v>Payout Ratio (%)</x:v>
          </x:cell>
        </x:row>
        <x:row r="170">
          <x:cell r="A170" t="str">
            <x:v>Debt Issuance Costs</x:v>
          </x:cell>
          <x:cell r="B170" t="str">
            <x:v>Debt Issuance Costs</x:v>
          </x:cell>
        </x:row>
        <x:row r="171">
          <x:cell r="A171" t="str">
            <x:v>Filing Currency</x:v>
          </x:cell>
          <x:cell r="B171" t="str">
            <x:v>Filing Currency</x:v>
          </x:cell>
        </x:row>
        <x:row r="172">
          <x:cell r="A172" t="str">
            <x:v>Period Length in Months</x:v>
          </x:cell>
          <x:cell r="B172" t="str">
            <x:v>Period Length in Months</x:v>
          </x:cell>
        </x:row>
        <x:row r="173">
          <x:cell r="A173" t="str">
            <x:v>Filing Date</x:v>
          </x:cell>
          <x:cell r="B173" t="str">
            <x:v>Filing Date</x:v>
          </x:cell>
        </x:row>
        <x:row r="174">
          <x:cell r="A174" t="str">
            <x:v>Period Date</x:v>
          </x:cell>
          <x:cell r="B174" t="str">
            <x:v>Period Date</x:v>
          </x:cell>
        </x:row>
        <x:row r="175">
          <x:cell r="A175" t="str">
            <x:v>Restatement Type</x:v>
          </x:cell>
          <x:cell r="B175" t="str">
            <x:v>Restatement Type</x:v>
          </x:cell>
        </x:row>
        <x:row r="176">
          <x:cell r="A176" t="str">
            <x:v>Calculation Type</x:v>
          </x:cell>
          <x:cell r="B176" t="str">
            <x:v>Calculation Type</x:v>
          </x:cell>
        </x:row>
        <x:row r="177">
          <x:cell r="A177" t="str">
            <x:v>Financial Accounting Standard</x:v>
          </x:cell>
          <x:cell r="B177" t="str">
            <x:v>Financial Accounting Standard</x:v>
          </x:cell>
        </x:row>
        <x:row r="178">
          <x:cell r="A178" t="str">
            <x:v>Supplemental Operating Expense Items</x:v>
          </x:cell>
          <x:cell r="B178" t="str">
            <x:v>Supplemental Operating Expense Items</x:v>
          </x:cell>
        </x:row>
        <x:row r="179">
          <x:cell r="A179" t="str">
            <x:v>Advertising</x:v>
          </x:cell>
          <x:cell r="B179" t="str">
            <x:v>Advertising</x:v>
          </x:cell>
        </x:row>
        <x:row r="180">
          <x:cell r="A180" t="str">
            <x:v>Marketing Expense</x:v>
          </x:cell>
          <x:cell r="B180" t="str">
            <x:v>Marketing Expense</x:v>
          </x:cell>
        </x:row>
        <x:row r="181">
          <x:cell r="A181" t="str">
            <x:v>Selling And Marketing Expense</x:v>
          </x:cell>
          <x:cell r="B181" t="str">
            <x:v>Selling And Marketing Expense</x:v>
          </x:cell>
        </x:row>
        <x:row r="182">
          <x:cell r="A182" t="str">
            <x:v>General and Administrative Expense</x:v>
          </x:cell>
          <x:cell r="B182" t="str">
            <x:v>General and Administrative Expense</x:v>
          </x:cell>
        </x:row>
        <x:row r="183">
          <x:cell r="A183" t="str">
            <x:v>R&amp;D Expense (footnotes)</x:v>
          </x:cell>
          <x:cell r="B183" t="str">
            <x:v>R&amp;D Expense (footnotes)</x:v>
          </x:cell>
        </x:row>
        <x:row r="184">
          <x:cell r="A184" t="str">
            <x:v>Net Rental Expense, Total</x:v>
          </x:cell>
          <x:cell r="B184" t="str">
            <x:v>Net Rental Expense, Total</x:v>
          </x:cell>
        </x:row>
        <x:row r="185">
          <x:cell r="A185" t="str">
            <x:v>Net Rental Expense</x:v>
          </x:cell>
          <x:cell r="B185" t="str">
            <x:v>Net Rental Expense</x:v>
          </x:cell>
        </x:row>
        <x:row r="186">
          <x:cell r="A186" t="str">
            <x:v>Net Rental Expense (Supple)</x:v>
          </x:cell>
          <x:cell r="B186" t="str">
            <x:v>Net Rental Expense (Supple)</x:v>
          </x:cell>
        </x:row>
        <x:row r="187">
          <x:cell r="A187" t="str">
            <x:v>Contingent Rental Expense</x:v>
          </x:cell>
          <x:cell r="B187" t="str">
            <x:v>Contingent Rental Expense</x:v>
          </x:cell>
        </x:row>
        <x:row r="188">
          <x:cell r="A188" t="str">
            <x:v>Minimum Rental Expense</x:v>
          </x:cell>
          <x:cell r="B188" t="str">
            <x:v>Minimum Rental Expense</x:v>
          </x:cell>
        </x:row>
        <x:row r="189">
          <x:cell r="A189" t="str">
            <x:v>Other Rental Expense</x:v>
          </x:cell>
          <x:cell r="B189" t="str">
            <x:v>Other Rental Expense</x:v>
          </x:cell>
        </x:row>
        <x:row r="190">
          <x:cell r="A190" t="str">
            <x:v>Aircraft Rental Expense</x:v>
          </x:cell>
          <x:cell r="B190" t="str">
            <x:v>Aircraft Rental Expense</x:v>
          </x:cell>
        </x:row>
        <x:row r="191">
          <x:cell r="A191" t="str">
            <x:v>Depreciation of Rental Assets</x:v>
          </x:cell>
          <x:cell r="B191" t="str">
            <x:v>Depreciation of Rental Assets</x:v>
          </x:cell>
        </x:row>
        <x:row r="192">
          <x:cell r="A192" t="str">
            <x:v>Exploration/Drilling Exp.</x:v>
          </x:cell>
          <x:cell r="B192" t="str">
            <x:v>Exploration/Drilling Exp.</x:v>
          </x:cell>
        </x:row>
        <x:row r="193">
          <x:cell r="A193" t="str">
            <x:v>Maintenance &amp; Repair Expenses</x:v>
          </x:cell>
          <x:cell r="B193" t="str">
            <x:v>Maintenance &amp; Repair Expenses</x:v>
          </x:cell>
        </x:row>
        <x:row r="194">
          <x:cell r="A194" t="str">
            <x:v>Imputed Oper. Lease Interest Exp</x:v>
          </x:cell>
          <x:cell r="B194" t="str">
            <x:v>Imputed Oper. Lease Interest Exp</x:v>
          </x:cell>
        </x:row>
        <x:row r="195">
          <x:cell r="A195" t="str">
            <x:v>Imputed Oper. Lease Depreciation</x:v>
          </x:cell>
          <x:cell r="B195" t="str">
            <x:v>Imputed Oper. Lease Depreciation</x:v>
          </x:cell>
        </x:row>
        <x:row r="196">
          <x:cell r="A196" t="str">
            <x:v>Restructuring Charges (Supple)</x:v>
          </x:cell>
          <x:cell r="B196" t="str">
            <x:v>Restructuring Charges (Supple)</x:v>
          </x:cell>
        </x:row>
        <x:row r="197">
          <x:cell r="A197" t="str">
            <x:v>Merger Expense (Supple)</x:v>
          </x:cell>
          <x:cell r="B197" t="str">
            <x:v>Merger Expense (Supple)</x:v>
          </x:cell>
        </x:row>
        <x:row r="198">
          <x:cell r="A198" t="str">
            <x:v>Impairment of Goodwill, Total (Supple)</x:v>
          </x:cell>
          <x:cell r="B198" t="str">
            <x:v>Impairment of Goodwill, Total (Supple)</x:v>
          </x:cell>
        </x:row>
        <x:row r="199">
          <x:cell r="A199" t="str">
            <x:v>Assets Writedown, Total (Supple)</x:v>
          </x:cell>
          <x:cell r="B199" t="str">
            <x:v>Assets Writedown, Total (Supple)</x:v>
          </x:cell>
        </x:row>
        <x:row r="200">
          <x:cell r="A200" t="str">
            <x:v>Gain on Bargain Acquisition</x:v>
          </x:cell>
          <x:cell r="B200" t="str">
            <x:v>Gain on Bargain Acquisition</x:v>
          </x:cell>
        </x:row>
        <x:row r="201">
          <x:cell r="A201" t="str">
            <x:v>Gain on Bargain Acquisition - Supple</x:v>
          </x:cell>
          <x:cell r="B201" t="str">
            <x:v>Gain on Bargain Acquisition - Supple</x:v>
          </x:cell>
        </x:row>
        <x:row r="202">
          <x:cell r="A202" t="str">
            <x:v>In Process R &amp; D Expenses (Supple)</x:v>
          </x:cell>
          <x:cell r="B202" t="str">
            <x:v>In Process R &amp; D Expenses (Supple)</x:v>
          </x:cell>
        </x:row>
        <x:row r="203">
          <x:cell r="A203" t="str">
            <x:v>Insurance Settlement (Supple)</x:v>
          </x:cell>
          <x:cell r="B203" t="str">
            <x:v>Insurance Settlement (Supple)</x:v>
          </x:cell>
        </x:row>
        <x:row r="204">
          <x:cell r="A204" t="str">
            <x:v>Legal Settlement (Supple)</x:v>
          </x:cell>
          <x:cell r="B204" t="str">
            <x:v>Legal Settlement (Supple)</x:v>
          </x:cell>
        </x:row>
        <x:row r="205">
          <x:cell r="A205" t="str">
            <x:v>Other Unusual Items (Supple)</x:v>
          </x:cell>
          <x:cell r="B205" t="str">
            <x:v>Other Unusual Items (Supple)</x:v>
          </x:cell>
        </x:row>
        <x:row r="206">
          <x:cell r="A206" t="str">
            <x:v>Unusual Items, Total (Supple)</x:v>
          </x:cell>
          <x:cell r="B206" t="str">
            <x:v>Unusual Items, Total (Supple)</x:v>
          </x:cell>
        </x:row>
        <x:row r="207">
          <x:cell r="A207" t="str">
            <x:v>Amortization of Negative Goodwill</x:v>
          </x:cell>
          <x:cell r="B207" t="str">
            <x:v>Amortization of Negative Goodwill</x:v>
          </x:cell>
        </x:row>
        <x:row r="208">
          <x:cell r="A208" t="str">
            <x:v>Amortization of Negative Goodwill - After Tax</x:v>
          </x:cell>
          <x:cell r="B208" t="str">
            <x:v>Amortization of Negative Goodwill - After Tax</x:v>
          </x:cell>
        </x:row>
        <x:row r="209">
          <x:cell r="A209" t="str">
            <x:v>Stock-Based Comp., COGS</x:v>
          </x:cell>
          <x:cell r="B209" t="str">
            <x:v>Stock-Based Comp., COGS</x:v>
          </x:cell>
        </x:row>
        <x:row r="210">
          <x:cell r="A210" t="str">
            <x:v>Stock-Based Comp., R&amp;D Exp</x:v>
          </x:cell>
          <x:cell r="B210" t="str">
            <x:v>Stock-Based Comp., R&amp;D Exp</x:v>
          </x:cell>
        </x:row>
        <x:row r="211">
          <x:cell r="A211" t="str">
            <x:v>Stock-Based Comp., S&amp;M Exp</x:v>
          </x:cell>
          <x:cell r="B211" t="str">
            <x:v>Stock-Based Comp., S&amp;M Exp</x:v>
          </x:cell>
        </x:row>
        <x:row r="212">
          <x:cell r="A212" t="str">
            <x:v>Stock-Based Comp., G&amp;A Exp</x:v>
          </x:cell>
          <x:cell r="B212" t="str">
            <x:v>Stock-Based Comp., G&amp;A Exp</x:v>
          </x:cell>
        </x:row>
        <x:row r="213">
          <x:cell r="A213" t="str">
            <x:v>Stock-Based Comp., SG&amp;A Exp</x:v>
          </x:cell>
          <x:cell r="B213" t="str">
            <x:v>Stock-Based Comp., SG&amp;A Exp</x:v>
          </x:cell>
        </x:row>
        <x:row r="214">
          <x:cell r="A214" t="str">
            <x:v>Stock-Based Comp. Exploration/Drilling Exp</x:v>
          </x:cell>
          <x:cell r="B214" t="str">
            <x:v>Stock-Based Comp. Exploration/Drilling Exp</x:v>
          </x:cell>
        </x:row>
        <x:row r="215">
          <x:cell r="A215" t="str">
            <x:v>Stock-Based Comp., Unallocated</x:v>
          </x:cell>
          <x:cell r="B215" t="str">
            <x:v>Stock-Based Comp., Unallocated</x:v>
          </x:cell>
        </x:row>
        <x:row r="216">
          <x:cell r="A216" t="str">
            <x:v>Stock-Based Comp., After-Tax</x:v>
          </x:cell>
          <x:cell r="B216" t="str">
            <x:v>Stock-Based Comp., After-Tax</x:v>
          </x:cell>
        </x:row>
        <x:row r="217">
          <x:cell r="A217" t="str">
            <x:v>Stock-Based Comp., Total</x:v>
          </x:cell>
          <x:cell r="B217" t="str">
            <x:v>Stock-Based Comp., Total</x:v>
          </x:cell>
        </x:row>
        <x:row r="218">
          <x:cell r="A218" t="str">
            <x:v>Salaries and Other Employee Benefits</x:v>
          </x:cell>
          <x:cell r="B218" t="str">
            <x:v>Salaries and Other Employee Benefits</x:v>
          </x:cell>
        </x:row>
        <x:row r="219">
          <x:cell r="A219" t="str">
            <x:v>ASSETS</x:v>
          </x:cell>
          <x:cell r="B219" t="str">
            <x:v>ASSETS</x:v>
          </x:cell>
        </x:row>
        <x:row r="220">
          <x:cell r="A220" t="str">
            <x:v>Cash And Equivalents</x:v>
          </x:cell>
          <x:cell r="B220" t="str">
            <x:v>Cash And Equivalents</x:v>
          </x:cell>
        </x:row>
        <x:row r="221">
          <x:cell r="A221" t="str">
            <x:v>Short Term Investments</x:v>
          </x:cell>
          <x:cell r="B221" t="str">
            <x:v>Short Term Investments</x:v>
          </x:cell>
        </x:row>
        <x:row r="222">
          <x:cell r="A222" t="str">
            <x:v>Trading Asset Securities</x:v>
          </x:cell>
          <x:cell r="B222" t="str">
            <x:v>Trading Asset Securities</x:v>
          </x:cell>
        </x:row>
        <x:row r="223">
          <x:cell r="A223" t="str">
            <x:v>Total Cash &amp; ST Investments</x:v>
          </x:cell>
          <x:cell r="B223" t="str">
            <x:v>Total Cash &amp; ST Investments</x:v>
          </x:cell>
        </x:row>
        <x:row r="224">
          <x:cell r="A224" t="str">
            <x:v>Accounts Receivable</x:v>
          </x:cell>
          <x:cell r="B224" t="str">
            <x:v>Accounts Receivable</x:v>
          </x:cell>
        </x:row>
        <x:row r="225">
          <x:cell r="A225" t="str">
            <x:v>Other Receivables</x:v>
          </x:cell>
          <x:cell r="B225" t="str">
            <x:v>Other Receivables</x:v>
          </x:cell>
        </x:row>
        <x:row r="226">
          <x:cell r="A226" t="str">
            <x:v>Notes Receivable</x:v>
          </x:cell>
          <x:cell r="B226" t="str">
            <x:v>Notes Receivable</x:v>
          </x:cell>
        </x:row>
        <x:row r="227">
          <x:cell r="A227" t="str">
            <x:v>Total Receivables</x:v>
          </x:cell>
          <x:cell r="B227" t="str">
            <x:v>Total Receivables</x:v>
          </x:cell>
        </x:row>
        <x:row r="228">
          <x:cell r="A228" t="str">
            <x:v>Inventory</x:v>
          </x:cell>
          <x:cell r="B228" t="str">
            <x:v>Inventory</x:v>
          </x:cell>
        </x:row>
        <x:row r="229">
          <x:cell r="A229" t="str">
            <x:v>Prepaid Exp.</x:v>
          </x:cell>
          <x:cell r="B229" t="str">
            <x:v>Prepaid Exp.</x:v>
          </x:cell>
        </x:row>
        <x:row r="230">
          <x:cell r="A230" t="str">
            <x:v>Finance Div. Loans and Leases, ST</x:v>
          </x:cell>
          <x:cell r="B230" t="str">
            <x:v>Finance Div. Loans and Leases, ST</x:v>
          </x:cell>
        </x:row>
        <x:row r="231">
          <x:cell r="A231" t="str">
            <x:v>Finance Div. Other Curr. Assets</x:v>
          </x:cell>
          <x:cell r="B231" t="str">
            <x:v>Finance Div. Other Curr. Assets</x:v>
          </x:cell>
        </x:row>
        <x:row r="232">
          <x:cell r="A232" t="str">
            <x:v>Loans Held For Sale</x:v>
          </x:cell>
          <x:cell r="B232" t="str">
            <x:v>Loans Held For Sale</x:v>
          </x:cell>
        </x:row>
        <x:row r="233">
          <x:cell r="A233" t="str">
            <x:v>Deferred Tax Assets, Curr.</x:v>
          </x:cell>
          <x:cell r="B233" t="str">
            <x:v>Deferred Tax Assets, Curr.</x:v>
          </x:cell>
        </x:row>
        <x:row r="234">
          <x:cell r="A234" t="str">
            <x:v>Restricted Cash</x:v>
          </x:cell>
          <x:cell r="B234" t="str">
            <x:v>Restricted Cash</x:v>
          </x:cell>
        </x:row>
        <x:row r="235">
          <x:cell r="A235" t="str">
            <x:v>Other Current Assets</x:v>
          </x:cell>
          <x:cell r="B235" t="str">
            <x:v>Other Current Assets</x:v>
          </x:cell>
        </x:row>
        <x:row r="236">
          <x:cell r="A236" t="str">
            <x:v>Total Current Assets</x:v>
          </x:cell>
          <x:cell r="B236" t="str">
            <x:v>Total Current Assets</x:v>
          </x:cell>
        </x:row>
        <x:row r="237">
          <x:cell r="A237" t="str">
            <x:v>Gross Property, Plant &amp; Equipment</x:v>
          </x:cell>
          <x:cell r="B237" t="str">
            <x:v>Gross Property, Plant &amp; Equipment</x:v>
          </x:cell>
        </x:row>
        <x:row r="238">
          <x:cell r="A238" t="str">
            <x:v>Accumulated Depreciation</x:v>
          </x:cell>
          <x:cell r="B238" t="str">
            <x:v>Accumulated Depreciation</x:v>
          </x:cell>
        </x:row>
        <x:row r="239">
          <x:cell r="A239" t="str">
            <x:v>Net Property, Plant &amp; Equipment</x:v>
          </x:cell>
          <x:cell r="B239" t="str">
            <x:v>Net Property, Plant &amp; Equipment</x:v>
          </x:cell>
        </x:row>
        <x:row r="240">
          <x:cell r="A240" t="str">
            <x:v>Long-term Investments</x:v>
          </x:cell>
          <x:cell r="B240" t="str">
            <x:v>Long-term Investments</x:v>
          </x:cell>
        </x:row>
        <x:row r="241">
          <x:cell r="A241" t="str">
            <x:v>Goodwill</x:v>
          </x:cell>
          <x:cell r="B241" t="str">
            <x:v>Goodwill</x:v>
          </x:cell>
        </x:row>
        <x:row r="242">
          <x:cell r="A242" t="str">
            <x:v>Other Intangibles</x:v>
          </x:cell>
          <x:cell r="B242" t="str">
            <x:v>Other Intangibles</x:v>
          </x:cell>
        </x:row>
        <x:row r="243">
          <x:cell r="A243" t="str">
            <x:v>Finance Div. Loans and Leases, LT</x:v>
          </x:cell>
          <x:cell r="B243" t="str">
            <x:v>Finance Div. Loans and Leases, LT</x:v>
          </x:cell>
        </x:row>
        <x:row r="244">
          <x:cell r="A244" t="str">
            <x:v>Finance Div. Other LT Assets</x:v>
          </x:cell>
          <x:cell r="B244" t="str">
            <x:v>Finance Div. Other LT Assets</x:v>
          </x:cell>
        </x:row>
        <x:row r="245">
          <x:cell r="A245" t="str">
            <x:v>Accounts Receivable Long-Term</x:v>
          </x:cell>
          <x:cell r="B245" t="str">
            <x:v>Accounts Receivable Long-Term</x:v>
          </x:cell>
        </x:row>
        <x:row r="246">
          <x:cell r="A246" t="str">
            <x:v>Loans Receivable Long-Term</x:v>
          </x:cell>
          <x:cell r="B246" t="str">
            <x:v>Loans Receivable Long-Term</x:v>
          </x:cell>
        </x:row>
        <x:row r="247">
          <x:cell r="A247" t="str">
            <x:v>Deferred Tax Assets, LT</x:v>
          </x:cell>
          <x:cell r="B247" t="str">
            <x:v>Deferred Tax Assets, LT</x:v>
          </x:cell>
        </x:row>
        <x:row r="248">
          <x:cell r="A248" t="str">
            <x:v>Deferred Charges, LT</x:v>
          </x:cell>
          <x:cell r="B248" t="str">
            <x:v>Deferred Charges, LT</x:v>
          </x:cell>
        </x:row>
        <x:row r="249">
          <x:cell r="A249" t="str">
            <x:v>Other Long-Term Assets</x:v>
          </x:cell>
          <x:cell r="B249" t="str">
            <x:v>Other Long-Term Assets</x:v>
          </x:cell>
        </x:row>
        <x:row r="250">
          <x:cell r="A250" t="str">
            <x:v>LIABILITIES</x:v>
          </x:cell>
          <x:cell r="B250" t="str">
            <x:v>LIABILITIES</x:v>
          </x:cell>
        </x:row>
        <x:row r="251">
          <x:cell r="A251" t="str">
            <x:v>Accounts Payable</x:v>
          </x:cell>
          <x:cell r="B251" t="str">
            <x:v>Accounts Payable</x:v>
          </x:cell>
        </x:row>
        <x:row r="252">
          <x:cell r="A252" t="str">
            <x:v>Accrued Exp.</x:v>
          </x:cell>
          <x:cell r="B252" t="str">
            <x:v>Accrued Exp.</x:v>
          </x:cell>
        </x:row>
        <x:row r="253">
          <x:cell r="A253" t="str">
            <x:v>Short-term Borrowings</x:v>
          </x:cell>
          <x:cell r="B253" t="str">
            <x:v>Short-term Borrowings</x:v>
          </x:cell>
        </x:row>
        <x:row r="254">
          <x:cell r="A254" t="str">
            <x:v>Current Portion of Long Term Debt</x:v>
          </x:cell>
          <x:cell r="B254" t="str">
            <x:v>Current Portion of Long Term Debt</x:v>
          </x:cell>
        </x:row>
        <x:row r="255">
          <x:cell r="A255" t="str">
            <x:v>Current Portion of Leases</x:v>
          </x:cell>
          <x:cell r="B255" t="str">
            <x:v>Current Portion of Leases</x:v>
          </x:cell>
        </x:row>
        <x:row r="256">
          <x:cell r="A256" t="str">
            <x:v>Finance Div. Debt Current</x:v>
          </x:cell>
          <x:cell r="B256" t="str">
            <x:v>Finance Div. Debt Current</x:v>
          </x:cell>
        </x:row>
        <x:row r="257">
          <x:cell r="A257" t="str">
            <x:v>Finance Div. Other Curr. Liab.</x:v>
          </x:cell>
          <x:cell r="B257" t="str">
            <x:v>Finance Div. Other Curr. Liab.</x:v>
          </x:cell>
        </x:row>
        <x:row r="258">
          <x:cell r="A258" t="str">
            <x:v>Curr. Income Taxes Payable</x:v>
          </x:cell>
          <x:cell r="B258" t="str">
            <x:v>Curr. Income Taxes Payable</x:v>
          </x:cell>
        </x:row>
        <x:row r="259">
          <x:cell r="A259" t="str">
            <x:v>Unearned Revenue, Current</x:v>
          </x:cell>
          <x:cell r="B259" t="str">
            <x:v>Unearned Revenue, Current</x:v>
          </x:cell>
        </x:row>
        <x:row r="260">
          <x:cell r="A260" t="str">
            <x:v>Def. Tax Liability, Curr.</x:v>
          </x:cell>
          <x:cell r="B260" t="str">
            <x:v>Def. Tax Liability, Curr.</x:v>
          </x:cell>
        </x:row>
        <x:row r="261">
          <x:cell r="A261" t="str">
            <x:v>Other Current Liabilities</x:v>
          </x:cell>
          <x:cell r="B261" t="str">
            <x:v>Other Current Liabilities</x:v>
          </x:cell>
        </x:row>
        <x:row r="262">
          <x:cell r="A262" t="str">
            <x:v>Total Current Liabilities</x:v>
          </x:cell>
          <x:cell r="B262" t="str">
            <x:v>Total Current Liabilities</x:v>
          </x:cell>
        </x:row>
        <x:row r="263">
          <x:cell r="A263" t="str">
            <x:v>Long-Term Debt</x:v>
          </x:cell>
          <x:cell r="B263" t="str">
            <x:v>Long-Term Debt</x:v>
          </x:cell>
        </x:row>
        <x:row r="264">
          <x:cell r="A264" t="str">
            <x:v>Long-Term Leases</x:v>
          </x:cell>
          <x:cell r="B264" t="str">
            <x:v>Long-Term Leases</x:v>
          </x:cell>
        </x:row>
        <x:row r="265">
          <x:cell r="A265" t="str">
            <x:v>Finance Div. Debt Non-Curr.</x:v>
          </x:cell>
          <x:cell r="B265" t="str">
            <x:v>Finance Div. Debt Non-Curr.</x:v>
          </x:cell>
        </x:row>
        <x:row r="266">
          <x:cell r="A266" t="str">
            <x:v>Finance Div. Other Non-Curr. Liab.</x:v>
          </x:cell>
          <x:cell r="B266" t="str">
            <x:v>Finance Div. Other Non-Curr. Liab.</x:v>
          </x:cell>
        </x:row>
        <x:row r="267">
          <x:cell r="A267" t="str">
            <x:v>Unearned Revenue, Non-Current</x:v>
          </x:cell>
          <x:cell r="B267" t="str">
            <x:v>Unearned Revenue, Non-Current</x:v>
          </x:cell>
        </x:row>
        <x:row r="268">
          <x:cell r="A268" t="str">
            <x:v>Pension &amp; Other Post-Retire. Benefits</x:v>
          </x:cell>
          <x:cell r="B268" t="str">
            <x:v>Pension &amp; Other Post-Retire. Benefits</x:v>
          </x:cell>
        </x:row>
        <x:row r="269">
          <x:cell r="A269" t="str">
            <x:v>Def. Tax Liability, Non-Curr.</x:v>
          </x:cell>
          <x:cell r="B269" t="str">
            <x:v>Def. Tax Liability, Non-Curr.</x:v>
          </x:cell>
        </x:row>
        <x:row r="270">
          <x:cell r="A270" t="str">
            <x:v>Other Non-Current Liabilities</x:v>
          </x:cell>
          <x:cell r="B270" t="str">
            <x:v>Other Non-Current Liabilities</x:v>
          </x:cell>
        </x:row>
        <x:row r="271">
          <x:cell r="A271" t="str">
            <x:v>Total Liabilities</x:v>
          </x:cell>
          <x:cell r="B271" t="str">
            <x:v>Total Liabilities</x:v>
          </x:cell>
        </x:row>
        <x:row r="272">
          <x:cell r="A272" t="str">
            <x:v>Pref. Stock, Redeemable</x:v>
          </x:cell>
          <x:cell r="B272" t="str">
            <x:v>Pref. Stock, Redeemable</x:v>
          </x:cell>
        </x:row>
        <x:row r="273">
          <x:cell r="A273" t="str">
            <x:v>Pref. Stock, Non-Redeem.</x:v>
          </x:cell>
          <x:cell r="B273" t="str">
            <x:v>Pref. Stock, Non-Redeem.</x:v>
          </x:cell>
        </x:row>
        <x:row r="274">
          <x:cell r="A274" t="str">
            <x:v>Pref. Stock, Convertible</x:v>
          </x:cell>
          <x:cell r="B274" t="str">
            <x:v>Pref. Stock, Convertible</x:v>
          </x:cell>
        </x:row>
        <x:row r="275">
          <x:cell r="A275" t="str">
            <x:v>Pref. Stock, Other</x:v>
          </x:cell>
          <x:cell r="B275" t="str">
            <x:v>Pref. Stock, Other</x:v>
          </x:cell>
        </x:row>
        <x:row r="276">
          <x:cell r="A276" t="str">
            <x:v>Total Pref. Equity</x:v>
          </x:cell>
          <x:cell r="B276" t="str">
            <x:v>Total Pref. Equity</x:v>
          </x:cell>
        </x:row>
        <x:row r="277">
          <x:cell r="A277" t="str">
            <x:v>Common Stock</x:v>
          </x:cell>
          <x:cell r="B277" t="str">
            <x:v>Common Stock</x:v>
          </x:cell>
        </x:row>
        <x:row r="278">
          <x:cell r="A278" t="str">
            <x:v>Additional Paid In Capital</x:v>
          </x:cell>
          <x:cell r="B278" t="str">
            <x:v>Additional Paid In Capital</x:v>
          </x:cell>
        </x:row>
        <x:row r="279">
          <x:cell r="A279" t="str">
            <x:v>Retained Earnings</x:v>
          </x:cell>
          <x:cell r="B279" t="str">
            <x:v>Retained Earnings</x:v>
          </x:cell>
        </x:row>
        <x:row r="280">
          <x:cell r="A280" t="str">
            <x:v>Treasury Stock</x:v>
          </x:cell>
          <x:cell r="B280" t="str">
            <x:v>Treasury Stock</x:v>
          </x:cell>
        </x:row>
        <x:row r="281">
          <x:cell r="A281" t="str">
            <x:v>Comprehensive Inc. and Other</x:v>
          </x:cell>
          <x:cell r="B281" t="str">
            <x:v>Comprehensive Inc. and Other</x:v>
          </x:cell>
        </x:row>
        <x:row r="282">
          <x:cell r="A282" t="str">
            <x:v>Total Common Equity</x:v>
          </x:cell>
          <x:cell r="B282" t="str">
            <x:v>Total Common Equity</x:v>
          </x:cell>
        </x:row>
        <x:row r="283">
          <x:cell r="A283" t="str">
            <x:v>Minority Interest</x:v>
          </x:cell>
          <x:cell r="B283" t="str">
            <x:v>Minority Interest</x:v>
          </x:cell>
        </x:row>
        <x:row r="284">
          <x:cell r="A284" t="str">
            <x:v>Total Equity</x:v>
          </x:cell>
          <x:cell r="B284" t="str">
            <x:v>Total Equity</x:v>
          </x:cell>
        </x:row>
        <x:row r="285">
          <x:cell r="A285" t="str">
            <x:v>Total Liabilities And Equity</x:v>
          </x:cell>
          <x:cell r="B285" t="str">
            <x:v>Total Liabilities And Equity</x:v>
          </x:cell>
        </x:row>
        <x:row r="286">
          <x:cell r="A286" t="str">
            <x:v>IFRS 16 / ASC 842 Items</x:v>
          </x:cell>
          <x:cell r="B286" t="str">
            <x:v>IFRS 16 / ASC 842 Items</x:v>
          </x:cell>
        </x:row>
        <x:row r="287">
          <x:cell r="A287" t="str">
            <x:v>Right-of-Use Asset-Gross</x:v>
          </x:cell>
          <x:cell r="B287" t="str">
            <x:v>Right-of-Use Asset-Gross</x:v>
          </x:cell>
        </x:row>
        <x:row r="288">
          <x:cell r="A288" t="str">
            <x:v>Right-of-Use Asset-Accumulated Depreciation</x:v>
          </x:cell>
          <x:cell r="B288" t="str">
            <x:v>Right-of-Use Asset-Accumulated Depreciation</x:v>
          </x:cell>
        </x:row>
        <x:row r="289">
          <x:cell r="A289" t="str">
            <x:v>Right-of-Use Asset-Net</x:v>
          </x:cell>
          <x:cell r="B289" t="str">
            <x:v>Right-of-Use Asset-Net</x:v>
          </x:cell>
        </x:row>
        <x:row r="290">
          <x:cell r="A290" t="str">
            <x:v>Right-of-Use Asset-Capital Lease-Gross</x:v>
          </x:cell>
          <x:cell r="B290" t="str">
            <x:v>Right-of-Use Asset-Capital Lease-Gross</x:v>
          </x:cell>
        </x:row>
        <x:row r="291">
          <x:cell r="A291" t="str">
            <x:v>Right-of-Use Asset-Capital Lease-Accumulated Depreciation</x:v>
          </x:cell>
          <x:cell r="B291" t="str">
            <x:v>Right-of-Use Asset-Capital Lease-Accumulated Depreciation</x:v>
          </x:cell>
        </x:row>
        <x:row r="292">
          <x:cell r="A292" t="str">
            <x:v>Right-of-Use Asset-Capital Lease-Net</x:v>
          </x:cell>
          <x:cell r="B292" t="str">
            <x:v>Right-of-Use Asset-Capital Lease-Net</x:v>
          </x:cell>
        </x:row>
        <x:row r="293">
          <x:cell r="A293" t="str">
            <x:v>Right-of-Use Asset-Operating Lease-Gross</x:v>
          </x:cell>
          <x:cell r="B293" t="str">
            <x:v>Right-of-Use Asset-Operating Lease-Gross</x:v>
          </x:cell>
        </x:row>
        <x:row r="294">
          <x:cell r="A294" t="str">
            <x:v>Right-of-Use Asset-Operating Lease-Accumulated Depreciation</x:v>
          </x:cell>
          <x:cell r="B294" t="str">
            <x:v>Right-of-Use Asset-Operating Lease-Accumulated Depreciation</x:v>
          </x:cell>
        </x:row>
        <x:row r="295">
          <x:cell r="A295" t="str">
            <x:v>Right-of-Use Asset-Operating Lease-Net</x:v>
          </x:cell>
          <x:cell r="B295" t="str">
            <x:v>Right-of-Use Asset-Operating Lease-Net</x:v>
          </x:cell>
        </x:row>
        <x:row r="296">
          <x:cell r="A296" t="str">
            <x:v>Gross PP&amp;E, Excl. Operating Leases</x:v>
          </x:cell>
          <x:cell r="B296" t="str">
            <x:v>Gross PP&amp;E, Excl. Operating Leases</x:v>
          </x:cell>
        </x:row>
        <x:row r="297">
          <x:cell r="A297" t="str">
            <x:v>Accumulated Depreciation, Excl. Operating Leases</x:v>
          </x:cell>
          <x:cell r="B297" t="str">
            <x:v>Accumulated Depreciation, Excl. Operating Leases</x:v>
          </x:cell>
        </x:row>
        <x:row r="298">
          <x:cell r="A298" t="str">
            <x:v>Net PP&amp;E, Excl. Operating Leases</x:v>
          </x:cell>
          <x:cell r="B298" t="str">
            <x:v>Net PP&amp;E, Excl. Operating Leases</x:v>
          </x:cell>
        </x:row>
        <x:row r="299">
          <x:cell r="A299" t="str">
            <x:v>Finance Leases, Current</x:v>
          </x:cell>
          <x:cell r="B299" t="str">
            <x:v>Finance Leases, Current</x:v>
          </x:cell>
        </x:row>
        <x:row r="300">
          <x:cell r="A300" t="str">
            <x:v>Finance Leases, Long Term</x:v>
          </x:cell>
          <x:cell r="B300" t="str">
            <x:v>Finance Leases, Long Term</x:v>
          </x:cell>
        </x:row>
        <x:row r="301">
          <x:cell r="A301" t="str">
            <x:v>Total Finance Leases</x:v>
          </x:cell>
          <x:cell r="B301" t="str">
            <x:v>Total Finance Leases</x:v>
          </x:cell>
        </x:row>
        <x:row r="302">
          <x:cell r="A302" t="str">
            <x:v>Current Portion of Operating Lease Liabilities</x:v>
          </x:cell>
          <x:cell r="B302" t="str">
            <x:v>Current Portion of Operating Lease Liabilities</x:v>
          </x:cell>
        </x:row>
        <x:row r="303">
          <x:cell r="A303" t="str">
            <x:v>Long-Term Portion of Operating Lease Liabilities</x:v>
          </x:cell>
          <x:cell r="B303" t="str">
            <x:v>Long-Term Portion of Operating Lease Liabilities</x:v>
          </x:cell>
        </x:row>
        <x:row r="304">
          <x:cell r="A304" t="str">
            <x:v>Total Operating Leases</x:v>
          </x:cell>
          <x:cell r="B304" t="str">
            <x:v>Total Operating Leases</x:v>
          </x:cell>
        </x:row>
        <x:row r="305">
          <x:cell r="A305" t="str">
            <x:v>Total Leases</x:v>
          </x:cell>
          <x:cell r="B305" t="str">
            <x:v>Total Leases</x:v>
          </x:cell>
        </x:row>
        <x:row r="306">
          <x:cell r="A306" t="str">
            <x:v>Current Financing Obligations, Excl. Operating Leases</x:v>
          </x:cell>
          <x:cell r="B306" t="str">
            <x:v>Current Financing Obligations, Excl. Operating Leases</x:v>
          </x:cell>
        </x:row>
        <x:row r="307">
          <x:cell r="A307" t="str">
            <x:v>Non-Current Financing Obligations Excl. Operating Leases</x:v>
          </x:cell>
          <x:cell r="B307" t="str">
            <x:v>Non-Current Financing Obligations Excl. Operating Leases</x:v>
          </x:cell>
        </x:row>
        <x:row r="308">
          <x:cell r="A308" t="str">
            <x:v>Total Debt, Excl. Operating Leases</x:v>
          </x:cell>
          <x:cell r="B308" t="str">
            <x:v>Total Debt, Excl. Operating Leases</x:v>
          </x:cell>
        </x:row>
        <x:row r="309">
          <x:cell r="A309" t="str">
            <x:v>Total Debt, Excl. Leases</x:v>
          </x:cell>
          <x:cell r="B309" t="str">
            <x:v>Total Debt, Excl. Leases</x:v>
          </x:cell>
        </x:row>
        <x:row r="310">
          <x:cell r="A310" t="str">
            <x:v>Total Shares Out. on Filing Cover</x:v>
          </x:cell>
          <x:cell r="B310" t="str">
            <x:v>Total Shares Out. on Filing Cover</x:v>
          </x:cell>
        </x:row>
        <x:row r="311">
          <x:cell r="A311" t="str">
            <x:v>Total Shares Out. on Balance Sheet Date</x:v>
          </x:cell>
          <x:cell r="B311" t="str">
            <x:v>Total Shares Out. on Balance Sheet Date</x:v>
          </x:cell>
        </x:row>
        <x:row r="312">
          <x:cell r="A312" t="str">
            <x:v>Book Value/Share</x:v>
          </x:cell>
          <x:cell r="B312" t="str">
            <x:v>Book Value/Share</x:v>
          </x:cell>
        </x:row>
        <x:row r="313">
          <x:cell r="A313" t="str">
            <x:v>Book Value/Share (Reported)</x:v>
          </x:cell>
          <x:cell r="B313" t="str">
            <x:v>Book Value/Share (Reported)</x:v>
          </x:cell>
        </x:row>
        <x:row r="314">
          <x:cell r="A314" t="str">
            <x:v>Tangible Book Value/Share</x:v>
          </x:cell>
          <x:cell r="B314" t="str">
            <x:v>Tangible Book Value/Share</x:v>
          </x:cell>
        </x:row>
        <x:row r="315">
          <x:cell r="A315" t="str">
            <x:v>Tangible Book Value Per Share (Reported)</x:v>
          </x:cell>
          <x:cell r="B315" t="str">
            <x:v>Tangible Book Value Per Share (Reported)</x:v>
          </x:cell>
        </x:row>
        <x:row r="316">
          <x:cell r="A316" t="str">
            <x:v>Tangible Book Value</x:v>
          </x:cell>
          <x:cell r="B316" t="str">
            <x:v>Tangible Book Value</x:v>
          </x:cell>
        </x:row>
        <x:row r="317">
          <x:cell r="A317" t="str">
            <x:v>Total Intangibles</x:v>
          </x:cell>
          <x:cell r="B317" t="str">
            <x:v>Total Intangibles</x:v>
          </x:cell>
        </x:row>
        <x:row r="318">
          <x:cell r="A318" t="str">
            <x:v>Cash per Share</x:v>
          </x:cell>
          <x:cell r="B318" t="str">
            <x:v>Cash per Share</x:v>
          </x:cell>
        </x:row>
        <x:row r="319">
          <x:cell r="A319" t="str">
            <x:v>Total Debt</x:v>
          </x:cell>
          <x:cell r="B319" t="str">
            <x:v>Total Debt</x:v>
          </x:cell>
        </x:row>
        <x:row r="320">
          <x:cell r="A320" t="str">
            <x:v>Total Debt Current</x:v>
          </x:cell>
          <x:cell r="B320" t="str">
            <x:v>Total Debt Current</x:v>
          </x:cell>
        </x:row>
        <x:row r="321">
          <x:cell r="A321" t="str">
            <x:v>Total Non-Current Debt</x:v>
          </x:cell>
          <x:cell r="B321" t="str">
            <x:v>Total Non-Current Debt</x:v>
          </x:cell>
        </x:row>
        <x:row r="322">
          <x:cell r="A322" t="str">
            <x:v>Net Debt</x:v>
          </x:cell>
          <x:cell r="B322" t="str">
            <x:v>Net Debt</x:v>
          </x:cell>
        </x:row>
        <x:row r="323">
          <x:cell r="A323" t="str">
            <x:v>Minority Interest, Total</x:v>
          </x:cell>
          <x:cell r="B323" t="str">
            <x:v>Minority Interest, Total</x:v>
          </x:cell>
        </x:row>
        <x:row r="324">
          <x:cell r="A324" t="str">
            <x:v>Total Capitalization</x:v>
          </x:cell>
          <x:cell r="B324" t="str">
            <x:v>Total Capitalization</x:v>
          </x:cell>
        </x:row>
        <x:row r="325">
          <x:cell r="A325" t="str">
            <x:v>Working Capital</x:v>
          </x:cell>
          <x:cell r="B325" t="str">
            <x:v>Working Capital</x:v>
          </x:cell>
        </x:row>
        <x:row r="326">
          <x:cell r="A326" t="str">
            <x:v>Net Working Capital</x:v>
          </x:cell>
          <x:cell r="B326" t="str">
            <x:v>Net Working Capital</x:v>
          </x:cell>
        </x:row>
        <x:row r="327">
          <x:cell r="A327" t="str">
            <x:v>Equity Method Investments</x:v>
          </x:cell>
          <x:cell r="B327" t="str">
            <x:v>Equity Method Investments</x:v>
          </x:cell>
        </x:row>
        <x:row r="328">
          <x:cell r="A328" t="str">
            <x:v>Accounts Receivables - Unbilled</x:v>
          </x:cell>
          <x:cell r="B328" t="str">
            <x:v>Accounts Receivables - Unbilled</x:v>
          </x:cell>
        </x:row>
        <x:row r="329">
          <x:cell r="A329" t="str">
            <x:v>Inventory Method</x:v>
          </x:cell>
          <x:cell r="B329" t="str">
            <x:v>Inventory Method</x:v>
          </x:cell>
        </x:row>
        <x:row r="330">
          <x:cell r="A330" t="str">
            <x:v>LIFO Reserve</x:v>
          </x:cell>
          <x:cell r="B330" t="str">
            <x:v>LIFO Reserve</x:v>
          </x:cell>
        </x:row>
        <x:row r="331">
          <x:cell r="A331" t="str">
            <x:v>Raw Materials Inventory</x:v>
          </x:cell>
          <x:cell r="B331" t="str">
            <x:v>Raw Materials Inventory</x:v>
          </x:cell>
        </x:row>
        <x:row r="332">
          <x:cell r="A332" t="str">
            <x:v>Work in Progress Inventory</x:v>
          </x:cell>
          <x:cell r="B332" t="str">
            <x:v>Work in Progress Inventory</x:v>
          </x:cell>
        </x:row>
        <x:row r="333">
          <x:cell r="A333" t="str">
            <x:v>Finished Goods Inventory</x:v>
          </x:cell>
          <x:cell r="B333" t="str">
            <x:v>Finished Goods Inventory</x:v>
          </x:cell>
        </x:row>
        <x:row r="334">
          <x:cell r="A334" t="str">
            <x:v>Other Inventory Accounts</x:v>
          </x:cell>
          <x:cell r="B334" t="str">
            <x:v>Other Inventory Accounts</x:v>
          </x:cell>
        </x:row>
        <x:row r="335">
          <x:cell r="A335" t="str">
            <x:v>Land</x:v>
          </x:cell>
          <x:cell r="B335" t="str">
            <x:v>Land</x:v>
          </x:cell>
        </x:row>
        <x:row r="336">
          <x:cell r="A336" t="str">
            <x:v>Buildings</x:v>
          </x:cell>
          <x:cell r="B336" t="str">
            <x:v>Buildings</x:v>
          </x:cell>
        </x:row>
        <x:row r="337">
          <x:cell r="A337" t="str">
            <x:v>Machinery</x:v>
          </x:cell>
          <x:cell r="B337" t="str">
            <x:v>Machinery</x:v>
          </x:cell>
        </x:row>
        <x:row r="338">
          <x:cell r="A338" t="str">
            <x:v>Capitalized/Purchased Software</x:v>
          </x:cell>
          <x:cell r="B338" t="str">
            <x:v>Capitalized/Purchased Software</x:v>
          </x:cell>
        </x:row>
        <x:row r="339">
          <x:cell r="A339" t="str">
            <x:v>Natural Resources, at Cost</x:v>
          </x:cell>
          <x:cell r="B339" t="str">
            <x:v>Natural Resources, at Cost</x:v>
          </x:cell>
        </x:row>
        <x:row r="340">
          <x:cell r="A340" t="str">
            <x:v>Construction in Progress</x:v>
          </x:cell>
          <x:cell r="B340" t="str">
            <x:v>Construction in Progress</x:v>
          </x:cell>
        </x:row>
        <x:row r="341">
          <x:cell r="A341" t="str">
            <x:v>Leasehold Improvements</x:v>
          </x:cell>
          <x:cell r="B341" t="str">
            <x:v>Leasehold Improvements</x:v>
          </x:cell>
        </x:row>
        <x:row r="342">
          <x:cell r="A342" t="str">
            <x:v>Redeemable Minority Interest</x:v>
          </x:cell>
          <x:cell r="B342" t="str">
            <x:v>Redeemable Minority Interest</x:v>
          </x:cell>
        </x:row>
        <x:row r="343">
          <x:cell r="A343" t="str">
            <x:v>Finance Division Redeemable Minority Interest</x:v>
          </x:cell>
          <x:cell r="B343" t="str">
            <x:v>Finance Division Redeemable Minority Interest</x:v>
          </x:cell>
        </x:row>
        <x:row r="344">
          <x:cell r="A344" t="str">
            <x:v>Total Redeemable Minority Interest</x:v>
          </x:cell>
          <x:cell r="B344" t="str">
            <x:v>Total Redeemable Minority Interest</x:v>
          </x:cell>
        </x:row>
        <x:row r="345">
          <x:cell r="A345" t="str">
            <x:v>Finance Division Minority Interest</x:v>
          </x:cell>
          <x:cell r="B345" t="str">
            <x:v>Finance Division Minority Interest</x:v>
          </x:cell>
        </x:row>
        <x:row r="346">
          <x:cell r="A346" t="str">
            <x:v>Deferred Tax Valuation Allowance</x:v>
          </x:cell>
          <x:cell r="B346" t="str">
            <x:v>Deferred Tax Valuation Allowance</x:v>
          </x:cell>
        </x:row>
        <x:row r="347">
          <x:cell r="A347" t="str">
            <x:v>General Partner - Common Equity</x:v>
          </x:cell>
          <x:cell r="B347" t="str">
            <x:v>General Partner - Common Equity</x:v>
          </x:cell>
        </x:row>
        <x:row r="348">
          <x:cell r="A348" t="str">
            <x:v>General Partner - Preferred Equity</x:v>
          </x:cell>
          <x:cell r="B348" t="str">
            <x:v>General Partner - Preferred Equity</x:v>
          </x:cell>
        </x:row>
        <x:row r="349">
          <x:cell r="A349" t="str">
            <x:v>General Partner - Minority Interest</x:v>
          </x:cell>
          <x:cell r="B349" t="str">
            <x:v>General Partner - Minority Interest</x:v>
          </x:cell>
        </x:row>
        <x:row r="350">
          <x:cell r="A350" t="str">
            <x:v>General Partner Interest (Supple)</x:v>
          </x:cell>
          <x:cell r="B350" t="str">
            <x:v>General Partner Interest (Supple)</x:v>
          </x:cell>
        </x:row>
        <x:row r="351">
          <x:cell r="A351" t="str">
            <x:v>Liquidation Value of Preferred Stock -Convertable</x:v>
          </x:cell>
          <x:cell r="B351" t="str">
            <x:v>Liquidation Value of Preferred Stock -Convertable</x:v>
          </x:cell>
        </x:row>
        <x:row r="352">
          <x:cell r="A352" t="str">
            <x:v>Liquidation Value of Preferred Stock -Non-Redeemable</x:v>
          </x:cell>
          <x:cell r="B352" t="str">
            <x:v>Liquidation Value of Preferred Stock -Non-Redeemable</x:v>
          </x:cell>
        </x:row>
        <x:row r="353">
          <x:cell r="A353" t="str">
            <x:v>Liquidation Value of Preferred Stock -Redeemable</x:v>
          </x:cell>
          <x:cell r="B353" t="str">
            <x:v>Liquidation Value of Preferred Stock -Redeemable</x:v>
          </x:cell>
        </x:row>
        <x:row r="354">
          <x:cell r="A354" t="str">
            <x:v>Level 1 Assets - Quoted Prices</x:v>
          </x:cell>
          <x:cell r="B354" t="str">
            <x:v>Level 1 Assets - Quoted Prices</x:v>
          </x:cell>
        </x:row>
        <x:row r="355">
          <x:cell r="A355" t="str">
            <x:v>Level 2 Assets - Observable Prices</x:v>
          </x:cell>
          <x:cell r="B355" t="str">
            <x:v>Level 2 Assets - Observable Prices</x:v>
          </x:cell>
        </x:row>
        <x:row r="356">
          <x:cell r="A356" t="str">
            <x:v>Level 3 Assets - Unobservable Prices</x:v>
          </x:cell>
          <x:cell r="B356" t="str">
            <x:v>Level 3 Assets - Unobservable Prices</x:v>
          </x:cell>
        </x:row>
        <x:row r="357">
          <x:cell r="A357" t="str">
            <x:v>Netting and Other Adjustments to Assets</x:v>
          </x:cell>
          <x:cell r="B357" t="str">
            <x:v>Netting and Other Adjustments to Assets</x:v>
          </x:cell>
        </x:row>
        <x:row r="358">
          <x:cell r="A358" t="str">
            <x:v>Fair Value of Assets</x:v>
          </x:cell>
          <x:cell r="B358" t="str">
            <x:v>Fair Value of Assets</x:v>
          </x:cell>
        </x:row>
        <x:row r="359">
          <x:cell r="A359" t="str">
            <x:v>Level 1 Liabilities - Quoted Prices</x:v>
          </x:cell>
          <x:cell r="B359" t="str">
            <x:v>Level 1 Liabilities - Quoted Prices</x:v>
          </x:cell>
        </x:row>
        <x:row r="360">
          <x:cell r="A360" t="str">
            <x:v>Level 2 Liabilities - Observable Prices</x:v>
          </x:cell>
          <x:cell r="B360" t="str">
            <x:v>Level 2 Liabilities - Observable Prices</x:v>
          </x:cell>
        </x:row>
        <x:row r="361">
          <x:cell r="A361" t="str">
            <x:v>Level 3 Liabilities - Unobservable Prices</x:v>
          </x:cell>
          <x:cell r="B361" t="str">
            <x:v>Level 3 Liabilities - Unobservable Prices</x:v>
          </x:cell>
        </x:row>
        <x:row r="362">
          <x:cell r="A362" t="str">
            <x:v>Netting and Other Adjustments to Liabilities</x:v>
          </x:cell>
          <x:cell r="B362" t="str">
            <x:v>Netting and Other Adjustments to Liabilities</x:v>
          </x:cell>
        </x:row>
        <x:row r="363">
          <x:cell r="A363" t="str">
            <x:v>Fair Value of Liabilities</x:v>
          </x:cell>
          <x:cell r="B363" t="str">
            <x:v>Fair Value of Liabilities</x:v>
          </x:cell>
        </x:row>
        <x:row r="364">
          <x:cell r="A364" t="str">
            <x:v>Fair Value Change Included in Earnings</x:v>
          </x:cell>
          <x:cell r="B364" t="str">
            <x:v>Fair Value Change Included in Earnings</x:v>
          </x:cell>
        </x:row>
        <x:row r="365">
          <x:cell r="A365" t="str">
            <x:v>Full Time Employees</x:v>
          </x:cell>
          <x:cell r="B365" t="str">
            <x:v>Full Time Employees</x:v>
          </x:cell>
        </x:row>
        <x:row r="366">
          <x:cell r="A366" t="str">
            <x:v>Part Time Employees</x:v>
          </x:cell>
          <x:cell r="B366" t="str">
            <x:v>Part Time Employees</x:v>
          </x:cell>
        </x:row>
        <x:row r="367">
          <x:cell r="A367" t="str">
            <x:v>Total Employees</x:v>
          </x:cell>
          <x:cell r="B367" t="str">
            <x:v>Total Employees</x:v>
          </x:cell>
        </x:row>
        <x:row r="368">
          <x:cell r="A368" t="str">
            <x:v>Employees Under Union Contracts</x:v>
          </x:cell>
          <x:cell r="B368" t="str">
            <x:v>Employees Under Union Contracts</x:v>
          </x:cell>
        </x:row>
        <x:row r="369">
          <x:cell r="A369" t="str">
            <x:v>Avg Employees</x:v>
          </x:cell>
          <x:cell r="B369" t="str">
            <x:v>Avg Employees</x:v>
          </x:cell>
        </x:row>
        <x:row r="370">
          <x:cell r="A370" t="str">
            <x:v>Temporary/Seasonal Employees</x:v>
          </x:cell>
          <x:cell r="B370" t="str">
            <x:v>Temporary/Seasonal Employees</x:v>
          </x:cell>
        </x:row>
        <x:row r="371">
          <x:cell r="A371" t="str">
            <x:v>Number Of ADR Holders</x:v>
          </x:cell>
          <x:cell r="B371" t="str">
            <x:v>Number Of ADR Holders</x:v>
          </x:cell>
        </x:row>
        <x:row r="372">
          <x:cell r="A372" t="str">
            <x:v>Finance Division Short-term Debt, Total</x:v>
          </x:cell>
          <x:cell r="B372" t="str">
            <x:v>Finance Division Short-term Debt, Total</x:v>
          </x:cell>
        </x:row>
        <x:row r="373">
          <x:cell r="A373" t="str">
            <x:v>Finance Division Long-term Debt, Total</x:v>
          </x:cell>
          <x:cell r="B373" t="str">
            <x:v>Finance Division Long-term Debt, Total</x:v>
          </x:cell>
        </x:row>
        <x:row r="374">
          <x:cell r="A374" t="str">
            <x:v>Finance Division Debt, Total</x:v>
          </x:cell>
          <x:cell r="B374" t="str">
            <x:v>Finance Division Debt, Total</x:v>
          </x:cell>
        </x:row>
        <x:row r="375">
          <x:cell r="A375" t="str">
            <x:v>Finance Division Cash and Equivalents</x:v>
          </x:cell>
          <x:cell r="B375" t="str">
            <x:v>Finance Division Cash and Equivalents</x:v>
          </x:cell>
        </x:row>
        <x:row r="376">
          <x:cell r="A376" t="str">
            <x:v>Finance Division Short-Term Investments</x:v>
          </x:cell>
          <x:cell r="B376" t="str">
            <x:v>Finance Division Short-Term Investments</x:v>
          </x:cell>
        </x:row>
        <x:row r="377">
          <x:cell r="A377" t="str">
            <x:v>Debt Equiv. of Unfunded Proj. Benefit Obligation</x:v>
          </x:cell>
          <x:cell r="B377" t="str">
            <x:v>Debt Equiv. of Unfunded Proj. Benefit Obligation</x:v>
          </x:cell>
        </x:row>
        <x:row r="378">
          <x:cell r="A378" t="str">
            <x:v>Debt Equivalent Oper. Leases</x:v>
          </x:cell>
          <x:cell r="B378" t="str">
            <x:v>Debt Equivalent Oper. Leases</x:v>
          </x:cell>
        </x:row>
        <x:row r="379">
          <x:cell r="A379" t="str">
            <x:v>Cost of Borrowing</x:v>
          </x:cell>
          <x:cell r="B379" t="str">
            <x:v>Cost of Borrowing</x:v>
          </x:cell>
        </x:row>
        <x:row r="380">
          <x:cell r="A380" t="str">
            <x:v>Restricted Cash (Non-Current)</x:v>
          </x:cell>
          <x:cell r="B380" t="str">
            <x:v>Restricted Cash (Non-Current)</x:v>
          </x:cell>
        </x:row>
        <x:row r="381">
          <x:cell r="A381" t="str">
            <x:v>Total Restricted Cash</x:v>
          </x:cell>
          <x:cell r="B381" t="str">
            <x:v>Total Restricted Cash</x:v>
          </x:cell>
        </x:row>
        <x:row r="382">
          <x:cell r="A382" t="str">
            <x:v>Total Debt (Excl.Fin.Div.Debt)</x:v>
          </x:cell>
          <x:cell r="B382" t="str">
            <x:v>Total Debt (Excl.Fin.Div.Debt)</x:v>
          </x:cell>
        </x:row>
        <x:row r="383">
          <x:cell r="A383" t="str">
            <x:v>Order Backlog</x:v>
          </x:cell>
          <x:cell r="B383" t="str">
            <x:v>Order Backlog</x:v>
          </x:cell>
        </x:row>
        <x:row r="384">
          <x:cell r="A384" t="str">
            <x:v>Contingent Liabilities</x:v>
          </x:cell>
          <x:cell r="B384" t="str">
            <x:v>Contingent Liabilities</x:v>
          </x:cell>
        </x:row>
        <x:row r="385">
          <x:cell r="A385" t="str">
            <x:v>Warranty Liabilities</x:v>
          </x:cell>
          <x:cell r="B385" t="str">
            <x:v>Warranty Liabilities</x:v>
          </x:cell>
        </x:row>
        <x:row r="386">
          <x:cell r="A386" t="str">
            <x:v>Short-Term Borrowing Derivatives</x:v>
          </x:cell>
          <x:cell r="B386" t="str">
            <x:v>Short-Term Borrowing Derivatives</x:v>
          </x:cell>
        </x:row>
        <x:row r="387">
          <x:cell r="A387" t="str">
            <x:v>Curr. Port. of LT Debt Derivatives</x:v>
          </x:cell>
          <x:cell r="B387" t="str">
            <x:v>Curr. Port. of LT Debt Derivatives</x:v>
          </x:cell>
        </x:row>
        <x:row r="388">
          <x:cell r="A388" t="str">
            <x:v>Long-Term Debt Derivatives</x:v>
          </x:cell>
          <x:cell r="B388" t="str">
            <x:v>Long-Term Debt Derivatives</x:v>
          </x:cell>
        </x:row>
        <x:row r="389">
          <x:cell r="A389" t="str">
            <x:v>Current Derivative Liabilities</x:v>
          </x:cell>
          <x:cell r="B389" t="str">
            <x:v>Current Derivative Liabilities</x:v>
          </x:cell>
        </x:row>
        <x:row r="390">
          <x:cell r="A390" t="str">
            <x:v>Non-Current Derivative Liabilities</x:v>
          </x:cell>
          <x:cell r="B390" t="str">
            <x:v>Non-Current Derivative Liabilities</x:v>
          </x:cell>
        </x:row>
        <x:row r="391">
          <x:cell r="A391" t="str">
            <x:v>Derivative Trading Asset Securities</x:v>
          </x:cell>
          <x:cell r="B391" t="str">
            <x:v>Derivative Trading Asset Securities</x:v>
          </x:cell>
        </x:row>
        <x:row r="392">
          <x:cell r="A392" t="str">
            <x:v>Current Derivative Assets</x:v>
          </x:cell>
          <x:cell r="B392" t="str">
            <x:v>Current Derivative Assets</x:v>
          </x:cell>
        </x:row>
        <x:row r="393">
          <x:cell r="A393" t="str">
            <x:v>Long-Term Derivative Assets</x:v>
          </x:cell>
          <x:cell r="B393" t="str">
            <x:v>Long-Term Derivative Assets</x:v>
          </x:cell>
        </x:row>
        <x:row r="394">
          <x:cell r="A394" t="str">
            <x:v>Gross Intangible Assets</x:v>
          </x:cell>
          <x:cell r="B394" t="str">
            <x:v>Gross Intangible Assets</x:v>
          </x:cell>
        </x:row>
        <x:row r="395">
          <x:cell r="A395" t="str">
            <x:v>Accumulated Amortization of Intangible Assets</x:v>
          </x:cell>
          <x:cell r="B395" t="str">
            <x:v>Accumulated Amortization of Intangible Assets</x:v>
          </x:cell>
        </x:row>
        <x:row r="396">
          <x:cell r="A396" t="str">
            <x:v>Gross Goodwill</x:v>
          </x:cell>
          <x:cell r="B396" t="str">
            <x:v>Gross Goodwill</x:v>
          </x:cell>
        </x:row>
        <x:row r="397">
          <x:cell r="A397" t="str">
            <x:v>Accumulated Amortization of Goodwill</x:v>
          </x:cell>
          <x:cell r="B397" t="str">
            <x:v>Accumulated Amortization of Goodwill</x:v>
          </x:cell>
        </x:row>
        <x:row r="398">
          <x:cell r="A398" t="str">
            <x:v>Long Term Marketable Securities</x:v>
          </x:cell>
          <x:cell r="B398" t="str">
            <x:v>Long Term Marketable Securities</x:v>
          </x:cell>
        </x:row>
        <x:row r="399">
          <x:cell r="A399" t="str">
            <x:v>Advances for Supplies</x:v>
          </x:cell>
          <x:cell r="B399" t="str">
            <x:v>Advances for Supplies</x:v>
          </x:cell>
        </x:row>
        <x:row r="400">
          <x:cell r="A400" t="str">
            <x:v>Goodwill and Intangibles (Net)</x:v>
          </x:cell>
          <x:cell r="B400" t="str">
            <x:v>Goodwill and Intangibles (Net)</x:v>
          </x:cell>
        </x:row>
        <x:row r="401">
          <x:cell r="A401" t="str">
            <x:v>Goodwill (Net)</x:v>
          </x:cell>
          <x:cell r="B401" t="str">
            <x:v>Goodwill (Net)</x:v>
          </x:cell>
        </x:row>
        <x:row r="402">
          <x:cell r="A402" t="str">
            <x:v>Intangibles (Net)</x:v>
          </x:cell>
          <x:cell r="B402" t="str">
            <x:v>Intangibles (Net)</x:v>
          </x:cell>
        </x:row>
        <x:row r="403">
          <x:cell r="A403" t="str">
            <x:v>Intercompany Current Assets</x:v>
          </x:cell>
          <x:cell r="B403" t="str">
            <x:v>Intercompany Current Assets</x:v>
          </x:cell>
        </x:row>
        <x:row r="404">
          <x:cell r="A404" t="str">
            <x:v>Intercompany Non-Current Assets</x:v>
          </x:cell>
          <x:cell r="B404" t="str">
            <x:v>Intercompany Non-Current Assets</x:v>
          </x:cell>
        </x:row>
        <x:row r="405">
          <x:cell r="A405" t="str">
            <x:v>Intercompany Current Liabilities</x:v>
          </x:cell>
          <x:cell r="B405" t="str">
            <x:v>Intercompany Current Liabilities</x:v>
          </x:cell>
        </x:row>
        <x:row r="406">
          <x:cell r="A406" t="str">
            <x:v>Intercompany Non-Current Liabilities</x:v>
          </x:cell>
          <x:cell r="B406" t="str">
            <x:v>Intercompany Non-Current Liabilities</x:v>
          </x:cell>
        </x:row>
        <x:row r="407">
          <x:cell r="A407" t="str">
            <x:v>Depreciation &amp; Amort., Total</x:v>
          </x:cell>
          <x:cell r="B407" t="str">
            <x:v>Depreciation &amp; Amort., Total</x:v>
          </x:cell>
        </x:row>
        <x:row r="408">
          <x:cell r="A408" t="str">
            <x:v>Other Amortization</x:v>
          </x:cell>
          <x:cell r="B408" t="str">
            <x:v>Other Amortization</x:v>
          </x:cell>
        </x:row>
        <x:row r="409">
          <x:cell r="A409" t="str">
            <x:v>(Gain) Loss From Sale Of Asset</x:v>
          </x:cell>
          <x:cell r="B409" t="str">
            <x:v>(Gain) Loss From Sale Of Asset</x:v>
          </x:cell>
        </x:row>
        <x:row r="410">
          <x:cell r="A410" t="str">
            <x:v>(Gain) Loss On Sale Of Invest.</x:v>
          </x:cell>
          <x:cell r="B410" t="str">
            <x:v>(Gain) Loss On Sale Of Invest.</x:v>
          </x:cell>
        </x:row>
        <x:row r="411">
          <x:cell r="A411" t="str">
            <x:v>Asset Writedown &amp; Restructuring Costs</x:v>
          </x:cell>
          <x:cell r="B411" t="str">
            <x:v>Asset Writedown &amp; Restructuring Costs</x:v>
          </x:cell>
        </x:row>
        <x:row r="412">
          <x:cell r="A412" t="str">
            <x:v>Net (Increase) Decrease in Loans Orig./Sold</x:v>
          </x:cell>
          <x:cell r="B412" t="str">
            <x:v>Net (Increase) Decrease in Loans Orig./Sold</x:v>
          </x:cell>
        </x:row>
        <x:row r="413">
          <x:cell r="A413" t="str">
            <x:v>Provision for Credit Losses</x:v>
          </x:cell>
          <x:cell r="B413" t="str">
            <x:v>Provision for Credit Losses</x:v>
          </x:cell>
        </x:row>
        <x:row r="414">
          <x:cell r="A414" t="str">
            <x:v>(Income) Loss on Equity Invest.</x:v>
          </x:cell>
          <x:cell r="B414" t="str">
            <x:v>(Income) Loss on Equity Invest.</x:v>
          </x:cell>
        </x:row>
        <x:row r="415">
          <x:cell r="A415" t="str">
            <x:v>Tax Benefit from Stock Options</x:v>
          </x:cell>
          <x:cell r="B415" t="str">
            <x:v>Tax Benefit from Stock Options</x:v>
          </x:cell>
        </x:row>
        <x:row r="416">
          <x:cell r="A416" t="str">
            <x:v>Provision &amp; Write-off of Bad debts</x:v>
          </x:cell>
          <x:cell r="B416" t="str">
            <x:v>Provision &amp; Write-off of Bad debts</x:v>
          </x:cell>
        </x:row>
        <x:row r="417">
          <x:cell r="A417" t="str">
            <x:v>Net Cash From Discontinued Ops.</x:v>
          </x:cell>
          <x:cell r="B417" t="str">
            <x:v>Net Cash From Discontinued Ops.</x:v>
          </x:cell>
        </x:row>
        <x:row r="418">
          <x:cell r="A418" t="str">
            <x:v>Other Operating Activities</x:v>
          </x:cell>
          <x:cell r="B418" t="str">
            <x:v>Other Operating Activities</x:v>
          </x:cell>
        </x:row>
        <x:row r="419">
          <x:cell r="A419" t="str">
            <x:v>Change in Trad. Asset Securities</x:v>
          </x:cell>
          <x:cell r="B419" t="str">
            <x:v>Change in Trad. Asset Securities</x:v>
          </x:cell>
        </x:row>
        <x:row r="420">
          <x:cell r="A420" t="str">
            <x:v>Change in Acc. Receivable</x:v>
          </x:cell>
          <x:cell r="B420" t="str">
            <x:v>Change in Acc. Receivable</x:v>
          </x:cell>
        </x:row>
        <x:row r="421">
          <x:cell r="A421" t="str">
            <x:v>Change In Inventories</x:v>
          </x:cell>
          <x:cell r="B421" t="str">
            <x:v>Change In Inventories</x:v>
          </x:cell>
        </x:row>
        <x:row r="422">
          <x:cell r="A422" t="str">
            <x:v>Change in Acc. Payable</x:v>
          </x:cell>
          <x:cell r="B422" t="str">
            <x:v>Change in Acc. Payable</x:v>
          </x:cell>
        </x:row>
        <x:row r="423">
          <x:cell r="A423" t="str">
            <x:v>Change in Unearned Rev.</x:v>
          </x:cell>
          <x:cell r="B423" t="str">
            <x:v>Change in Unearned Rev.</x:v>
          </x:cell>
        </x:row>
        <x:row r="424">
          <x:cell r="A424" t="str">
            <x:v>Change in Inc. Taxes</x:v>
          </x:cell>
          <x:cell r="B424" t="str">
            <x:v>Change in Inc. Taxes</x:v>
          </x:cell>
        </x:row>
        <x:row r="425">
          <x:cell r="A425" t="str">
            <x:v>Change in Def. Taxes</x:v>
          </x:cell>
          <x:cell r="B425" t="str">
            <x:v>Change in Def. Taxes</x:v>
          </x:cell>
        </x:row>
        <x:row r="426">
          <x:cell r="A426" t="str">
            <x:v>Change In Other Net Operating Assets</x:v>
          </x:cell>
          <x:cell r="B426" t="str">
            <x:v>Change In Other Net Operating Assets</x:v>
          </x:cell>
        </x:row>
        <x:row r="427">
          <x:cell r="A427" t="str">
            <x:v>Cash from Ops.</x:v>
          </x:cell>
          <x:cell r="B427" t="str">
            <x:v>Cash from Ops.</x:v>
          </x:cell>
        </x:row>
        <x:row r="428">
          <x:cell r="A428" t="str">
            <x:v>Capital Expenditure</x:v>
          </x:cell>
          <x:cell r="B428" t="str">
            <x:v>Capital Expenditure</x:v>
          </x:cell>
        </x:row>
        <x:row r="429">
          <x:cell r="A429" t="str">
            <x:v>Sale of Property, Plant, and Equipment</x:v>
          </x:cell>
          <x:cell r="B429" t="str">
            <x:v>Sale of Property, Plant, and Equipment</x:v>
          </x:cell>
        </x:row>
        <x:row r="430">
          <x:cell r="A430" t="str">
            <x:v>Cash Acquisitions</x:v>
          </x:cell>
          <x:cell r="B430" t="str">
            <x:v>Cash Acquisitions</x:v>
          </x:cell>
        </x:row>
        <x:row r="431">
          <x:cell r="A431" t="str">
            <x:v>Divestitures</x:v>
          </x:cell>
          <x:cell r="B431" t="str">
            <x:v>Divestitures</x:v>
          </x:cell>
        </x:row>
        <x:row r="432">
          <x:cell r="A432" t="str">
            <x:v>Sale/(Purchase) of Real Estate Properties</x:v>
          </x:cell>
          <x:cell r="B432" t="str">
            <x:v>Sale/(Purchase) of Real Estate Properties</x:v>
          </x:cell>
        </x:row>
        <x:row r="433">
          <x:cell r="A433" t="str">
            <x:v>Sale/(Purchase) of Intangible Assets</x:v>
          </x:cell>
          <x:cell r="B433" t="str">
            <x:v>Sale/(Purchase) of Intangible Assets</x:v>
          </x:cell>
        </x:row>
        <x:row r="434">
          <x:cell r="A434" t="str">
            <x:v>Invest. in Marketable &amp; Equity Sec.</x:v>
          </x:cell>
          <x:cell r="B434" t="str">
            <x:v>Invest. in Marketable &amp; Equity Sec.</x:v>
          </x:cell>
        </x:row>
        <x:row r="435">
          <x:cell r="A435" t="str">
            <x:v>Net (Inc.) Dec. in Loans Originated/Sold</x:v>
          </x:cell>
          <x:cell r="B435" t="str">
            <x:v>Net (Inc.) Dec. in Loans Originated/Sold</x:v>
          </x:cell>
        </x:row>
        <x:row r="436">
          <x:cell r="A436" t="str">
            <x:v>Other Investing Activities</x:v>
          </x:cell>
          <x:cell r="B436" t="str">
            <x:v>Other Investing Activities</x:v>
          </x:cell>
        </x:row>
        <x:row r="437">
          <x:cell r="A437" t="str">
            <x:v>Cash from Investing</x:v>
          </x:cell>
          <x:cell r="B437" t="str">
            <x:v>Cash from Investing</x:v>
          </x:cell>
        </x:row>
        <x:row r="438">
          <x:cell r="A438" t="str">
            <x:v>Short Term Debt Issued</x:v>
          </x:cell>
          <x:cell r="B438" t="str">
            <x:v>Short Term Debt Issued</x:v>
          </x:cell>
        </x:row>
        <x:row r="439">
          <x:cell r="A439" t="str">
            <x:v>Long-Term Debt Issued</x:v>
          </x:cell>
          <x:cell r="B439" t="str">
            <x:v>Long-Term Debt Issued</x:v>
          </x:cell>
        </x:row>
        <x:row r="440">
          <x:cell r="A440" t="str">
            <x:v>Total Debt Issued</x:v>
          </x:cell>
          <x:cell r="B440" t="str">
            <x:v>Total Debt Issued</x:v>
          </x:cell>
        </x:row>
        <x:row r="441">
          <x:cell r="A441" t="str">
            <x:v>Short Term Debt Repaid</x:v>
          </x:cell>
          <x:cell r="B441" t="str">
            <x:v>Short Term Debt Repaid</x:v>
          </x:cell>
        </x:row>
        <x:row r="442">
          <x:cell r="A442" t="str">
            <x:v>Long-Term Debt Repaid</x:v>
          </x:cell>
          <x:cell r="B442" t="str">
            <x:v>Long-Term Debt Repaid</x:v>
          </x:cell>
        </x:row>
        <x:row r="443">
          <x:cell r="A443" t="str">
            <x:v>Total Debt Repaid</x:v>
          </x:cell>
          <x:cell r="B443" t="str">
            <x:v>Total Debt Repaid</x:v>
          </x:cell>
        </x:row>
        <x:row r="444">
          <x:cell r="A444" t="str">
            <x:v>Issuance of Common Stock</x:v>
          </x:cell>
          <x:cell r="B444" t="str">
            <x:v>Issuance of Common Stock</x:v>
          </x:cell>
        </x:row>
        <x:row r="445">
          <x:cell r="A445" t="str">
            <x:v>Repurchase of Common</x:v>
          </x:cell>
          <x:cell r="B445" t="str">
            <x:v>Repurchase of Common</x:v>
          </x:cell>
        </x:row>
        <x:row r="446">
          <x:cell r="A446" t="str">
            <x:v>Issuance of Pref. Stock</x:v>
          </x:cell>
          <x:cell r="B446" t="str">
            <x:v>Issuance of Pref. Stock</x:v>
          </x:cell>
        </x:row>
        <x:row r="447">
          <x:cell r="A447" t="str">
            <x:v>Repurchase of Preferred</x:v>
          </x:cell>
          <x:cell r="B447" t="str">
            <x:v>Repurchase of Preferred</x:v>
          </x:cell>
        </x:row>
        <x:row r="448">
          <x:cell r="A448" t="str">
            <x:v>Common Dividends Paid</x:v>
          </x:cell>
          <x:cell r="B448" t="str">
            <x:v>Common Dividends Paid</x:v>
          </x:cell>
        </x:row>
        <x:row r="449">
          <x:cell r="A449" t="str">
            <x:v>Pref. Dividends Paid</x:v>
          </x:cell>
          <x:cell r="B449" t="str">
            <x:v>Pref. Dividends Paid</x:v>
          </x:cell>
        </x:row>
        <x:row r="450">
          <x:cell r="A450" t="str">
            <x:v>Common and/or Pref. Dividends Paid</x:v>
          </x:cell>
          <x:cell r="B450" t="str">
            <x:v>Common and/or Pref. Dividends Paid</x:v>
          </x:cell>
        </x:row>
        <x:row r="451">
          <x:cell r="A451" t="str">
            <x:v>Total Dividends Paid</x:v>
          </x:cell>
          <x:cell r="B451" t="str">
            <x:v>Total Dividends Paid</x:v>
          </x:cell>
        </x:row>
        <x:row r="452">
          <x:cell r="A452" t="str">
            <x:v>Special Dividend Paid</x:v>
          </x:cell>
          <x:cell r="B452" t="str">
            <x:v>Special Dividend Paid</x:v>
          </x:cell>
        </x:row>
        <x:row r="453">
          <x:cell r="A453" t="str">
            <x:v>Other Financing Activities</x:v>
          </x:cell>
          <x:cell r="B453" t="str">
            <x:v>Other Financing Activities</x:v>
          </x:cell>
        </x:row>
        <x:row r="454">
          <x:cell r="A454" t="str">
            <x:v>Cash from Financing</x:v>
          </x:cell>
          <x:cell r="B454" t="str">
            <x:v>Cash from Financing</x:v>
          </x:cell>
        </x:row>
        <x:row r="455">
          <x:cell r="A455" t="str">
            <x:v>Foreign Exchange Rate Adj.</x:v>
          </x:cell>
          <x:cell r="B455" t="str">
            <x:v>Foreign Exchange Rate Adj.</x:v>
          </x:cell>
        </x:row>
        <x:row r="456">
          <x:cell r="A456" t="str">
            <x:v>Misc. Cash Flow Adj.</x:v>
          </x:cell>
          <x:cell r="B456" t="str">
            <x:v>Misc. Cash Flow Adj.</x:v>
          </x:cell>
        </x:row>
        <x:row r="457">
          <x:cell r="A457" t="str">
            <x:v>Net Change in Cash</x:v>
          </x:cell>
          <x:cell r="B457" t="str">
            <x:v>Net Change in Cash</x:v>
          </x:cell>
        </x:row>
        <x:row r="458">
          <x:cell r="A458" t="str">
            <x:v>Depreciation And Amortization Notes for Partial CF</x:v>
          </x:cell>
          <x:cell r="B458" t="str">
            <x:v>Depreciation And Amortization Notes for Partial CF</x:v>
          </x:cell>
        </x:row>
        <x:row r="459">
          <x:cell r="A459" t="str">
            <x:v>Amortization Of Goodwill Notes for Partial CF</x:v>
          </x:cell>
          <x:cell r="B459" t="str">
            <x:v>Amortization Of Goodwill Notes for Partial CF</x:v>
          </x:cell>
        </x:row>
        <x:row r="460">
          <x:cell r="A460" t="str">
            <x:v>Depreciation (From Notes)</x:v>
          </x:cell>
          <x:cell r="B460" t="str">
            <x:v>Depreciation (From Notes)</x:v>
          </x:cell>
        </x:row>
        <x:row r="461">
          <x:cell r="A461" t="str">
            <x:v>Depreciation on Right of Use Assets</x:v>
          </x:cell>
          <x:cell r="B461" t="str">
            <x:v>Depreciation on Right of Use Assets</x:v>
          </x:cell>
        </x:row>
        <x:row r="462">
          <x:cell r="A462" t="str">
            <x:v>Depreciation &amp; Amortization - CF, Excl. Operating Leases</x:v>
          </x:cell>
          <x:cell r="B462" t="str">
            <x:v>Depreciation &amp; Amortization - CF, Excl. Operating Leases</x:v>
          </x:cell>
        </x:row>
        <x:row r="463">
          <x:cell r="A463" t="str">
            <x:v>Depreciation &amp; Amort., Total, Excl. Operating Leases</x:v>
          </x:cell>
          <x:cell r="B463" t="str">
            <x:v>Depreciation &amp; Amort., Total, Excl. Operating Leases</x:v>
          </x:cell>
        </x:row>
        <x:row r="464">
          <x:cell r="A464" t="str">
            <x:v>Amortization of Debt Issuance Costs</x:v>
          </x:cell>
          <x:cell r="B464" t="str">
            <x:v>Amortization of Debt Issuance Costs</x:v>
          </x:cell>
        </x:row>
        <x:row r="465">
          <x:cell r="A465" t="str">
            <x:v>Amortization of Software Assets</x:v>
          </x:cell>
          <x:cell r="B465" t="str">
            <x:v>Amortization of Software Assets</x:v>
          </x:cell>
        </x:row>
        <x:row r="466">
          <x:cell r="A466" t="str">
            <x:v>Sale Proceeds from Rental Assets</x:v>
          </x:cell>
          <x:cell r="B466" t="str">
            <x:v>Sale Proceeds from Rental Assets</x:v>
          </x:cell>
        </x:row>
        <x:row r="467">
          <x:cell r="A467" t="str">
            <x:v>Cash Interest Paid</x:v>
          </x:cell>
          <x:cell r="B467" t="str">
            <x:v>Cash Interest Paid</x:v>
          </x:cell>
        </x:row>
        <x:row r="468">
          <x:cell r="A468" t="str">
            <x:v>Cash Interest Paid Net of Interest Received</x:v>
          </x:cell>
          <x:cell r="B468" t="str">
            <x:v>Cash Interest Paid Net of Interest Received</x:v>
          </x:cell>
        </x:row>
        <x:row r="469">
          <x:cell r="A469" t="str">
            <x:v>Cash Dividend and Interest Received</x:v>
          </x:cell>
          <x:cell r="B469" t="str">
            <x:v>Cash Dividend and Interest Received</x:v>
          </x:cell>
        </x:row>
        <x:row r="470">
          <x:cell r="A470" t="str">
            <x:v>Cash Interest Paid - Operating Activities</x:v>
          </x:cell>
          <x:cell r="B470" t="str">
            <x:v>Cash Interest Paid - Operating Activities</x:v>
          </x:cell>
        </x:row>
        <x:row r="471">
          <x:cell r="A471" t="str">
            <x:v>Cash Interest Paid - Investing Activities</x:v>
          </x:cell>
          <x:cell r="B471" t="str">
            <x:v>Cash Interest Paid - Investing Activities</x:v>
          </x:cell>
        </x:row>
        <x:row r="472">
          <x:cell r="A472" t="str">
            <x:v>Cash Interest Paid - Financing Activities</x:v>
          </x:cell>
          <x:cell r="B472" t="str">
            <x:v>Cash Interest Paid - Financing Activities</x:v>
          </x:cell>
        </x:row>
        <x:row r="473">
          <x:cell r="A473" t="str">
            <x:v>Cash Taxes Paid</x:v>
          </x:cell>
          <x:cell r="B473" t="str">
            <x:v>Cash Taxes Paid</x:v>
          </x:cell>
        </x:row>
        <x:row r="474">
          <x:cell r="A474" t="str">
            <x:v>Cash Taxes Paid - Operating Activities</x:v>
          </x:cell>
          <x:cell r="B474" t="str">
            <x:v>Cash Taxes Paid - Operating Activities</x:v>
          </x:cell>
        </x:row>
        <x:row r="475">
          <x:cell r="A475" t="str">
            <x:v>Cash Taxes Paid - Investing Activities</x:v>
          </x:cell>
          <x:cell r="B475" t="str">
            <x:v>Cash Taxes Paid - Investing Activities</x:v>
          </x:cell>
        </x:row>
        <x:row r="476">
          <x:cell r="A476" t="str">
            <x:v>Cash Taxes Paid - Financing Activities</x:v>
          </x:cell>
          <x:cell r="B476" t="str">
            <x:v>Cash Taxes Paid - Financing Activities</x:v>
          </x:cell>
        </x:row>
        <x:row r="477">
          <x:cell r="A477" t="str">
            <x:v>Deferred Income Taxes, Total</x:v>
          </x:cell>
          <x:cell r="B477" t="str">
            <x:v>Deferred Income Taxes, Total</x:v>
          </x:cell>
        </x:row>
        <x:row r="478">
          <x:cell r="A478" t="str">
            <x:v>Change in Net Working Capital</x:v>
          </x:cell>
          <x:cell r="B478" t="str">
            <x:v>Change in Net Working Capital</x:v>
          </x:cell>
        </x:row>
        <x:row r="479">
          <x:cell r="A479" t="str">
            <x:v>Cash Flow per Share</x:v>
          </x:cell>
          <x:cell r="B479" t="str">
            <x:v>Cash Flow per Share</x:v>
          </x:cell>
        </x:row>
        <x:row r="480">
          <x:cell r="A480" t="str">
            <x:v>Net Debt Issued</x:v>
          </x:cell>
          <x:cell r="B480" t="str">
            <x:v>Net Debt Issued</x:v>
          </x:cell>
        </x:row>
        <x:row r="481">
          <x:cell r="A481" t="str">
            <x:v>Maintenance CAPEX</x:v>
          </x:cell>
          <x:cell r="B481" t="str">
            <x:v>Maintenance CAPEX</x:v>
          </x:cell>
        </x:row>
        <x:row r="482">
          <x:cell r="A482" t="str">
            <x:v>Net Cash from Discontinued Ops. - Investing</x:v>
          </x:cell>
          <x:cell r="B482" t="str">
            <x:v>Net Cash from Discontinued Ops. - Investing</x:v>
          </x:cell>
        </x:row>
        <x:row r="483">
          <x:cell r="A483" t="str">
            <x:v>Net Cash from Discontinued Ops. - Financing</x:v>
          </x:cell>
          <x:cell r="B483" t="str">
            <x:v>Net Cash from Discontinued Ops. - Financing</x:v>
          </x:cell>
        </x:row>
        <x:row r="484">
          <x:cell r="A484" t="str">
            <x:v>Operating Lease Payments</x:v>
          </x:cell>
          <x:cell r="B484" t="str">
            <x:v>Operating Lease Payments</x:v>
          </x:cell>
        </x:row>
        <x:row r="485">
          <x:cell r="A485" t="str">
            <x:v>Change in Operating Lease Liabilities</x:v>
          </x:cell>
          <x:cell r="B485" t="str">
            <x:v>Change in Operating Lease Liabilities</x:v>
          </x:cell>
        </x:row>
        <x:row r="486">
          <x:cell r="A486" t="str">
            <x:v>Change in Operating Lease Liabilities Non-Cash</x:v>
          </x:cell>
          <x:cell r="B486" t="str">
            <x:v>Change in Operating Lease Liabilities Non-Cash</x:v>
          </x:cell>
        </x:row>
        <x:row r="487">
          <x:cell r="A487" t="str">
            <x:v>Long-Term Debt Repaid, Excl. Leases</x:v>
          </x:cell>
          <x:cell r="B487" t="str">
            <x:v>Long-Term Debt Repaid, Excl. Leases</x:v>
          </x:cell>
        </x:row>
        <x:row r="488">
          <x:cell r="A488" t="str">
            <x:v>Total Debt Repaid, Excl. Leases</x:v>
          </x:cell>
          <x:cell r="B488" t="str">
            <x:v>Total Debt Repaid, Excl. Leases</x:v>
          </x:cell>
        </x:row>
        <x:row r="489">
          <x:cell r="A489" t="str">
            <x:v>Gain on Bargain Acquisition - (CF)</x:v>
          </x:cell>
          <x:cell r="B489" t="str">
            <x:v>Gain on Bargain Acquisition - (CF)</x:v>
          </x:cell>
        </x:row>
        <x:row r="490">
          <x:cell r="A490" t="str">
            <x:v>For the Calendar Quarter Ending,</x:v>
          </x:cell>
          <x:cell r="B490" t="str">
            <x:v>For the Calendar Quarter Ending,</x:v>
          </x:cell>
        </x:row>
        <x:row r="491">
          <x:cell r="A491" t="str">
            <x:v>TEV / LTM Total Revenue</x:v>
          </x:cell>
          <x:cell r="B491" t="str">
            <x:v>TEV / LTM Total Revenue</x:v>
          </x:cell>
        </x:row>
        <x:row r="492">
          <x:cell r="A492" t="str">
            <x:v>Average</x:v>
          </x:cell>
          <x:cell r="B492" t="str">
            <x:v>Average</x:v>
          </x:cell>
        </x:row>
        <x:row r="493">
          <x:cell r="A493" t="str">
            <x:v>High</x:v>
          </x:cell>
          <x:cell r="B493" t="str">
            <x:v>High</x:v>
          </x:cell>
        </x:row>
        <x:row r="494">
          <x:cell r="A494" t="str">
            <x:v>Low</x:v>
          </x:cell>
          <x:cell r="B494" t="str">
            <x:v>Low</x:v>
          </x:cell>
        </x:row>
        <x:row r="495">
          <x:cell r="A495" t="str">
            <x:v>Close</x:v>
          </x:cell>
          <x:cell r="B495" t="str">
            <x:v>Close</x:v>
          </x:cell>
        </x:row>
        <x:row r="496">
          <x:cell r="A496" t="str">
            <x:v>TEV / NTM Total Revenue</x:v>
          </x:cell>
          <x:cell r="B496" t="str">
            <x:v>TEV / NTM Total Revenue</x:v>
          </x:cell>
        </x:row>
        <x:row r="497">
          <x:cell r="A497" t="str">
            <x:v>LTM EBITDA</x:v>
          </x:cell>
          <x:cell r="B497" t="str">
            <x:v>LTM EBITDA</x:v>
          </x:cell>
        </x:row>
        <x:row r="498">
          <x:cell r="A498" t="str">
            <x:v>TEV / NTM EBITDA</x:v>
          </x:cell>
          <x:cell r="B498" t="str">
            <x:v>TEV / NTM EBITDA</x:v>
          </x:cell>
        </x:row>
        <x:row r="499">
          <x:cell r="A499" t="str">
            <x:v>TEV / LTM EBIT</x:v>
          </x:cell>
          <x:cell r="B499" t="str">
            <x:v>TEV / LTM EBIT</x:v>
          </x:cell>
        </x:row>
        <x:row r="500">
          <x:cell r="A500" t="str">
            <x:v>TEV / NTM EBIT</x:v>
          </x:cell>
          <x:cell r="B500" t="str">
            <x:v>TEV / NTM EBIT</x:v>
          </x:cell>
        </x:row>
        <x:row r="501">
          <x:cell r="A501" t="str">
            <x:v>Price / LTM EPS</x:v>
          </x:cell>
          <x:cell r="B501" t="str">
            <x:v>Price / LTM EPS</x:v>
          </x:cell>
        </x:row>
        <x:row r="502">
          <x:cell r="A502" t="str">
            <x:v>Price / NTM EPS</x:v>
          </x:cell>
          <x:cell r="B502" t="str">
            <x:v>Price / NTM EPS</x:v>
          </x:cell>
        </x:row>
        <x:row r="503">
          <x:cell r="A503" t="str">
            <x:v>Price / LTM Normalized EPS</x:v>
          </x:cell>
          <x:cell r="B503" t="str">
            <x:v>Price / LTM Normalized EPS</x:v>
          </x:cell>
        </x:row>
        <x:row r="504">
          <x:cell r="A504" t="str">
            <x:v>Price / Book Value</x:v>
          </x:cell>
          <x:cell r="B504" t="str">
            <x:v>Price / Book Value</x:v>
          </x:cell>
        </x:row>
        <x:row r="505">
          <x:cell r="A505" t="str">
            <x:v>Forward P / BV</x:v>
          </x:cell>
          <x:cell r="B505" t="str">
            <x:v>Forward P / BV</x:v>
          </x:cell>
        </x:row>
        <x:row r="506">
          <x:cell r="A506" t="str">
            <x:v>Price / Tangible Book Value</x:v>
          </x:cell>
          <x:cell r="B506" t="str">
            <x:v>Price / Tangible Book Value</x:v>
          </x:cell>
        </x:row>
        <x:row r="507">
          <x:cell r="A507" t="str">
            <x:v>Price / NTM CFPS</x:v>
          </x:cell>
          <x:cell r="B507" t="str">
            <x:v>Price / NTM CFPS</x:v>
          </x:cell>
        </x:row>
        <x:row r="508">
          <x:cell r="A508" t="str">
            <x:v>TEV / LTM Unlevered FCF</x:v>
          </x:cell>
          <x:cell r="B508" t="str">
            <x:v>TEV / LTM Unlevered FCF</x:v>
          </x:cell>
        </x:row>
        <x:row r="509">
          <x:cell r="A509" t="str">
            <x:v>Market Cap / LTM Levered FCF</x:v>
          </x:cell>
          <x:cell r="B509" t="str">
            <x:v>Market Cap / LTM Levered FCF</x:v>
          </x:cell>
        </x:row>
        <x:row r="510">
          <x:cell r="A510" t="str">
            <x:v>Market Cap / LTM Total Revenues</x:v>
          </x:cell>
          <x:cell r="B510" t="str">
            <x:v>Market Cap / LTM Total Revenues</x:v>
          </x:cell>
        </x:row>
        <x:row r="511">
          <x:cell r="A511" t="str">
            <x:v>Market Cap / Forward Total Revenues</x:v>
          </x:cell>
          <x:cell r="B511" t="str">
            <x:v>Market Cap / Forward Total Revenues</x:v>
          </x:cell>
        </x:row>
        <x:row r="512">
          <x:cell r="A512" t="str">
            <x:v>Market Cap / LTM EBT Excl Unusual Items</x:v>
          </x:cell>
          <x:cell r="B512" t="str">
            <x:v>Market Cap / LTM EBT Excl Unusual Items</x:v>
          </x:cell>
        </x:row>
        <x:row r="513">
          <x:cell r="A513" t="str">
            <x:v>PEG Ratio</x:v>
          </x:cell>
          <x:cell r="B513" t="str">
            <x:v>PEG Ratio</x:v>
          </x:cell>
        </x:row>
        <x:row r="514">
          <x:cell r="A514" t="str">
            <x:v>Note: Average multiples are calculated using positive close values on each trading day within the frequency periods selected. Negative values are excluded from the calculation.</x:v>
          </x:cell>
          <x:cell r="B514" t="str">
            <x:v>Note: Average multiples are calculated using positive close values on each trading day within the frequency periods selected. Negative values are excluded from the calculation.</x:v>
          </x:cell>
        </x:row>
        <x:row r="515">
          <x:cell r="A515" t="str">
            <x:v>Balance Sheet as of</x:v>
          </x:cell>
          <x:cell r="B515" t="str">
            <x:v>Balance Sheet as of</x:v>
          </x:cell>
        </x:row>
        <x:row r="516">
          <x:cell r="A516" t="str">
            <x:v>Pricing as of</x:v>
          </x:cell>
          <x:cell r="B516" t="str">
            <x:v>Pricing as of</x:v>
          </x:cell>
        </x:row>
        <x:row r="517">
          <x:cell r="A517" t="str">
            <x:v>Capitalization Detail</x:v>
          </x:cell>
          <x:cell r="B517" t="str">
            <x:v>Capitalization Detail</x:v>
          </x:cell>
        </x:row>
        <x:row r="518">
          <x:cell r="A518" t="str">
            <x:v>Share Price</x:v>
          </x:cell>
          <x:cell r="B518" t="str">
            <x:v>Share Price</x:v>
          </x:cell>
        </x:row>
        <x:row r="519">
          <x:cell r="A519" t="str">
            <x:v>Shares Outstanding</x:v>
          </x:cell>
          <x:cell r="B519" t="str">
            <x:v>Shares Outstanding</x:v>
          </x:cell>
        </x:row>
        <x:row r="520">
          <x:cell r="A520" t="str">
            <x:v>Pricing as of the filing date of the balance sheet period end date. For TEV calculation purposes on this page, S&amp;P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x:v>
          </x:cell>
          <x:cell r="B520" t="str">
            <x:v>Pricing as of the filing date of the balance sheet period end date. For TEV calculation purposes on this page, S&amp;P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x:v>
          </x:cell>
        </x:row>
        <x:row r="521">
          <x:cell r="A521" t="str">
            <x:v>Prices shown on this page are the close price of the company’s primary stock class. Shares shown on this page are total company as-reported share values.</x:v>
          </x:cell>
          <x:cell r="B521" t="str">
            <x:v>Prices shown on this page are the close price of the company’s primary stock class. Shares shown on this page are total company as-reported share values.</x:v>
          </x:cell>
        </x:row>
        <x:row r="522">
          <x:cell r="A522" t="str">
            <x:v>Filing Version</x:v>
          </x:cell>
          <x:cell r="B522" t="str">
            <x:v>Filing Version</x:v>
          </x:cell>
        </x:row>
        <x:row r="523">
          <x:cell r="A523" t="str">
            <x:v>LTM</x:v>
          </x:cell>
          <x:cell r="B523" t="str">
            <x:v>LTM</x:v>
          </x:cell>
        </x:row>
        <x:row r="524">
          <x:cell r="A524" t="str">
            <x:v>12 Months</x:v>
          </x:cell>
          <x:cell r="B524" t="str">
            <x:v>12 Months</x:v>
          </x:cell>
        </x:row>
        <x:row r="525">
          <x:cell r="A525" t="str">
            <x:v>For the Fiscal Period Ending</x:v>
          </x:cell>
          <x:cell r="B525" t="str">
            <x:v>For the Fiscal Period Ending</x:v>
          </x:cell>
        </x:row>
        <x:row r="526">
          <x:cell r="A526" t="str">
            <x:v>Pref Equity</x:v>
          </x:cell>
          <x:cell r="B526" t="str">
            <x:v>Pref Equity</x:v>
          </x:cell>
        </x:row>
        <x:row r="527">
          <x:cell r="A527" t="str">
            <x:v>Debt Summary Data</x:v>
          </x:cell>
          <x:cell r="B527" t="str">
            <x:v>Debt Summary Data</x:v>
          </x:cell>
        </x:row>
        <x:row r="528">
          <x:cell r="A528" t="str">
            <x:v>Total Commercial Paper</x:v>
          </x:cell>
          <x:cell r="B528" t="str">
            <x:v>Total Commercial Paper</x:v>
          </x:cell>
        </x:row>
        <x:row r="529">
          <x:cell r="A529" t="str">
            <x:v>Total Revolving Credit</x:v>
          </x:cell>
          <x:cell r="B529" t="str">
            <x:v>Total Revolving Credit</x:v>
          </x:cell>
        </x:row>
        <x:row r="530">
          <x:cell r="A530" t="str">
            <x:v>Total Term Loans</x:v>
          </x:cell>
          <x:cell r="B530" t="str">
            <x:v>Total Term Loans</x:v>
          </x:cell>
        </x:row>
        <x:row r="531">
          <x:cell r="A531" t="str">
            <x:v>Total Sr. Bonds and Notes</x:v>
          </x:cell>
          <x:cell r="B531" t="str">
            <x:v>Total Sr. Bonds and Notes</x:v>
          </x:cell>
        </x:row>
        <x:row r="532">
          <x:cell r="A532" t="str">
            <x:v>Total Sub. Bonds and Notes</x:v>
          </x:cell>
          <x:cell r="B532" t="str">
            <x:v>Total Sub. Bonds and Notes</x:v>
          </x:cell>
        </x:row>
        <x:row r="533">
          <x:cell r="A533" t="str">
            <x:v>Total Trust Preferred</x:v>
          </x:cell>
          <x:cell r="B533" t="str">
            <x:v>Total Trust Preferred</x:v>
          </x:cell>
        </x:row>
        <x:row r="534">
          <x:cell r="A534" t="str">
            <x:v>Total Lease Liabilities</x:v>
          </x:cell>
          <x:cell r="B534" t="str">
            <x:v>Total Lease Liabilities</x:v>
          </x:cell>
        </x:row>
        <x:row r="535">
          <x:cell r="A535" t="str">
            <x:v>Other Borrowings</x:v>
          </x:cell>
          <x:cell r="B535" t="str">
            <x:v>Other Borrowings</x:v>
          </x:cell>
        </x:row>
        <x:row r="536">
          <x:cell r="A536" t="str">
            <x:v>Total Principal Due</x:v>
          </x:cell>
          <x:cell r="B536" t="str">
            <x:v>Total Principal Due</x:v>
          </x:cell>
        </x:row>
        <x:row r="537">
          <x:cell r="A537" t="str">
            <x:v>Total Unamortized Premium</x:v>
          </x:cell>
          <x:cell r="B537" t="str">
            <x:v>Total Unamortized Premium</x:v>
          </x:cell>
        </x:row>
        <x:row r="538">
          <x:cell r="A538" t="str">
            <x:v>Total Unamortized Discount</x:v>
          </x:cell>
          <x:cell r="B538" t="str">
            <x:v>Total Unamortized Discount</x:v>
          </x:cell>
        </x:row>
        <x:row r="539">
          <x:cell r="A539" t="str">
            <x:v>Adjustments</x:v>
          </x:cell>
          <x:cell r="B539" t="str">
            <x:v>Adjustments</x:v>
          </x:cell>
        </x:row>
        <x:row r="540">
          <x:cell r="A540" t="str">
            <x:v>Total Debt Outstanding</x:v>
          </x:cell>
          <x:cell r="B540" t="str">
            <x:v>Total Debt Outstanding</x:v>
          </x:cell>
        </x:row>
        <x:row r="541">
          <x:cell r="A541" t="str">
            <x:v>Available Credit</x:v>
          </x:cell>
          <x:cell r="B541" t="str">
            <x:v>Available Credit</x:v>
          </x:cell>
        </x:row>
        <x:row r="542">
          <x:cell r="A542" t="str">
            <x:v>Undrawn Revolving Credit</x:v>
          </x:cell>
          <x:cell r="B542" t="str">
            <x:v>Undrawn Revolving Credit</x:v>
          </x:cell>
        </x:row>
        <x:row r="543">
          <x:cell r="A543" t="str">
            <x:v>Undrawn Commercial Paper</x:v>
          </x:cell>
          <x:cell r="B543" t="str">
            <x:v>Undrawn Commercial Paper</x:v>
          </x:cell>
        </x:row>
        <x:row r="544">
          <x:cell r="A544" t="str">
            <x:v>Undrawn Term Loans</x:v>
          </x:cell>
          <x:cell r="B544" t="str">
            <x:v>Undrawn Term Loans</x:v>
          </x:cell>
        </x:row>
        <x:row r="545">
          <x:cell r="A545" t="str">
            <x:v>Undrawn Securitized Facilities</x:v>
          </x:cell>
          <x:cell r="B545" t="str">
            <x:v>Undrawn Securitized Facilities</x:v>
          </x:cell>
        </x:row>
        <x:row r="546">
          <x:cell r="A546" t="str">
            <x:v>Other Available Credit</x:v>
          </x:cell>
          <x:cell r="B546" t="str">
            <x:v>Other Available Credit</x:v>
          </x:cell>
        </x:row>
        <x:row r="547">
          <x:cell r="A547" t="str">
            <x:v>Total Undrawn Credit</x:v>
          </x:cell>
          <x:cell r="B547" t="str">
            <x:v>Total Undrawn Credit</x:v>
          </x:cell>
        </x:row>
        <x:row r="548">
          <x:cell r="A548" t="str">
            <x:v>Additional Totals</x:v>
          </x:cell>
          <x:cell r="B548" t="str">
            <x:v>Additional Totals</x:v>
          </x:cell>
        </x:row>
        <x:row r="549">
          <x:cell r="A549" t="str">
            <x:v>Total Senior Debt</x:v>
          </x:cell>
          <x:cell r="B549" t="str">
            <x:v>Total Senior Debt</x:v>
          </x:cell>
        </x:row>
        <x:row r="550">
          <x:cell r="A550" t="str">
            <x:v>Total Sub. Debt</x:v>
          </x:cell>
          <x:cell r="B550" t="str">
            <x:v>Total Sub. Debt</x:v>
          </x:cell>
        </x:row>
        <x:row r="551">
          <x:cell r="A551" t="str">
            <x:v>Sr. Sub. Debt</x:v>
          </x:cell>
          <x:cell r="B551" t="str">
            <x:v>Sr. Sub. Debt</x:v>
          </x:cell>
        </x:row>
        <x:row r="552">
          <x:cell r="A552" t="str">
            <x:v>Sub. Debt</x:v>
          </x:cell>
          <x:cell r="B552" t="str">
            <x:v>Sub. Debt</x:v>
          </x:cell>
        </x:row>
        <x:row r="553">
          <x:cell r="A553" t="str">
            <x:v>Jr. Sub. Debt</x:v>
          </x:cell>
          <x:cell r="B553" t="str">
            <x:v>Jr. Sub. Debt</x:v>
          </x:cell>
        </x:row>
        <x:row r="554">
          <x:cell r="A554" t="str">
            <x:v>Total Convertible Debt</x:v>
          </x:cell>
          <x:cell r="B554" t="str">
            <x:v>Total Convertible Debt</x:v>
          </x:cell>
        </x:row>
        <x:row r="555">
          <x:cell r="A555" t="str">
            <x:v>Total Short-Term Debt</x:v>
          </x:cell>
          <x:cell r="B555" t="str">
            <x:v>Total Short-Term Debt</x:v>
          </x:cell>
        </x:row>
        <x:row r="556">
          <x:cell r="A556" t="str">
            <x:v>Curr. Port. of LT Debt/Cap. Leases</x:v>
          </x:cell>
          <x:cell r="B556" t="str">
            <x:v>Curr. Port. of LT Debt/Cap. Leases</x:v>
          </x:cell>
        </x:row>
        <x:row r="557">
          <x:cell r="A557" t="str">
            <x:v>Long-Term Debt (Incl. Cap. Leases)</x:v>
          </x:cell>
          <x:cell r="B557" t="str">
            <x:v>Long-Term Debt (Incl. Cap. Leases)</x:v>
          </x:cell>
        </x:row>
        <x:row r="558">
          <x:cell r="A558" t="str">
            <x:v>Total Bank Debt</x:v>
          </x:cell>
          <x:cell r="B558" t="str">
            <x:v>Total Bank Debt</x:v>
          </x:cell>
        </x:row>
        <x:row r="559">
          <x:cell r="A559" t="str">
            <x:v>Total Secured Debt</x:v>
          </x:cell>
          <x:cell r="B559" t="str">
            <x:v>Total Secured Debt</x:v>
          </x:cell>
        </x:row>
        <x:row r="560">
          <x:cell r="A560" t="str">
            <x:v>Sr. Secured Loans</x:v>
          </x:cell>
          <x:cell r="B560" t="str">
            <x:v>Sr. Secured Loans</x:v>
          </x:cell>
        </x:row>
        <x:row r="561">
          <x:cell r="A561" t="str">
            <x:v>Sr. Secured Bonds and Notes</x:v>
          </x:cell>
          <x:cell r="B561" t="str">
            <x:v>Sr. Secured Bonds and Notes</x:v>
          </x:cell>
        </x:row>
        <x:row r="562">
          <x:cell r="A562" t="str">
            <x:v>Total Sr. Secured</x:v>
          </x:cell>
          <x:cell r="B562" t="str">
            <x:v>Total Sr. Secured</x:v>
          </x:cell>
        </x:row>
        <x:row r="563">
          <x:cell r="A563" t="str">
            <x:v>Senior Unsecured Bonds and Notes</x:v>
          </x:cell>
          <x:cell r="B563" t="str">
            <x:v>Senior Unsecured Bonds and Notes</x:v>
          </x:cell>
        </x:row>
        <x:row r="564">
          <x:cell r="A564" t="str">
            <x:v>Total Unsecured Debt</x:v>
          </x:cell>
          <x:cell r="B564" t="str">
            <x:v>Total Unsecured Debt</x:v>
          </x:cell>
        </x:row>
        <x:row r="565">
          <x:cell r="A565" t="str">
            <x:v>Securitized Debt</x:v>
          </x:cell>
          <x:cell r="B565" t="str">
            <x:v>Securitized Debt</x:v>
          </x:cell>
        </x:row>
        <x:row r="566">
          <x:cell r="A566" t="str">
            <x:v>Second Lien Loans</x:v>
          </x:cell>
          <x:cell r="B566" t="str">
            <x:v>Second Lien Loans</x:v>
          </x:cell>
        </x:row>
        <x:row r="567">
          <x:cell r="A567" t="str">
            <x:v>Second Lien Bonds and Notes</x:v>
          </x:cell>
          <x:cell r="B567" t="str">
            <x:v>Second Lien Bonds and Notes</x:v>
          </x:cell>
        </x:row>
        <x:row r="568">
          <x:cell r="A568" t="str">
            <x:v>Second Lien Debt</x:v>
          </x:cell>
          <x:cell r="B568" t="str">
            <x:v>Second Lien Debt</x:v>
          </x:cell>
        </x:row>
        <x:row r="569">
          <x:cell r="A569" t="str">
            <x:v>Total Non-Recourse Debt</x:v>
          </x:cell>
          <x:cell r="B569" t="str">
            <x:v>Total Non-Recourse Debt</x:v>
          </x:cell>
        </x:row>
        <x:row r="570">
          <x:cell r="A570" t="str">
            <x:v>Fixed Rate Debt</x:v>
          </x:cell>
          <x:cell r="B570" t="str">
            <x:v>Fixed Rate Debt</x:v>
          </x:cell>
        </x:row>
        <x:row r="571">
          <x:cell r="A571" t="str">
            <x:v>Zero Coupon Debt</x:v>
          </x:cell>
          <x:cell r="B571" t="str">
            <x:v>Zero Coupon Debt</x:v>
          </x:cell>
        </x:row>
        <x:row r="572">
          <x:cell r="A572" t="str">
            <x:v>Variable Rate Debt</x:v>
          </x:cell>
          <x:cell r="B572" t="str">
            <x:v>Variable Rate Debt</x:v>
          </x:cell>
        </x:row>
        <x:row r="573">
          <x:cell r="A573" t="str">
            <x:v>Hedging Activities</x:v>
          </x:cell>
          <x:cell r="B573" t="str">
            <x:v>Hedging Activities</x:v>
          </x:cell>
        </x:row>
        <x:row r="574">
          <x:cell r="A574" t="str">
            <x:v>Credit Ratios</x:v>
          </x:cell>
          <x:cell r="B574" t="str">
            <x:v>Credit Ratios</x:v>
          </x:cell>
        </x:row>
        <x:row r="575">
          <x:cell r="A575" t="str">
            <x:v>Net Debt/EBITDA</x:v>
          </x:cell>
          <x:cell r="B575" t="str">
            <x:v>Net Debt/EBITDA</x:v>
          </x:cell>
        </x:row>
        <x:row r="576">
          <x:cell r="A576" t="str">
            <x:v>Net Debt/EBITDA, Excl. Operating Leases</x:v>
          </x:cell>
          <x:cell r="B576" t="str">
            <x:v>Net Debt/EBITDA, Excl. Operating Leases</x:v>
          </x:cell>
        </x:row>
        <x:row r="577">
          <x:cell r="A577" t="str">
            <x:v>Total Debt/EBITDA</x:v>
          </x:cell>
          <x:cell r="B577" t="str">
            <x:v>Total Debt/EBITDA</x:v>
          </x:cell>
        </x:row>
        <x:row r="578">
          <x:cell r="A578" t="str">
            <x:v>Total Debt / EBITDA, Excl. Operating Leases</x:v>
          </x:cell>
          <x:cell r="B578" t="str">
            <x:v>Total Debt / EBITDA, Excl. Operating Leases</x:v>
          </x:cell>
        </x:row>
        <x:row r="579">
          <x:cell r="A579" t="str">
            <x:v>Senior Debt/EBITDA</x:v>
          </x:cell>
          <x:cell r="B579" t="str">
            <x:v>Senior Debt/EBITDA</x:v>
          </x:cell>
        </x:row>
        <x:row r="580">
          <x:cell r="A580" t="str">
            <x:v>Senior Debt/EBITDA, Excl. Operating Leases</x:v>
          </x:cell>
          <x:cell r="B580" t="str">
            <x:v>Senior Debt/EBITDA, Excl. Operating Leases</x:v>
          </x:cell>
        </x:row>
        <x:row r="581">
          <x:cell r="A581" t="str">
            <x:v>Total Senior Secured/EBITDA</x:v>
          </x:cell>
          <x:cell r="B581" t="str">
            <x:v>Total Senior Secured/EBITDA</x:v>
          </x:cell>
        </x:row>
        <x:row r="582">
          <x:cell r="A582" t="str">
            <x:v>Total Senior Secured/EBITDA, Excl. Operating Leases</x:v>
          </x:cell>
          <x:cell r="B582" t="str">
            <x:v>Total Senior Secured/EBITDA, Excl. Operating Leases</x:v>
          </x:cell>
        </x:row>
        <x:row r="583">
          <x:cell r="A583" t="str">
            <x:v>Total Sub. Debt/ EBITDA</x:v>
          </x:cell>
          <x:cell r="B583" t="str">
            <x:v>Total Sub. Debt/ EBITDA</x:v>
          </x:cell>
        </x:row>
        <x:row r="584">
          <x:cell r="A584" t="str">
            <x:v>Total Sub. Debt/ EBITDA, Excl. Operating Leases</x:v>
          </x:cell>
          <x:cell r="B584" t="str">
            <x:v>Total Sub. Debt/ EBITDA, Excl. Operating Leases</x:v>
          </x:cell>
        </x:row>
        <x:row r="585">
          <x:cell r="A585" t="str">
            <x:v>Sr. Sub. Debt/EBITDA</x:v>
          </x:cell>
          <x:cell r="B585" t="str">
            <x:v>Sr. Sub. Debt/EBITDA</x:v>
          </x:cell>
        </x:row>
        <x:row r="586">
          <x:cell r="A586" t="str">
            <x:v>Sr. Sub. Debt/EBITDA, Excl. Operating Leases</x:v>
          </x:cell>
          <x:cell r="B586" t="str">
            <x:v>Sr. Sub. Debt/EBITDA, Excl. Operating Leases</x:v>
          </x:cell>
        </x:row>
        <x:row r="587">
          <x:cell r="A587" t="str">
            <x:v>Sub. Debt/EBITDA</x:v>
          </x:cell>
          <x:cell r="B587" t="str">
            <x:v>Sub. Debt/EBITDA</x:v>
          </x:cell>
        </x:row>
        <x:row r="588">
          <x:cell r="A588" t="str">
            <x:v>Sub. Debt/EBITDA, Excl. Operating Leases</x:v>
          </x:cell>
          <x:cell r="B588" t="str">
            <x:v>Sub. Debt/EBITDA, Excl. Operating Leases</x:v>
          </x:cell>
        </x:row>
        <x:row r="589">
          <x:cell r="A589" t="str">
            <x:v>Jr. Sub Debt/EBITDA</x:v>
          </x:cell>
          <x:cell r="B589" t="str">
            <x:v>Jr. Sub Debt/EBITDA</x:v>
          </x:cell>
        </x:row>
        <x:row r="590">
          <x:cell r="A590" t="str">
            <x:v>Jr. Sub Debt/EBITDA, Excl. Operating Leases</x:v>
          </x:cell>
          <x:cell r="B590" t="str">
            <x:v>Jr. Sub Debt/EBITDA, Excl. Operating Leases</x:v>
          </x:cell>
        </x:row>
        <x:row r="591">
          <x:cell r="A591" t="str">
            <x:v>Net Debt/(EBITDA-CAPEX)</x:v>
          </x:cell>
          <x:cell r="B591" t="str">
            <x:v>Net Debt/(EBITDA-CAPEX)</x:v>
          </x:cell>
        </x:row>
        <x:row r="592">
          <x:cell r="A592" t="str">
            <x:v>Net Debt/(EBITDA, Excl. Operating Leases - CAPEX)</x:v>
          </x:cell>
          <x:cell r="B592" t="str">
            <x:v>Net Debt/(EBITDA, Excl. Operating Leases - CAPEX)</x:v>
          </x:cell>
        </x:row>
        <x:row r="593">
          <x:cell r="A593" t="str">
            <x:v>Total Debt/(EBITDA-CAPEX)</x:v>
          </x:cell>
          <x:cell r="B593" t="str">
            <x:v>Total Debt/(EBITDA-CAPEX)</x:v>
          </x:cell>
        </x:row>
        <x:row r="594">
          <x:cell r="A594" t="str">
            <x:v>Total Debt/(EBITDA, Excl. Operating Leases - CAPEX)</x:v>
          </x:cell>
          <x:cell r="B594" t="str">
            <x:v>Total Debt/(EBITDA, Excl. Operating Leases - CAPEX)</x:v>
          </x:cell>
        </x:row>
        <x:row r="595">
          <x:cell r="A595" t="str">
            <x:v>Senior Debt/(EBITDA - CAPEX)</x:v>
          </x:cell>
          <x:cell r="B595" t="str">
            <x:v>Senior Debt/(EBITDA - CAPEX)</x:v>
          </x:cell>
        </x:row>
        <x:row r="596">
          <x:cell r="A596" t="str">
            <x:v>Senior Debt/(EBITDA, Excl. Operating Leases - CAPEX)</x:v>
          </x:cell>
          <x:cell r="B596" t="str">
            <x:v>Senior Debt/(EBITDA, Excl. Operating Leases - CAPEX)</x:v>
          </x:cell>
        </x:row>
        <x:row r="597">
          <x:cell r="A597" t="str">
            <x:v>Total Senior Secured/(EBITDA-CAPEX)</x:v>
          </x:cell>
          <x:cell r="B597" t="str">
            <x:v>Total Senior Secured/(EBITDA-CAPEX)</x:v>
          </x:cell>
        </x:row>
        <x:row r="598">
          <x:cell r="A598" t="str">
            <x:v>Total Senior Secured/(EBITDA, Excl. Operating Leases-CAPEX)</x:v>
          </x:cell>
          <x:cell r="B598" t="str">
            <x:v>Total Senior Secured/(EBITDA, Excl. Operating Leases-CAPEX)</x:v>
          </x:cell>
        </x:row>
        <x:row r="599">
          <x:cell r="A599" t="str">
            <x:v>Total Sub. Debt/(EBITDA - CAPEX)</x:v>
          </x:cell>
          <x:cell r="B599" t="str">
            <x:v>Total Sub. Debt/(EBITDA - CAPEX)</x:v>
          </x:cell>
        </x:row>
        <x:row r="600">
          <x:cell r="A600" t="str">
            <x:v>Total Sub. Debt/(EBITDA, Excl. Operating Leases-CAPEX)</x:v>
          </x:cell>
          <x:cell r="B600" t="str">
            <x:v>Total Sub. Debt/(EBITDA, Excl. Operating Leases-CAPEX)</x:v>
          </x:cell>
        </x:row>
        <x:row r="601">
          <x:cell r="A601" t="str">
            <x:v>Sr. Sub. Debt/(EBITDA-CAPEX)</x:v>
          </x:cell>
          <x:cell r="B601" t="str">
            <x:v>Sr. Sub. Debt/(EBITDA-CAPEX)</x:v>
          </x:cell>
        </x:row>
        <x:row r="602">
          <x:cell r="A602" t="str">
            <x:v>Sr. Sub. Debt/(EBITDA, Excl. Operating Leases-CAPEX)</x:v>
          </x:cell>
          <x:cell r="B602" t="str">
            <x:v>Sr. Sub. Debt/(EBITDA, Excl. Operating Leases-CAPEX)</x:v>
          </x:cell>
        </x:row>
        <x:row r="603">
          <x:cell r="A603" t="str">
            <x:v>Sub. Debt/(EBITDA-CAPEX)</x:v>
          </x:cell>
          <x:cell r="B603" t="str">
            <x:v>Sub. Debt/(EBITDA-CAPEX)</x:v>
          </x:cell>
        </x:row>
        <x:row r="604">
          <x:cell r="A604" t="str">
            <x:v>Sub. Debt/(EBITDA, Excl. Operating Leases-CAPEX)</x:v>
          </x:cell>
          <x:cell r="B604" t="str">
            <x:v>Sub. Debt/(EBITDA, Excl. Operating Leases-CAPEX)</x:v>
          </x:cell>
        </x:row>
        <x:row r="605">
          <x:cell r="A605" t="str">
            <x:v>Jr. Sub Debt/(EBITDA-CAPEX)</x:v>
          </x:cell>
          <x:cell r="B605" t="str">
            <x:v>Jr. Sub Debt/(EBITDA-CAPEX)</x:v>
          </x:cell>
        </x:row>
        <x:row r="606">
          <x:cell r="A606" t="str">
            <x:v>Jr. Sub Debt/(EBITDA, Excl. Operating Leases-CAPEX)</x:v>
          </x:cell>
          <x:cell r="B606" t="str">
            <x:v>Jr. Sub Debt/(EBITDA, Excl. Operating Leases-CAPEX)</x:v>
          </x:cell>
        </x:row>
        <x:row r="607">
          <x:cell r="A607" t="str">
            <x:v>Fixed Payment Schedule</x:v>
          </x:cell>
          <x:cell r="B607" t="str">
            <x:v>Fixed Payment Schedule</x:v>
          </x:cell>
        </x:row>
        <x:row r="608">
          <x:cell r="A608" t="str">
            <x:v>LT Debt Due + 1</x:v>
          </x:cell>
          <x:cell r="B608" t="str">
            <x:v>LT Debt Due + 1</x:v>
          </x:cell>
        </x:row>
        <x:row r="609">
          <x:cell r="A609" t="str">
            <x:v>LT Debt Due + 2</x:v>
          </x:cell>
          <x:cell r="B609" t="str">
            <x:v>LT Debt Due + 2</x:v>
          </x:cell>
        </x:row>
        <x:row r="610">
          <x:cell r="A610" t="str">
            <x:v>LT Debt Due + 3</x:v>
          </x:cell>
          <x:cell r="B610" t="str">
            <x:v>LT Debt Due + 3</x:v>
          </x:cell>
        </x:row>
        <x:row r="611">
          <x:cell r="A611" t="str">
            <x:v>LT Debt Due + 4</x:v>
          </x:cell>
          <x:cell r="B611" t="str">
            <x:v>LT Debt Due + 4</x:v>
          </x:cell>
        </x:row>
        <x:row r="612">
          <x:cell r="A612" t="str">
            <x:v>LT Debt Due + 5</x:v>
          </x:cell>
          <x:cell r="B612" t="str">
            <x:v>LT Debt Due + 5</x:v>
          </x:cell>
        </x:row>
        <x:row r="613">
          <x:cell r="A613" t="str">
            <x:v>LT Debt Due, Next Five Years</x:v>
          </x:cell>
          <x:cell r="B613" t="str">
            <x:v>LT Debt Due, Next Five Years</x:v>
          </x:cell>
        </x:row>
        <x:row r="614">
          <x:cell r="A614" t="str">
            <x:v>LT Debt Due After 5 Years</x:v>
          </x:cell>
          <x:cell r="B614" t="str">
            <x:v>LT Debt Due After 5 Years</x:v>
          </x:cell>
        </x:row>
        <x:row r="615">
          <x:cell r="A615" t="str">
            <x:v>Capital Lease Payment Due (Incl. Interest)+1</x:v>
          </x:cell>
          <x:cell r="B615" t="str">
            <x:v>Capital Lease Payment Due (Incl. Interest)+1</x:v>
          </x:cell>
        </x:row>
        <x:row r="616">
          <x:cell r="A616" t="str">
            <x:v>Capital Lease Payment Due + 1</x:v>
          </x:cell>
          <x:cell r="B616" t="str">
            <x:v>Capital Lease Payment Due + 1</x:v>
          </x:cell>
        </x:row>
        <x:row r="617">
          <x:cell r="A617" t="str">
            <x:v>Capital Lease Payment Due + 2</x:v>
          </x:cell>
          <x:cell r="B617" t="str">
            <x:v>Capital Lease Payment Due + 2</x:v>
          </x:cell>
        </x:row>
        <x:row r="618">
          <x:cell r="A618" t="str">
            <x:v>Capital Lease Payment Due + 3</x:v>
          </x:cell>
          <x:cell r="B618" t="str">
            <x:v>Capital Lease Payment Due + 3</x:v>
          </x:cell>
        </x:row>
        <x:row r="619">
          <x:cell r="A619" t="str">
            <x:v>Capital Lease Payment Due + 4</x:v>
          </x:cell>
          <x:cell r="B619" t="str">
            <x:v>Capital Lease Payment Due + 4</x:v>
          </x:cell>
        </x:row>
        <x:row r="620">
          <x:cell r="A620" t="str">
            <x:v>Capital Lease Payment Due + 5</x:v>
          </x:cell>
          <x:cell r="B620" t="str">
            <x:v>Capital Lease Payment Due + 5</x:v>
          </x:cell>
        </x:row>
        <x:row r="621">
          <x:cell r="A621" t="str">
            <x:v>Capital Lease Payment Due, Next Five Years</x:v>
          </x:cell>
          <x:cell r="B621" t="str">
            <x:v>Capital Lease Payment Due, Next Five Years</x:v>
          </x:cell>
        </x:row>
        <x:row r="622">
          <x:cell r="A622" t="str">
            <x:v>Capital Lease payment Due After 5 Years</x:v>
          </x:cell>
          <x:cell r="B622" t="str">
            <x:v>Capital Lease payment Due After 5 Years</x:v>
          </x:cell>
        </x:row>
        <x:row r="623">
          <x:cell r="A623" t="str">
            <x:v>Operating Lease Commitment+ 1</x:v>
          </x:cell>
          <x:cell r="B623" t="str">
            <x:v>Operating Lease Commitment+ 1</x:v>
          </x:cell>
        </x:row>
        <x:row r="624">
          <x:cell r="A624" t="str">
            <x:v>Operating Lease Commitment+ 2</x:v>
          </x:cell>
          <x:cell r="B624" t="str">
            <x:v>Operating Lease Commitment+ 2</x:v>
          </x:cell>
        </x:row>
        <x:row r="625">
          <x:cell r="A625" t="str">
            <x:v>Operating Lease Commitment+ 3</x:v>
          </x:cell>
          <x:cell r="B625" t="str">
            <x:v>Operating Lease Commitment+ 3</x:v>
          </x:cell>
        </x:row>
        <x:row r="626">
          <x:cell r="A626" t="str">
            <x:v>Operating Lease Commitment+ 4</x:v>
          </x:cell>
          <x:cell r="B626" t="str">
            <x:v>Operating Lease Commitment+ 4</x:v>
          </x:cell>
        </x:row>
        <x:row r="627">
          <x:cell r="A627" t="str">
            <x:v>Operating Lease Commitment+ 5</x:v>
          </x:cell>
          <x:cell r="B627" t="str">
            <x:v>Operating Lease Commitment+ 5</x:v>
          </x:cell>
        </x:row>
        <x:row r="628">
          <x:cell r="A628" t="str">
            <x:v>Operating Lease Commitment, Next Five Years</x:v>
          </x:cell>
          <x:cell r="B628" t="str">
            <x:v>Operating Lease Commitment, Next Five Years</x:v>
          </x:cell>
        </x:row>
        <x:row r="629">
          <x:cell r="A629" t="str">
            <x:v>Operating Lease CommitmentAfter 5 Years</x:v>
          </x:cell>
          <x:cell r="B629" t="str">
            <x:v>Operating Lease CommitmentAfter 5 Years</x:v>
          </x:cell>
        </x:row>
        <x:row r="630">
          <x:cell r="A630" t="str">
            <x:v>Present Value Adjustment on Operating Lease Liabilities</x:v>
          </x:cell>
          <x:cell r="B630" t="str">
            <x:v>Present Value Adjustment on Operating Lease Liabilities</x:v>
          </x:cell>
        </x:row>
        <x:row r="631">
          <x:cell r="A631" t="str">
            <x:v>Sub-Lease Income+ 1</x:v>
          </x:cell>
          <x:cell r="B631" t="str">
            <x:v>Sub-Lease Income+ 1</x:v>
          </x:cell>
        </x:row>
        <x:row r="632">
          <x:cell r="A632" t="str">
            <x:v>Sub-Lease Income+ 2</x:v>
          </x:cell>
          <x:cell r="B632" t="str">
            <x:v>Sub-Lease Income+ 2</x:v>
          </x:cell>
        </x:row>
        <x:row r="633">
          <x:cell r="A633" t="str">
            <x:v>Sub-Lease Income+ 3</x:v>
          </x:cell>
          <x:cell r="B633" t="str">
            <x:v>Sub-Lease Income+ 3</x:v>
          </x:cell>
        </x:row>
        <x:row r="634">
          <x:cell r="A634" t="str">
            <x:v>Sub-Lease Income+ 4</x:v>
          </x:cell>
          <x:cell r="B634" t="str">
            <x:v>Sub-Lease Income+ 4</x:v>
          </x:cell>
        </x:row>
        <x:row r="635">
          <x:cell r="A635" t="str">
            <x:v>Sub-Lease Income+ 5</x:v>
          </x:cell>
          <x:cell r="B635" t="str">
            <x:v>Sub-Lease Income+ 5</x:v>
          </x:cell>
        </x:row>
        <x:row r="636">
          <x:cell r="A636" t="str">
            <x:v>Sub-Lease Income, Next Five Years</x:v>
          </x:cell>
          <x:cell r="B636" t="str">
            <x:v>Sub-Lease Income, Next Five Years</x:v>
          </x:cell>
        </x:row>
        <x:row r="637">
          <x:cell r="A637" t="str">
            <x:v>Sub-Lease IncomeAfter 5 Years</x:v>
          </x:cell>
          <x:cell r="B637" t="str">
            <x:v>Sub-Lease IncomeAfter 5 Years</x:v>
          </x:cell>
        </x:row>
        <x:row r="638">
          <x:cell r="A638" t="str">
            <x:v>Contractual Obligations Due +1</x:v>
          </x:cell>
          <x:cell r="B638" t="str">
            <x:v>Contractual Obligations Due +1</x:v>
          </x:cell>
        </x:row>
        <x:row r="639">
          <x:cell r="A639" t="str">
            <x:v>Contractual Obligations Due + 2</x:v>
          </x:cell>
          <x:cell r="B639" t="str">
            <x:v>Contractual Obligations Due + 2</x:v>
          </x:cell>
        </x:row>
        <x:row r="640">
          <x:cell r="A640" t="str">
            <x:v>Contractual Obligations Due + 3</x:v>
          </x:cell>
          <x:cell r="B640" t="str">
            <x:v>Contractual Obligations Due + 3</x:v>
          </x:cell>
        </x:row>
        <x:row r="641">
          <x:cell r="A641" t="str">
            <x:v>Contractual Obligations Due + 4</x:v>
          </x:cell>
          <x:cell r="B641" t="str">
            <x:v>Contractual Obligations Due + 4</x:v>
          </x:cell>
        </x:row>
        <x:row r="642">
          <x:cell r="A642" t="str">
            <x:v>Contractual Obligations Due + 5</x:v>
          </x:cell>
          <x:cell r="B642" t="str">
            <x:v>Contractual Obligations Due + 5</x:v>
          </x:cell>
        </x:row>
        <x:row r="643">
          <x:cell r="A643" t="str">
            <x:v>Contractual Obligations Due, Next 5 Yrs</x:v>
          </x:cell>
          <x:cell r="B643" t="str">
            <x:v>Contractual Obligations Due, Next 5 Yrs</x:v>
          </x:cell>
        </x:row>
        <x:row r="644">
          <x:cell r="A644" t="str">
            <x:v>Contractual Obligations Due, After 5 Yrs</x:v>
          </x:cell>
          <x:cell r="B644" t="str">
            <x:v>Contractual Obligations Due, After 5 Yrs</x:v>
          </x:cell>
        </x:row>
        <x:row r="645">
          <x:cell r="A645" t="str">
            <x:v>Total Contractual Obligations</x:v>
          </x:cell>
          <x:cell r="B645" t="str">
            <x:v>Total Contractual Obligations</x:v>
          </x:cell>
        </x:row>
        <x:row r="646">
          <x:cell r="A646" t="str">
            <x:v>Interest Rate Data</x:v>
          </x:cell>
          <x:cell r="B646" t="str">
            <x:v>Interest Rate Data</x:v>
          </x:cell>
        </x:row>
        <x:row r="647">
          <x:cell r="A647" t="str">
            <x:v>W/Avg. Interest Rate - Long-term Debt</x:v>
          </x:cell>
          <x:cell r="B647" t="str">
            <x:v>W/Avg. Interest Rate - Long-term Debt</x:v>
          </x:cell>
        </x:row>
        <x:row r="648">
          <x:cell r="A648" t="str">
            <x:v>W/Avg. Interest Rate - Total Debt</x:v>
          </x:cell>
          <x:cell r="B648" t="str">
            <x:v>W/Avg. Interest Rate - Total Debt</x:v>
          </x:cell>
        </x:row>
        <x:row r="649">
          <x:cell r="A649" t="str">
            <x:v>Avg. Interest Rate + 1</x:v>
          </x:cell>
          <x:cell r="B649" t="str">
            <x:v>Avg. Interest Rate + 1</x:v>
          </x:cell>
        </x:row>
        <x:row r="650">
          <x:cell r="A650" t="str">
            <x:v>Avg. Interest Rate + 2</x:v>
          </x:cell>
          <x:cell r="B650" t="str">
            <x:v>Avg. Interest Rate + 2</x:v>
          </x:cell>
        </x:row>
        <x:row r="651">
          <x:cell r="A651" t="str">
            <x:v>Avg. Interest Rate + 3</x:v>
          </x:cell>
          <x:cell r="B651" t="str">
            <x:v>Avg. Interest Rate + 3</x:v>
          </x:cell>
        </x:row>
        <x:row r="652">
          <x:cell r="A652" t="str">
            <x:v>Avg. Interest Rate + 4</x:v>
          </x:cell>
          <x:cell r="B652" t="str">
            <x:v>Avg. Interest Rate + 4</x:v>
          </x:cell>
        </x:row>
        <x:row r="653">
          <x:cell r="A653" t="str">
            <x:v>Avg. Interest Rate + 5</x:v>
          </x:cell>
          <x:cell r="B653" t="str">
            <x:v>Avg. Interest Rate + 5</x:v>
          </x:cell>
        </x:row>
        <x:row r="654">
          <x:cell r="A654" t="str">
            <x:v>Avg. Interest Rate, After 5 Yrs</x:v>
          </x:cell>
          <x:cell r="B654" t="str">
            <x:v>Avg. Interest Rate, After 5 Yrs</x:v>
          </x:cell>
        </x:row>
        <x:row r="655">
          <x:cell r="A655" t="str">
            <x:v>Yes</x:v>
          </x:cell>
          <x:cell r="B655" t="str">
            <x:v>Yes</x:v>
          </x:cell>
        </x:row>
        <x:row r="656">
          <x:cell r="A656" t="str">
            <x:v>No</x:v>
          </x:cell>
          <x:cell r="B656" t="str">
            <x:v>No</x:v>
          </x:cell>
        </x:row>
        <x:row r="657">
          <x:cell r="A657" t="str">
            <x:v>Convertible</x:v>
          </x:cell>
          <x:cell r="B657" t="str">
            <x:v>Convertible</x:v>
          </x:cell>
        </x:row>
        <x:row r="658">
          <x:cell r="A658" t="str">
            <x:v>Repayment</x:v>
          </x:cell>
          <x:cell r="B658" t="str">
            <x:v>Repayment</x:v>
          </x:cell>
        </x:row>
        <x:row r="659">
          <x:cell r="A659" t="str">
            <x:v>Description</x:v>
          </x:cell>
          <x:cell r="B659" t="str">
            <x:v>Description</x:v>
          </x:cell>
        </x:row>
        <x:row r="660">
          <x:cell r="A660" t="str">
            <x:v>Type</x:v>
          </x:cell>
          <x:cell r="B660" t="str">
            <x:v>Type</x:v>
          </x:cell>
        </x:row>
        <x:row r="661">
          <x:cell r="A661" t="str">
            <x:v>Principal Due</x:v>
          </x:cell>
          <x:cell r="B661" t="str">
            <x:v>Principal Due</x:v>
          </x:cell>
        </x:row>
        <x:row r="662">
          <x:cell r="A662" t="str">
            <x:v>Coupon/Base Rate</x:v>
          </x:cell>
          <x:cell r="B662" t="str">
            <x:v>Coupon/Base Rate</x:v>
          </x:cell>
        </x:row>
        <x:row r="663">
          <x:cell r="A663" t="str">
            <x:v>Floating Rate</x:v>
          </x:cell>
          <x:cell r="B663" t="str">
            <x:v>Floating Rate</x:v>
          </x:cell>
        </x:row>
        <x:row r="664">
          <x:cell r="A664" t="str">
            <x:v>Coupon Type</x:v>
          </x:cell>
          <x:cell r="B664" t="str">
            <x:v>Coupon Type</x:v>
          </x:cell>
        </x:row>
        <x:row r="665">
          <x:cell r="A665" t="str">
            <x:v>Maturity</x:v>
          </x:cell>
          <x:cell r="B665" t="str">
            <x:v>Maturity</x:v>
          </x:cell>
        </x:row>
        <x:row r="666">
          <x:cell r="A666" t="str">
            <x:v>Seniority</x:v>
          </x:cell>
          <x:cell r="B666" t="str">
            <x:v>Seniority</x:v>
          </x:cell>
        </x:row>
        <x:row r="667">
          <x:cell r="A667" t="str">
            <x:v>Secured</x:v>
          </x:cell>
          <x:cell r="B667" t="str">
            <x:v>Secured</x:v>
          </x:cell>
        </x:row>
        <x:row r="668">
          <x:cell r="A668" t="str">
            <x:v>Profitability</x:v>
          </x:cell>
          <x:cell r="B668" t="str">
            <x:v>Profitability</x:v>
          </x:cell>
        </x:row>
        <x:row r="669">
          <x:cell r="A669" t="str">
            <x:v>Return on Assets %</x:v>
          </x:cell>
          <x:cell r="B669" t="str">
            <x:v>Return on Assets %</x:v>
          </x:cell>
        </x:row>
        <x:row r="670">
          <x:cell r="A670" t="str">
            <x:v>Return on Capital %</x:v>
          </x:cell>
          <x:cell r="B670" t="str">
            <x:v>Return on Capital %</x:v>
          </x:cell>
        </x:row>
        <x:row r="671">
          <x:cell r="A671" t="str">
            <x:v>Return on Equity %</x:v>
          </x:cell>
          <x:cell r="B671" t="str">
            <x:v>Return on Equity %</x:v>
          </x:cell>
        </x:row>
        <x:row r="672">
          <x:cell r="A672" t="str">
            <x:v>Return on Common Equity %</x:v>
          </x:cell>
          <x:cell r="B672" t="str">
            <x:v>Return on Common Equity %</x:v>
          </x:cell>
        </x:row>
        <x:row r="673">
          <x:cell r="A673" t="str">
            <x:v>Margin Analysis</x:v>
          </x:cell>
          <x:cell r="B673" t="str">
            <x:v>Margin Analysis</x:v>
          </x:cell>
        </x:row>
        <x:row r="674">
          <x:cell r="A674" t="str">
            <x:v>Gross Margin %</x:v>
          </x:cell>
          <x:cell r="B674" t="str">
            <x:v>Gross Margin %</x:v>
          </x:cell>
        </x:row>
        <x:row r="675">
          <x:cell r="A675" t="str">
            <x:v>SG&amp;A Margin %</x:v>
          </x:cell>
          <x:cell r="B675" t="str">
            <x:v>SG&amp;A Margin %</x:v>
          </x:cell>
        </x:row>
        <x:row r="676">
          <x:cell r="A676" t="str">
            <x:v>EBITDA Margin %</x:v>
          </x:cell>
          <x:cell r="B676" t="str">
            <x:v>EBITDA Margin %</x:v>
          </x:cell>
        </x:row>
        <x:row r="677">
          <x:cell r="A677" t="str">
            <x:v>EBITA Margin %</x:v>
          </x:cell>
          <x:cell r="B677" t="str">
            <x:v>EBITA Margin %</x:v>
          </x:cell>
        </x:row>
        <x:row r="678">
          <x:cell r="A678" t="str">
            <x:v>EBIT Margin %</x:v>
          </x:cell>
          <x:cell r="B678" t="str">
            <x:v>EBIT Margin %</x:v>
          </x:cell>
        </x:row>
        <x:row r="679">
          <x:cell r="A679" t="str">
            <x:v>Earnings from Cont. Ops Margin %</x:v>
          </x:cell>
          <x:cell r="B679" t="str">
            <x:v>Earnings from Cont. Ops Margin %</x:v>
          </x:cell>
        </x:row>
        <x:row r="680">
          <x:cell r="A680" t="str">
            <x:v>Net Income Margin %</x:v>
          </x:cell>
          <x:cell r="B680" t="str">
            <x:v>Net Income Margin %</x:v>
          </x:cell>
        </x:row>
        <x:row r="681">
          <x:cell r="A681" t="str">
            <x:v>Net Income Avail. for Common Margin %</x:v>
          </x:cell>
          <x:cell r="B681" t="str">
            <x:v>Net Income Avail. for Common Margin %</x:v>
          </x:cell>
        </x:row>
        <x:row r="682">
          <x:cell r="A682" t="str">
            <x:v>Normalized Net Income Margin %</x:v>
          </x:cell>
          <x:cell r="B682" t="str">
            <x:v>Normalized Net Income Margin %</x:v>
          </x:cell>
        </x:row>
        <x:row r="683">
          <x:cell r="A683" t="str">
            <x:v>Levered Free Cash Flow Margin %</x:v>
          </x:cell>
          <x:cell r="B683" t="str">
            <x:v>Levered Free Cash Flow Margin %</x:v>
          </x:cell>
        </x:row>
        <x:row r="684">
          <x:cell r="A684" t="str">
            <x:v>Unlevered Free Cash Flow Margin %</x:v>
          </x:cell>
          <x:cell r="B684" t="str">
            <x:v>Unlevered Free Cash Flow Margin %</x:v>
          </x:cell>
        </x:row>
        <x:row r="685">
          <x:cell r="A685" t="str">
            <x:v>Capex as % of Revenues</x:v>
          </x:cell>
          <x:cell r="B685" t="str">
            <x:v>Capex as % of Revenues</x:v>
          </x:cell>
        </x:row>
        <x:row r="686">
          <x:cell r="A686" t="str">
            <x:v>Asset Turnover</x:v>
          </x:cell>
          <x:cell r="B686" t="str">
            <x:v>Asset Turnover</x:v>
          </x:cell>
        </x:row>
        <x:row r="687">
          <x:cell r="A687" t="str">
            <x:v>Total Asset Turnover</x:v>
          </x:cell>
          <x:cell r="B687" t="str">
            <x:v>Total Asset Turnover</x:v>
          </x:cell>
        </x:row>
        <x:row r="688">
          <x:cell r="A688" t="str">
            <x:v>Fixed Asset Turnover</x:v>
          </x:cell>
          <x:cell r="B688" t="str">
            <x:v>Fixed Asset Turnover</x:v>
          </x:cell>
        </x:row>
        <x:row r="689">
          <x:cell r="A689" t="str">
            <x:v>Accounts Receivable Turnover</x:v>
          </x:cell>
          <x:cell r="B689" t="str">
            <x:v>Accounts Receivable Turnover</x:v>
          </x:cell>
        </x:row>
        <x:row r="690">
          <x:cell r="A690" t="str">
            <x:v>Inventory Turnover</x:v>
          </x:cell>
          <x:cell r="B690" t="str">
            <x:v>Inventory Turnover</x:v>
          </x:cell>
        </x:row>
        <x:row r="691">
          <x:cell r="A691" t="str">
            <x:v>Short Term Liquidity</x:v>
          </x:cell>
          <x:cell r="B691" t="str">
            <x:v>Short Term Liquidity</x:v>
          </x:cell>
        </x:row>
        <x:row r="692">
          <x:cell r="A692" t="str">
            <x:v>Current Ratio</x:v>
          </x:cell>
          <x:cell r="B692" t="str">
            <x:v>Current Ratio</x:v>
          </x:cell>
        </x:row>
        <x:row r="693">
          <x:cell r="A693" t="str">
            <x:v>Quick Ratio</x:v>
          </x:cell>
          <x:cell r="B693" t="str">
            <x:v>Quick Ratio</x:v>
          </x:cell>
        </x:row>
        <x:row r="694">
          <x:cell r="A694" t="str">
            <x:v>Cash from Ops. to Curr. Liab.</x:v>
          </x:cell>
          <x:cell r="B694" t="str">
            <x:v>Cash from Ops. to Curr. Liab.</x:v>
          </x:cell>
        </x:row>
        <x:row r="695">
          <x:cell r="A695" t="str">
            <x:v>Avg. Days Sales Out.</x:v>
          </x:cell>
          <x:cell r="B695" t="str">
            <x:v>Avg. Days Sales Out.</x:v>
          </x:cell>
        </x:row>
        <x:row r="696">
          <x:cell r="A696" t="str">
            <x:v>Avg. Days Inventory Out.</x:v>
          </x:cell>
          <x:cell r="B696" t="str">
            <x:v>Avg. Days Inventory Out.</x:v>
          </x:cell>
        </x:row>
        <x:row r="697">
          <x:cell r="A697" t="str">
            <x:v>Avg. Days Payable Out.</x:v>
          </x:cell>
          <x:cell r="B697" t="str">
            <x:v>Avg. Days Payable Out.</x:v>
          </x:cell>
        </x:row>
        <x:row r="698">
          <x:cell r="A698" t="str">
            <x:v>Avg. Cash Conversion Cycle</x:v>
          </x:cell>
          <x:cell r="B698" t="str">
            <x:v>Avg. Cash Conversion Cycle</x:v>
          </x:cell>
        </x:row>
        <x:row r="699">
          <x:cell r="A699" t="str">
            <x:v>Long Term Solvency</x:v>
          </x:cell>
          <x:cell r="B699" t="str">
            <x:v>Long Term Solvency</x:v>
          </x:cell>
        </x:row>
        <x:row r="700">
          <x:cell r="A700" t="str">
            <x:v>Total Debt/Equity</x:v>
          </x:cell>
          <x:cell r="B700" t="str">
            <x:v>Total Debt/Equity</x:v>
          </x:cell>
        </x:row>
        <x:row r="701">
          <x:cell r="A701" t="str">
            <x:v>Total Debt/Capital</x:v>
          </x:cell>
          <x:cell r="B701" t="str">
            <x:v>Total Debt/Capital</x:v>
          </x:cell>
        </x:row>
        <x:row r="702">
          <x:cell r="A702" t="str">
            <x:v>LT Debt/Equity</x:v>
          </x:cell>
          <x:cell r="B702" t="str">
            <x:v>LT Debt/Equity</x:v>
          </x:cell>
        </x:row>
        <x:row r="703">
          <x:cell r="A703" t="str">
            <x:v>LT Debt/Capital</x:v>
          </x:cell>
          <x:cell r="B703" t="str">
            <x:v>LT Debt/Capital</x:v>
          </x:cell>
        </x:row>
        <x:row r="704">
          <x:cell r="A704" t="str">
            <x:v>Total Liabilities/Total Assets</x:v>
          </x:cell>
          <x:cell r="B704" t="str">
            <x:v>Total Liabilities/Total Assets</x:v>
          </x:cell>
        </x:row>
        <x:row r="705">
          <x:cell r="A705" t="str">
            <x:v>EBIT / Interest Exp.</x:v>
          </x:cell>
          <x:cell r="B705" t="str">
            <x:v>EBIT / Interest Exp.</x:v>
          </x:cell>
        </x:row>
        <x:row r="706">
          <x:cell r="A706" t="str">
            <x:v>EBITDA / Interest Exp.</x:v>
          </x:cell>
          <x:cell r="B706" t="str">
            <x:v>EBITDA / Interest Exp.</x:v>
          </x:cell>
        </x:row>
        <x:row r="707">
          <x:cell r="A707" t="str">
            <x:v>EBITDA, Excl. Operating Leases / Interest Exp.</x:v>
          </x:cell>
          <x:cell r="B707" t="str">
            <x:v>EBITDA, Excl. Operating Leases / Interest Exp.</x:v>
          </x:cell>
        </x:row>
        <x:row r="708">
          <x:cell r="A708" t="str">
            <x:v>(EBITDA-CAPEX) / Interest Exp.</x:v>
          </x:cell>
          <x:cell r="B708" t="str">
            <x:v>(EBITDA-CAPEX) / Interest Exp.</x:v>
          </x:cell>
        </x:row>
        <x:row r="709">
          <x:cell r="A709" t="str">
            <x:v>(EBITDA, Excl. Operating Leases-CAPEX)/Interest Exp.</x:v>
          </x:cell>
          <x:cell r="B709" t="str">
            <x:v>(EBITDA, Excl. Operating Leases-CAPEX)/Interest Exp.</x:v>
          </x:cell>
        </x:row>
        <x:row r="710">
          <x:cell r="A710" t="str">
            <x:v>Altman Z Score</x:v>
          </x:cell>
          <x:cell r="B710" t="str">
            <x:v>Altman Z Score</x:v>
          </x:cell>
        </x:row>
        <x:row r="711">
          <x:cell r="A711" t="str">
            <x:v>Total Revenues / Employee</x:v>
          </x:cell>
          <x:cell r="B711" t="str">
            <x:v>Total Revenues / Employee</x:v>
          </x:cell>
        </x:row>
        <x:row r="712">
          <x:cell r="A712" t="str">
            <x:v>Growth Over Prior Year</x:v>
          </x:cell>
          <x:cell r="B712" t="str">
            <x:v>Growth Over Prior Year</x:v>
          </x:cell>
        </x:row>
        <x:row r="713">
          <x:cell r="A713" t="str">
            <x:v>Diluted EPS before Extra</x:v>
          </x:cell>
          <x:cell r="B713" t="str">
            <x:v>Diluted EPS before Extra</x:v>
          </x:cell>
        </x:row>
        <x:row r="714">
          <x:cell r="A714" t="str">
            <x:v>Net PP&amp;E</x:v>
          </x:cell>
          <x:cell r="B714" t="str">
            <x:v>Net PP&amp;E</x:v>
          </x:cell>
        </x:row>
        <x:row r="715">
          <x:cell r="A715" t="str">
            <x:v>Total Assets</x:v>
          </x:cell>
          <x:cell r="B715" t="str">
            <x:v>Total Assets</x:v>
          </x:cell>
        </x:row>
        <x:row r="716">
          <x:cell r="A716" t="str">
            <x:v>Capital Expenditures</x:v>
          </x:cell>
          <x:cell r="B716" t="str">
            <x:v>Capital Expenditures</x:v>
          </x:cell>
        </x:row>
        <x:row r="717">
          <x:cell r="A717" t="str">
            <x:v>Dividend per Share</x:v>
          </x:cell>
          <x:cell r="B717" t="str">
            <x:v>Dividend per Share</x:v>
          </x:cell>
        </x:row>
        <x:row r="718">
          <x:cell r="A718" t="str">
            <x:v>Levered Free Cash Flow</x:v>
          </x:cell>
          <x:cell r="B718" t="str">
            <x:v>Levered Free Cash Flow</x:v>
          </x:cell>
        </x:row>
        <x:row r="719">
          <x:cell r="A719" t="str">
            <x:v>Unlevered Free Cash Flow</x:v>
          </x:cell>
          <x:cell r="B719" t="str">
            <x:v>Unlevered Free Cash Flow</x:v>
          </x:cell>
        </x:row>
        <x:row r="720">
          <x:cell r="A720" t="str">
            <x:v>Compounded Annual Growth Rate Over Two Years</x:v>
          </x:cell>
          <x:cell r="B720" t="str">
            <x:v>Compounded Annual Growth Rate Over Two Years</x:v>
          </x:cell>
        </x:row>
        <x:row r="721">
          <x:cell r="A721" t="str">
            <x:v>Compounded Annual Growth Rate Over Three Years</x:v>
          </x:cell>
          <x:cell r="B721" t="str">
            <x:v>Compounded Annual Growth Rate Over Three Years</x:v>
          </x:cell>
        </x:row>
        <x:row r="722">
          <x:cell r="A722" t="str">
            <x:v>Compounded Annual Growth Rate Over Five Years</x:v>
          </x:cell>
          <x:cell r="B722" t="str">
            <x:v>Compounded Annual Growth Rate Over Five Years</x:v>
          </x:cell>
        </x:row>
        <x:row r="723">
          <x:cell r="A723" t="str">
            <x:v>Source:  S&amp;P Capital IQ</x:v>
          </x:cell>
          <x:cell r="B723" t="str">
            <x:v>Source:  S&amp;P Capital IQ</x:v>
          </x:cell>
        </x:row>
        <x:row r="724">
          <x:cell r="A724" t="str">
            <x:v>Auditor Name</x:v>
          </x:cell>
          <x:cell r="B724" t="str">
            <x:v>Auditor Name</x:v>
          </x:cell>
        </x:row>
        <x:row r="725">
          <x:cell r="A725" t="str">
            <x:v>Auditor Opinion</x:v>
          </x:cell>
          <x:cell r="B725" t="str">
            <x:v>Auditor Opinion</x:v>
          </x:cell>
        </x:row>
        <x:row r="726">
          <x:cell r="A726" t="str">
            <x:v>Long Term Film Contract and Broadcasting Rights</x:v>
          </x:cell>
          <x:cell r="B726" t="str">
            <x:v>Long Term Film Contract and Broadcasting Rights</x:v>
          </x:cell>
        </x:row>
        <x:row r="727">
          <x:cell r="A727" t="str">
            <x:v>Assets Under Management - Equity</x:v>
          </x:cell>
          <x:cell r="B727" t="str">
            <x:v>Assets Under Management - Equity</x:v>
          </x:cell>
        </x:row>
        <x:row r="728">
          <x:cell r="A728" t="str">
            <x:v>Assets Under Management - Fixed Income</x:v>
          </x:cell>
          <x:cell r="B728" t="str">
            <x:v>Assets Under Management - Fixed Income</x:v>
          </x:cell>
        </x:row>
        <x:row r="729">
          <x:cell r="A729" t="str">
            <x:v>Assets Under Management - Money Market</x:v>
          </x:cell>
          <x:cell r="B729" t="str">
            <x:v>Assets Under Management - Money Market</x:v>
          </x:cell>
        </x:row>
        <x:row r="730">
          <x:cell r="A730" t="str">
            <x:v>Assets Under Management - Other</x:v>
          </x:cell>
          <x:cell r="B730" t="str">
            <x:v>Assets Under Management - Other</x:v>
          </x:cell>
        </x:row>
        <x:row r="731">
          <x:cell r="A731" t="str">
            <x:v>Assets Under Management</x:v>
          </x:cell>
          <x:cell r="B731" t="str">
            <x:v>Assets Under Management</x:v>
          </x:cell>
        </x:row>
        <x:row r="732">
          <x:cell r="A732" t="str">
            <x:v>Assets Under Management - Private Equity</x:v>
          </x:cell>
          <x:cell r="B732" t="str">
            <x:v>Assets Under Management - Private Equity</x:v>
          </x:cell>
        </x:row>
        <x:row r="733">
          <x:cell r="A733" t="str">
            <x:v>Assets Under Management - Real Estate</x:v>
          </x:cell>
          <x:cell r="B733" t="str">
            <x:v>Assets Under Management - Real Estate</x:v>
          </x:cell>
        </x:row>
        <x:row r="734">
          <x:cell r="A734" t="str">
            <x:v>Assets Under Management - Institutional</x:v>
          </x:cell>
          <x:cell r="B734" t="str">
            <x:v>Assets Under Management - Institutional</x:v>
          </x:cell>
        </x:row>
        <x:row r="735">
          <x:cell r="A735" t="str">
            <x:v>Assets Under Management - Retail</x:v>
          </x:cell>
          <x:cell r="B735" t="str">
            <x:v>Assets Under Management - Retail</x:v>
          </x:cell>
        </x:row>
        <x:row r="736">
          <x:cell r="A736" t="str">
            <x:v>Assets Under Management - High Net Worth</x:v>
          </x:cell>
          <x:cell r="B736" t="str">
            <x:v>Assets Under Management - High Net Worth</x:v>
          </x:cell>
        </x:row>
        <x:row r="737">
          <x:cell r="A737" t="str">
            <x:v>Assets Under Management - Other Clients</x:v>
          </x:cell>
          <x:cell r="B737" t="str">
            <x:v>Assets Under Management - Other Clients</x:v>
          </x:cell>
        </x:row>
        <x:row r="738">
          <x:cell r="A738" t="str">
            <x:v>Assets Under Management - Domestic</x:v>
          </x:cell>
          <x:cell r="B738" t="str">
            <x:v>Assets Under Management - Domestic</x:v>
          </x:cell>
        </x:row>
        <x:row r="739">
          <x:cell r="A739" t="str">
            <x:v>Assets Under Management - Foreign</x:v>
          </x:cell>
          <x:cell r="B739" t="str">
            <x:v>Assets Under Management - Foreign</x:v>
          </x:cell>
        </x:row>
        <x:row r="740">
          <x:cell r="A740" t="str">
            <x:v>Assets Under Management - Fee Earning</x:v>
          </x:cell>
          <x:cell r="B740" t="str">
            <x:v>Assets Under Management - Fee Earning</x:v>
          </x:cell>
        </x:row>
        <x:row r="741">
          <x:cell r="A741" t="str">
            <x:v>Assets Under Management - Non Fee Earning</x:v>
          </x:cell>
          <x:cell r="B741" t="str">
            <x:v>Assets Under Management - Non Fee Earning</x:v>
          </x:cell>
        </x:row>
        <x:row r="742">
          <x:cell r="A742" t="str">
            <x:v>Assets Under Management - Retail Customers</x:v>
          </x:cell>
          <x:cell r="B742" t="str">
            <x:v>Assets Under Management - Retail Customers</x:v>
          </x:cell>
        </x:row>
        <x:row r="743">
          <x:cell r="A743" t="str">
            <x:v>Assets Under Management - Institutional Customers</x:v>
          </x:cell>
          <x:cell r="B743" t="str">
            <x:v>Assets Under Management - Institutional Customers</x:v>
          </x:cell>
        </x:row>
        <x:row r="744">
          <x:cell r="A744" t="str">
            <x:v>Assets Under Management - Small, Medium Enterprise Customers</x:v>
          </x:cell>
          <x:cell r="B744" t="str">
            <x:v>Assets Under Management - Small, Medium Enterprise Customers</x:v>
          </x:cell>
        </x:row>
        <x:row r="745">
          <x:cell r="A745" t="str">
            <x:v>Assets Under Management - Other Customers</x:v>
          </x:cell>
          <x:cell r="B745" t="str">
            <x:v>Assets Under Management - Other Customers</x:v>
          </x:cell>
        </x:row>
        <x:row r="746">
          <x:cell r="A746" t="str">
            <x:v>Assets Under Management - Total Customers</x:v>
          </x:cell>
          <x:cell r="B746" t="str">
            <x:v>Assets Under Management - Total Customers</x:v>
          </x:cell>
        </x:row>
        <x:row r="747">
          <x:cell r="A747" t="str">
            <x:v>Assets Under Management - Beginning of Period</x:v>
          </x:cell>
          <x:cell r="B747" t="str">
            <x:v>Assets Under Management - Beginning of Period</x:v>
          </x:cell>
        </x:row>
        <x:row r="748">
          <x:cell r="A748" t="str">
            <x:v>Assets Under Management - Inflows</x:v>
          </x:cell>
          <x:cell r="B748" t="str">
            <x:v>Assets Under Management - Inflows</x:v>
          </x:cell>
        </x:row>
        <x:row r="749">
          <x:cell r="A749" t="str">
            <x:v>Assets Under Management - Outflows</x:v>
          </x:cell>
          <x:cell r="B749" t="str">
            <x:v>Assets Under Management - Outflows</x:v>
          </x:cell>
        </x:row>
        <x:row r="750">
          <x:cell r="A750" t="str">
            <x:v>Assets Under Management - Net Inflows / (Outflows)</x:v>
          </x:cell>
          <x:cell r="B750" t="str">
            <x:v>Assets Under Management - Net Inflows / (Outflows)</x:v>
          </x:cell>
        </x:row>
        <x:row r="751">
          <x:cell r="A751" t="str">
            <x:v>Assets Under Management - Cash Flows &amp; Dividends</x:v>
          </x:cell>
          <x:cell r="B751" t="str">
            <x:v>Assets Under Management - Cash Flows &amp; Dividends</x:v>
          </x:cell>
        </x:row>
        <x:row r="752">
          <x:cell r="A752" t="str">
            <x:v>Assets Under Management - Market Appreciation / (Depreciation)</x:v>
          </x:cell>
          <x:cell r="B752" t="str">
            <x:v>Assets Under Management - Market Appreciation / (Depreciation)</x:v>
          </x:cell>
        </x:row>
        <x:row r="753">
          <x:cell r="A753" t="str">
            <x:v>Assets Under Management - Acquisitions and Transfers</x:v>
          </x:cell>
          <x:cell r="B753" t="str">
            <x:v>Assets Under Management - Acquisitions and Transfers</x:v>
          </x:cell>
        </x:row>
        <x:row r="754">
          <x:cell r="A754" t="str">
            <x:v>Assets Under Management - Other Adjustments</x:v>
          </x:cell>
          <x:cell r="B754" t="str">
            <x:v>Assets Under Management - Other Adjustments</x:v>
          </x:cell>
        </x:row>
        <x:row r="755">
          <x:cell r="A755" t="str">
            <x:v>Assets Under Management - End of Period</x:v>
          </x:cell>
          <x:cell r="B755" t="str">
            <x:v>Assets Under Management - End of Period</x:v>
          </x:cell>
        </x:row>
        <x:row r="756">
          <x:cell r="A756" t="str">
            <x:v>Assets Under Management - Average</x:v>
          </x:cell>
          <x:cell r="B756" t="str">
            <x:v>Assets Under Management - Average</x:v>
          </x:cell>
        </x:row>
        <x:row r="757">
          <x:cell r="A757" t="str">
            <x:v>Assets Under Management - Net Change</x:v>
          </x:cell>
          <x:cell r="B757" t="str">
            <x:v>Assets Under Management - Net Change</x:v>
          </x:cell>
        </x:row>
        <x:row r="758">
          <x:cell r="A758" t="str">
            <x:v>Mutual Fund - Beginning of Period</x:v>
          </x:cell>
          <x:cell r="B758" t="str">
            <x:v>Mutual Fund - Beginning of Period</x:v>
          </x:cell>
        </x:row>
        <x:row r="759">
          <x:cell r="A759" t="str">
            <x:v>Mutual Fund - Sales</x:v>
          </x:cell>
          <x:cell r="B759" t="str">
            <x:v>Mutual Fund - Sales</x:v>
          </x:cell>
        </x:row>
        <x:row r="760">
          <x:cell r="A760" t="str">
            <x:v>Mutual Fund - Redemptions</x:v>
          </x:cell>
          <x:cell r="B760" t="str">
            <x:v>Mutual Fund - Redemptions</x:v>
          </x:cell>
        </x:row>
        <x:row r="761">
          <x:cell r="A761" t="str">
            <x:v>Mutual Fund - Net Sales</x:v>
          </x:cell>
          <x:cell r="B761" t="str">
            <x:v>Mutual Fund - Net Sales</x:v>
          </x:cell>
        </x:row>
        <x:row r="762">
          <x:cell r="A762" t="str">
            <x:v>Mutual Fund - Market Appreciation / (Depreciation)</x:v>
          </x:cell>
          <x:cell r="B762" t="str">
            <x:v>Mutual Fund - Market Appreciation / (Depreciation)</x:v>
          </x:cell>
        </x:row>
        <x:row r="763">
          <x:cell r="A763" t="str">
            <x:v>Mutual Fund - Acquisitions and Other</x:v>
          </x:cell>
          <x:cell r="B763" t="str">
            <x:v>Mutual Fund - Acquisitions and Other</x:v>
          </x:cell>
        </x:row>
        <x:row r="764">
          <x:cell r="A764" t="str">
            <x:v>Mutual Fund - End of Period</x:v>
          </x:cell>
          <x:cell r="B764" t="str">
            <x:v>Mutual Fund - End of Period</x:v>
          </x:cell>
        </x:row>
        <x:row r="765">
          <x:cell r="A765" t="str">
            <x:v>Daily Average Revenue Trades</x:v>
          </x:cell>
          <x:cell r="B765" t="str">
            <x:v>Daily Average Revenue Trades</x:v>
          </x:cell>
        </x:row>
        <x:row r="766">
          <x:cell r="A766" t="str">
            <x:v>Number of Trades Executed</x:v>
          </x:cell>
          <x:cell r="B766" t="str">
            <x:v>Number of Trades Executed</x:v>
          </x:cell>
        </x:row>
        <x:row r="767">
          <x:cell r="A767" t="str">
            <x:v>Organic Growth Rate</x:v>
          </x:cell>
          <x:cell r="B767" t="str">
            <x:v>Organic Growth Rate</x:v>
          </x:cell>
        </x:row>
        <x:row r="768">
          <x:cell r="A768" t="str">
            <x:v>Net New Client Assets</x:v>
          </x:cell>
          <x:cell r="B768" t="str">
            <x:v>Net New Client Assets</x:v>
          </x:cell>
        </x:row>
        <x:row r="769">
          <x:cell r="A769" t="str">
            <x:v>Average Revenue Per Trade</x:v>
          </x:cell>
          <x:cell r="B769" t="str">
            <x:v>Average Revenue Per Trade</x:v>
          </x:cell>
        </x:row>
        <x:row r="770">
          <x:cell r="A770" t="str">
            <x:v>Assets Under Administration</x:v>
          </x:cell>
          <x:cell r="B770" t="str">
            <x:v>Assets Under Administration</x:v>
          </x:cell>
        </x:row>
        <x:row r="771">
          <x:cell r="A771" t="str">
            <x:v>Value of Customer Assets</x:v>
          </x:cell>
          <x:cell r="B771" t="str">
            <x:v>Value of Customer Assets</x:v>
          </x:cell>
        </x:row>
        <x:row r="772">
          <x:cell r="A772" t="str">
            <x:v>Asset Managed Growth Rate</x:v>
          </x:cell>
          <x:cell r="B772" t="str">
            <x:v>Asset Managed Growth Rate</x:v>
          </x:cell>
        </x:row>
        <x:row r="773">
          <x:cell r="A773" t="str">
            <x:v>Assets under Capital Lease - Gross</x:v>
          </x:cell>
          <x:cell r="B773" t="str">
            <x:v>Assets under Capital Lease - Gross</x:v>
          </x:cell>
        </x:row>
        <x:row r="774">
          <x:cell r="A774" t="str">
            <x:v>Assets under Capital Lease - Accumulated Depreciation</x:v>
          </x:cell>
          <x:cell r="B774" t="str">
            <x:v>Assets under Capital Lease - Accumulated Depreciation</x:v>
          </x:cell>
        </x:row>
        <x:row r="775">
          <x:cell r="A775" t="str">
            <x:v>Assets on Operating Lease - Gross</x:v>
          </x:cell>
          <x:cell r="B775" t="str">
            <x:v>Assets on Operating Lease - Gross</x:v>
          </x:cell>
        </x:row>
        <x:row r="776">
          <x:cell r="A776" t="str">
            <x:v>Assets on Operating Lease - Accumulated Depreciation</x:v>
          </x:cell>
          <x:cell r="B776" t="str">
            <x:v>Assets on Operating Lease - Accumulated Depreciation</x:v>
          </x:cell>
        </x:row>
        <x:row r="777">
          <x:cell r="A777" t="str">
            <x:v>Accumulated Allowance for Doubtful Accounts</x:v>
          </x:cell>
          <x:cell r="B777" t="str">
            <x:v>Accumulated Allowance for Doubtful Accounts</x:v>
          </x:cell>
        </x:row>
        <x:row r="778">
          <x:cell r="A778" t="str">
            <x:v>Options Out. at the Beginning of the Year</x:v>
          </x:cell>
          <x:cell r="B778" t="str">
            <x:v>Options Out. at the Beginning of the Year</x:v>
          </x:cell>
        </x:row>
        <x:row r="779">
          <x:cell r="A779" t="str">
            <x:v>Options Granted During the Year</x:v>
          </x:cell>
          <x:cell r="B779" t="str">
            <x:v>Options Granted During the Year</x:v>
          </x:cell>
        </x:row>
        <x:row r="780">
          <x:cell r="A780" t="str">
            <x:v>Options Exercised During the Year</x:v>
          </x:cell>
          <x:cell r="B780" t="str">
            <x:v>Options Exercised During the Year</x:v>
          </x:cell>
        </x:row>
        <x:row r="781">
          <x:cell r="A781" t="str">
            <x:v>Options Cancelled During the Year</x:v>
          </x:cell>
          <x:cell r="B781" t="str">
            <x:v>Options Cancelled During the Year</x:v>
          </x:cell>
        </x:row>
        <x:row r="782">
          <x:cell r="A782" t="str">
            <x:v>Options Out. at the End of the Year</x:v>
          </x:cell>
          <x:cell r="B782" t="str">
            <x:v>Options Out. at the End of the Year</x:v>
          </x:cell>
        </x:row>
        <x:row r="783">
          <x:cell r="A783" t="str">
            <x:v>Options Exercisable at the End of the Period</x:v>
          </x:cell>
          <x:cell r="B783" t="str">
            <x:v>Options Exercisable at the End of the Period</x:v>
          </x:cell>
        </x:row>
        <x:row r="784">
          <x:cell r="A784" t="str">
            <x:v>Options W/Avg. Strike Price of Out. at Beginning of Period</x:v>
          </x:cell>
          <x:cell r="B784" t="str">
            <x:v>Options W/Avg. Strike Price of Out. at Beginning of Period</x:v>
          </x:cell>
        </x:row>
        <x:row r="785">
          <x:cell r="A785" t="str">
            <x:v>Options W/Avg Strike Price of Granted</x:v>
          </x:cell>
          <x:cell r="B785" t="str">
            <x:v>Options W/Avg Strike Price of Granted</x:v>
          </x:cell>
        </x:row>
        <x:row r="786">
          <x:cell r="A786" t="str">
            <x:v>Options W/Avg. Strike Price of Exercised</x:v>
          </x:cell>
          <x:cell r="B786" t="str">
            <x:v>Options W/Avg. Strike Price of Exercised</x:v>
          </x:cell>
        </x:row>
        <x:row r="787">
          <x:cell r="A787" t="str">
            <x:v>Options W/Avg. Strike Price of Cancelled</x:v>
          </x:cell>
          <x:cell r="B787" t="str">
            <x:v>Options W/Avg. Strike Price of Cancelled</x:v>
          </x:cell>
        </x:row>
        <x:row r="788">
          <x:cell r="A788" t="str">
            <x:v>Options W/Avg. Strike Price of Out.</x:v>
          </x:cell>
          <x:cell r="B788" t="str">
            <x:v>Options W/Avg. Strike Price of Out.</x:v>
          </x:cell>
        </x:row>
        <x:row r="789">
          <x:cell r="A789" t="str">
            <x:v>Options W/Avg. Strike Price of Exercisable</x:v>
          </x:cell>
          <x:cell r="B789" t="str">
            <x:v>Options W/Avg. Strike Price of Exercisable</x:v>
          </x:cell>
        </x:row>
        <x:row r="790">
          <x:cell r="A790" t="str">
            <x:v>Options Out. at the Beginning of Year - Class A</x:v>
          </x:cell>
          <x:cell r="B790" t="str">
            <x:v>Options Out. at the Beginning of Year - Class A</x:v>
          </x:cell>
        </x:row>
        <x:row r="791">
          <x:cell r="A791" t="str">
            <x:v>Options Granted During the Year - Class A</x:v>
          </x:cell>
          <x:cell r="B791" t="str">
            <x:v>Options Granted During the Year - Class A</x:v>
          </x:cell>
        </x:row>
        <x:row r="792">
          <x:cell r="A792" t="str">
            <x:v>Options Exercised During the Year - Class A</x:v>
          </x:cell>
          <x:cell r="B792" t="str">
            <x:v>Options Exercised During the Year - Class A</x:v>
          </x:cell>
        </x:row>
        <x:row r="793">
          <x:cell r="A793" t="str">
            <x:v>Options Cancelled During the Year - Class A</x:v>
          </x:cell>
          <x:cell r="B793" t="str">
            <x:v>Options Cancelled During the Year - Class A</x:v>
          </x:cell>
        </x:row>
        <x:row r="794">
          <x:cell r="A794" t="str">
            <x:v>Options Out. at the End of the Year - Class A</x:v>
          </x:cell>
          <x:cell r="B794" t="str">
            <x:v>Options Out. at the End of the Year - Class A</x:v>
          </x:cell>
        </x:row>
        <x:row r="795">
          <x:cell r="A795" t="str">
            <x:v>Options Exercisable at End of Period - Class A</x:v>
          </x:cell>
          <x:cell r="B795" t="str">
            <x:v>Options Exercisable at End of Period - Class A</x:v>
          </x:cell>
        </x:row>
        <x:row r="796">
          <x:cell r="A796" t="str">
            <x:v>Options W/Avg. Strike Price of Out. at Beginning of Period - Class A</x:v>
          </x:cell>
          <x:cell r="B796" t="str">
            <x:v>Options W/Avg. Strike Price of Out. at Beginning of Period - Class A</x:v>
          </x:cell>
        </x:row>
        <x:row r="797">
          <x:cell r="A797" t="str">
            <x:v>Options W/Avg Strike Price of Granted - Class A</x:v>
          </x:cell>
          <x:cell r="B797" t="str">
            <x:v>Options W/Avg Strike Price of Granted - Class A</x:v>
          </x:cell>
        </x:row>
        <x:row r="798">
          <x:cell r="A798" t="str">
            <x:v>Options W/Avg. Strike Price of Exercised - Class A</x:v>
          </x:cell>
          <x:cell r="B798" t="str">
            <x:v>Options W/Avg. Strike Price of Exercised - Class A</x:v>
          </x:cell>
        </x:row>
        <x:row r="799">
          <x:cell r="A799" t="str">
            <x:v>Options W/Avg. Strike Price of Cancelled - Class A</x:v>
          </x:cell>
          <x:cell r="B799" t="str">
            <x:v>Options W/Avg. Strike Price of Cancelled - Class A</x:v>
          </x:cell>
        </x:row>
        <x:row r="800">
          <x:cell r="A800" t="str">
            <x:v>Options W/Avg. Strike Price of Out. - Class A</x:v>
          </x:cell>
          <x:cell r="B800" t="str">
            <x:v>Options W/Avg. Strike Price of Out. - Class A</x:v>
          </x:cell>
        </x:row>
        <x:row r="801">
          <x:cell r="A801" t="str">
            <x:v>Options W/Avg. Strike Price of Exercisable - Class A</x:v>
          </x:cell>
          <x:cell r="B801" t="str">
            <x:v>Options W/Avg. Strike Price of Exercisable - Class A</x:v>
          </x:cell>
        </x:row>
        <x:row r="802">
          <x:cell r="A802" t="str">
            <x:v>Options Out. at the Beginning of the Year - Other</x:v>
          </x:cell>
          <x:cell r="B802" t="str">
            <x:v>Options Out. at the Beginning of the Year - Other</x:v>
          </x:cell>
        </x:row>
        <x:row r="803">
          <x:cell r="A803" t="str">
            <x:v>Options Granted During the Year - Other</x:v>
          </x:cell>
          <x:cell r="B803" t="str">
            <x:v>Options Granted During the Year - Other</x:v>
          </x:cell>
        </x:row>
        <x:row r="804">
          <x:cell r="A804" t="str">
            <x:v>Options Exercised During the Year - Other</x:v>
          </x:cell>
          <x:cell r="B804" t="str">
            <x:v>Options Exercised During the Year - Other</x:v>
          </x:cell>
        </x:row>
        <x:row r="805">
          <x:cell r="A805" t="str">
            <x:v>Options Cancelled During the Year - Other</x:v>
          </x:cell>
          <x:cell r="B805" t="str">
            <x:v>Options Cancelled During the Year - Other</x:v>
          </x:cell>
        </x:row>
        <x:row r="806">
          <x:cell r="A806" t="str">
            <x:v>Options Out. at the End of the Year - Other</x:v>
          </x:cell>
          <x:cell r="B806" t="str">
            <x:v>Options Out. at the End of the Year - Other</x:v>
          </x:cell>
        </x:row>
        <x:row r="807">
          <x:cell r="A807" t="str">
            <x:v>Options Exercisable at End of Period - Other</x:v>
          </x:cell>
          <x:cell r="B807" t="str">
            <x:v>Options Exercisable at End of Period - Other</x:v>
          </x:cell>
        </x:row>
        <x:row r="808">
          <x:cell r="A808" t="str">
            <x:v>Options W/Avg. Strike Price of Out. at Beginning of Period - Other</x:v>
          </x:cell>
          <x:cell r="B808" t="str">
            <x:v>Options W/Avg. Strike Price of Out. at Beginning of Period - Other</x:v>
          </x:cell>
        </x:row>
        <x:row r="809">
          <x:cell r="A809" t="str">
            <x:v>Options W/Avg Strike Price of Granted - Other</x:v>
          </x:cell>
          <x:cell r="B809" t="str">
            <x:v>Options W/Avg Strike Price of Granted - Other</x:v>
          </x:cell>
        </x:row>
        <x:row r="810">
          <x:cell r="A810" t="str">
            <x:v>Options W/Avg. Strike Price of Exercised - Other</x:v>
          </x:cell>
          <x:cell r="B810" t="str">
            <x:v>Options W/Avg. Strike Price of Exercised - Other</x:v>
          </x:cell>
        </x:row>
        <x:row r="811">
          <x:cell r="A811" t="str">
            <x:v>Options W/Avg. Strike Price of Cancelled - Other</x:v>
          </x:cell>
          <x:cell r="B811" t="str">
            <x:v>Options W/Avg. Strike Price of Cancelled - Other</x:v>
          </x:cell>
        </x:row>
        <x:row r="812">
          <x:cell r="A812" t="str">
            <x:v>Options W/Avg. Strike Price of Out. - Other</x:v>
          </x:cell>
          <x:cell r="B812" t="str">
            <x:v>Options W/Avg. Strike Price of Out. - Other</x:v>
          </x:cell>
        </x:row>
        <x:row r="813">
          <x:cell r="A813" t="str">
            <x:v>Options W/Avg. Strike Price of Exercisable - Other</x:v>
          </x:cell>
          <x:cell r="B813" t="str">
            <x:v>Options W/Avg. Strike Price of Exercisable - Other</x:v>
          </x:cell>
        </x:row>
        <x:row r="814">
          <x:cell r="A814" t="str">
            <x:v>Total Options Out. at Beginning of Year</x:v>
          </x:cell>
          <x:cell r="B814" t="str">
            <x:v>Total Options Out. at Beginning of Year</x:v>
          </x:cell>
        </x:row>
        <x:row r="815">
          <x:cell r="A815" t="str">
            <x:v>Total Options Granted During the Year</x:v>
          </x:cell>
          <x:cell r="B815" t="str">
            <x:v>Total Options Granted During the Year</x:v>
          </x:cell>
        </x:row>
        <x:row r="816">
          <x:cell r="A816" t="str">
            <x:v>Total Options Exercised During the Year</x:v>
          </x:cell>
          <x:cell r="B816" t="str">
            <x:v>Total Options Exercised During the Year</x:v>
          </x:cell>
        </x:row>
        <x:row r="817">
          <x:cell r="A817" t="str">
            <x:v>Total Options Cancelled During the Year</x:v>
          </x:cell>
          <x:cell r="B817" t="str">
            <x:v>Total Options Cancelled During the Year</x:v>
          </x:cell>
        </x:row>
        <x:row r="818">
          <x:cell r="A818" t="str">
            <x:v>Total Options Out. at the End of Year</x:v>
          </x:cell>
          <x:cell r="B818" t="str">
            <x:v>Total Options Out. at the End of Year</x:v>
          </x:cell>
        </x:row>
        <x:row r="819">
          <x:cell r="A819" t="str">
            <x:v>Total Options Exercisable at the End of the Period</x:v>
          </x:cell>
          <x:cell r="B819" t="str">
            <x:v>Total Options Exercisable at the End of the Period</x:v>
          </x:cell>
        </x:row>
        <x:row r="820">
          <x:cell r="A820" t="str">
            <x:v>Warrants Out. at the Beginning of the Year</x:v>
          </x:cell>
          <x:cell r="B820" t="str">
            <x:v>Warrants Out. at the Beginning of the Year</x:v>
          </x:cell>
        </x:row>
        <x:row r="821">
          <x:cell r="A821" t="str">
            <x:v>Warrants Issued During the Year</x:v>
          </x:cell>
          <x:cell r="B821" t="str">
            <x:v>Warrants Issued During the Year</x:v>
          </x:cell>
        </x:row>
        <x:row r="822">
          <x:cell r="A822" t="str">
            <x:v>Warrants Exercised During the Year</x:v>
          </x:cell>
          <x:cell r="B822" t="str">
            <x:v>Warrants Exercised During the Year</x:v>
          </x:cell>
        </x:row>
        <x:row r="823">
          <x:cell r="A823" t="str">
            <x:v>Warrants Cancelled During the Year</x:v>
          </x:cell>
          <x:cell r="B823" t="str">
            <x:v>Warrants Cancelled During the Year</x:v>
          </x:cell>
        </x:row>
        <x:row r="824">
          <x:cell r="A824" t="str">
            <x:v>Warrants Out. at the End of the Year</x:v>
          </x:cell>
          <x:cell r="B824" t="str">
            <x:v>Warrants Out. at the End of the Year</x:v>
          </x:cell>
        </x:row>
        <x:row r="825">
          <x:cell r="A825" t="str">
            <x:v>Warrants W/Avg Strike Price of Out.</x:v>
          </x:cell>
          <x:cell r="B825" t="str">
            <x:v>Warrants W/Avg Strike Price of Out.</x:v>
          </x:cell>
        </x:row>
        <x:row r="826">
          <x:cell r="A826" t="str">
            <x:v>Warrants W/Avg Strike of Issued</x:v>
          </x:cell>
          <x:cell r="B826" t="str">
            <x:v>Warrants W/Avg Strike of Issued</x:v>
          </x:cell>
        </x:row>
        <x:row r="827">
          <x:cell r="A827" t="str">
            <x:v>Warrants Out. at the Beginning of the Year - Class A</x:v>
          </x:cell>
          <x:cell r="B827" t="str">
            <x:v>Warrants Out. at the Beginning of the Year - Class A</x:v>
          </x:cell>
        </x:row>
        <x:row r="828">
          <x:cell r="A828" t="str">
            <x:v>Warrants Issued During the Year - Class A</x:v>
          </x:cell>
          <x:cell r="B828" t="str">
            <x:v>Warrants Issued During the Year - Class A</x:v>
          </x:cell>
        </x:row>
        <x:row r="829">
          <x:cell r="A829" t="str">
            <x:v>Warrants Exercised During the Year - Class A</x:v>
          </x:cell>
          <x:cell r="B829" t="str">
            <x:v>Warrants Exercised During the Year - Class A</x:v>
          </x:cell>
        </x:row>
        <x:row r="830">
          <x:cell r="A830" t="str">
            <x:v>Warrants Cancelled During the Year - Class A</x:v>
          </x:cell>
          <x:cell r="B830" t="str">
            <x:v>Warrants Cancelled During the Year - Class A</x:v>
          </x:cell>
        </x:row>
        <x:row r="831">
          <x:cell r="A831" t="str">
            <x:v>Warrants Out. at the End of the Year - Class A</x:v>
          </x:cell>
          <x:cell r="B831" t="str">
            <x:v>Warrants Out. at the End of the Year - Class A</x:v>
          </x:cell>
        </x:row>
        <x:row r="832">
          <x:cell r="A832" t="str">
            <x:v>Warrants W/Avg Strike Price of Out. - Class A</x:v>
          </x:cell>
          <x:cell r="B832" t="str">
            <x:v>Warrants W/Avg Strike Price of Out. - Class A</x:v>
          </x:cell>
        </x:row>
        <x:row r="833">
          <x:cell r="A833" t="str">
            <x:v>Warrants W/Avg Strike of Issued - Class A</x:v>
          </x:cell>
          <x:cell r="B833" t="str">
            <x:v>Warrants W/Avg Strike of Issued - Class A</x:v>
          </x:cell>
        </x:row>
        <x:row r="834">
          <x:cell r="A834" t="str">
            <x:v>Warrants Out. at the Beginning of the Year - Other</x:v>
          </x:cell>
          <x:cell r="B834" t="str">
            <x:v>Warrants Out. at the Beginning of the Year - Other</x:v>
          </x:cell>
        </x:row>
        <x:row r="835">
          <x:cell r="A835" t="str">
            <x:v>Warrants Issued During the Year - Other</x:v>
          </x:cell>
          <x:cell r="B835" t="str">
            <x:v>Warrants Issued During the Year - Other</x:v>
          </x:cell>
        </x:row>
        <x:row r="836">
          <x:cell r="A836" t="str">
            <x:v>Warrants Exercised During the Year - Other</x:v>
          </x:cell>
          <x:cell r="B836" t="str">
            <x:v>Warrants Exercised During the Year - Other</x:v>
          </x:cell>
        </x:row>
        <x:row r="837">
          <x:cell r="A837" t="str">
            <x:v>Warrants Cancelled During the Year - Other</x:v>
          </x:cell>
          <x:cell r="B837" t="str">
            <x:v>Warrants Cancelled During the Year - Other</x:v>
          </x:cell>
        </x:row>
        <x:row r="838">
          <x:cell r="A838" t="str">
            <x:v>Warrants Out. At The End of the Year - Other</x:v>
          </x:cell>
          <x:cell r="B838" t="str">
            <x:v>Warrants Out. At The End of the Year - Other</x:v>
          </x:cell>
        </x:row>
        <x:row r="839">
          <x:cell r="A839" t="str">
            <x:v>Warrants W/Avg Strike Price of Out. - Other</x:v>
          </x:cell>
          <x:cell r="B839" t="str">
            <x:v>Warrants W/Avg Strike Price of Out. - Other</x:v>
          </x:cell>
        </x:row>
        <x:row r="840">
          <x:cell r="A840" t="str">
            <x:v>Warrants W/Avg Strike of Issued - Other</x:v>
          </x:cell>
          <x:cell r="B840" t="str">
            <x:v>Warrants W/Avg Strike of Issued - Other</x:v>
          </x:cell>
        </x:row>
        <x:row r="841">
          <x:cell r="A841" t="str">
            <x:v>Total Warrants Out. at the Beginning of the Year</x:v>
          </x:cell>
          <x:cell r="B841" t="str">
            <x:v>Total Warrants Out. at the Beginning of the Year</x:v>
          </x:cell>
        </x:row>
        <x:row r="842">
          <x:cell r="A842" t="str">
            <x:v>Total Warrants Issued During the Year</x:v>
          </x:cell>
          <x:cell r="B842" t="str">
            <x:v>Total Warrants Issued During the Year</x:v>
          </x:cell>
        </x:row>
        <x:row r="843">
          <x:cell r="A843" t="str">
            <x:v>Total Warrants Exercised During the Year</x:v>
          </x:cell>
          <x:cell r="B843" t="str">
            <x:v>Total Warrants Exercised During the Year</x:v>
          </x:cell>
        </x:row>
        <x:row r="844">
          <x:cell r="A844" t="str">
            <x:v>Total Warrants Cancelled During the Year</x:v>
          </x:cell>
          <x:cell r="B844" t="str">
            <x:v>Total Warrants Cancelled During the Year</x:v>
          </x:cell>
        </x:row>
        <x:row r="845">
          <x:cell r="A845" t="str">
            <x:v>Total Warrants Out. at the End of the Year</x:v>
          </x:cell>
          <x:cell r="B845" t="str">
            <x:v>Total Warrants Out. at the End of the Year</x:v>
          </x:cell>
        </x:row>
        <x:row r="846">
          <x:cell r="A846" t="str">
            <x:v>Interest Capitalized, Beg. Of Period</x:v>
          </x:cell>
          <x:cell r="B846" t="str">
            <x:v>Interest Capitalized, Beg. Of Period</x:v>
          </x:cell>
        </x:row>
        <x:row r="847">
          <x:cell r="A847" t="str">
            <x:v>Interest Capitalized, Expensed</x:v>
          </x:cell>
          <x:cell r="B847" t="str">
            <x:v>Interest Capitalized, Expensed</x:v>
          </x:cell>
        </x:row>
        <x:row r="848">
          <x:cell r="A848" t="str">
            <x:v>Interest Capitalized, Written-off</x:v>
          </x:cell>
          <x:cell r="B848" t="str">
            <x:v>Interest Capitalized, Written-off</x:v>
          </x:cell>
        </x:row>
        <x:row r="849">
          <x:cell r="A849" t="str">
            <x:v>Interest Capitalized, Other Adj.</x:v>
          </x:cell>
          <x:cell r="B849" t="str">
            <x:v>Interest Capitalized, Other Adj.</x:v>
          </x:cell>
        </x:row>
        <x:row r="850">
          <x:cell r="A850" t="str">
            <x:v>Interest Capitalized, End Of Period</x:v>
          </x:cell>
          <x:cell r="B850" t="str">
            <x:v>Interest Capitalized, End Of Period</x:v>
          </x:cell>
        </x:row>
        <x:row r="851">
          <x:cell r="A851" t="str">
            <x:v>Loss Carry Forward Items</x:v>
          </x:cell>
          <x:cell r="B851" t="str">
            <x:v>Loss Carry Forward Items</x:v>
          </x:cell>
        </x:row>
        <x:row r="852">
          <x:cell r="A852" t="str">
            <x:v>NOL C/F, Current Year</x:v>
          </x:cell>
          <x:cell r="B852" t="str">
            <x:v>NOL C/F, Current Year</x:v>
          </x:cell>
        </x:row>
        <x:row r="853">
          <x:cell r="A853" t="str">
            <x:v>NOL C/F, Current Year + 1</x:v>
          </x:cell>
          <x:cell r="B853" t="str">
            <x:v>NOL C/F, Current Year + 1</x:v>
          </x:cell>
        </x:row>
        <x:row r="854">
          <x:cell r="A854" t="str">
            <x:v>NOL C/F, Current Year + 2</x:v>
          </x:cell>
          <x:cell r="B854" t="str">
            <x:v>NOL C/F, Current Year + 2</x:v>
          </x:cell>
        </x:row>
        <x:row r="855">
          <x:cell r="A855" t="str">
            <x:v>NOL C/F, Current Year + 3</x:v>
          </x:cell>
          <x:cell r="B855" t="str">
            <x:v>NOL C/F, Current Year + 3</x:v>
          </x:cell>
        </x:row>
        <x:row r="856">
          <x:cell r="A856" t="str">
            <x:v>NOL C/F, Current Year + 4</x:v>
          </x:cell>
          <x:cell r="B856" t="str">
            <x:v>NOL C/F, Current Year + 4</x:v>
          </x:cell>
        </x:row>
        <x:row r="857">
          <x:cell r="A857" t="str">
            <x:v>NOL C/F, After Five Years</x:v>
          </x:cell>
          <x:cell r="B857" t="str">
            <x:v>NOL C/F, After Five Years</x:v>
          </x:cell>
        </x:row>
        <x:row r="858">
          <x:cell r="A858" t="str">
            <x:v>NOL C/F, No Expiration</x:v>
          </x:cell>
          <x:cell r="B858" t="str">
            <x:v>NOL C/F, No Expiration</x:v>
          </x:cell>
        </x:row>
        <x:row r="859">
          <x:cell r="A859" t="str">
            <x:v>Total NOL C/F</x:v>
          </x:cell>
          <x:cell r="B859" t="str">
            <x:v>Total NOL C/F</x:v>
          </x:cell>
        </x:row>
        <x:row r="860">
          <x:cell r="A860" t="str">
            <x:v>Max. Year for NOL C/F</x:v>
          </x:cell>
          <x:cell r="B860" t="str">
            <x:v>Max. Year for NOL C/F</x:v>
          </x:cell>
        </x:row>
        <x:row r="861">
          <x:cell r="A861" t="str">
            <x:v>Capital Loss C/F, Current Year</x:v>
          </x:cell>
          <x:cell r="B861" t="str">
            <x:v>Capital Loss C/F, Current Year</x:v>
          </x:cell>
        </x:row>
        <x:row r="862">
          <x:cell r="A862" t="str">
            <x:v>Capital Loss C/F, Current Year + 1</x:v>
          </x:cell>
          <x:cell r="B862" t="str">
            <x:v>Capital Loss C/F, Current Year + 1</x:v>
          </x:cell>
        </x:row>
        <x:row r="863">
          <x:cell r="A863" t="str">
            <x:v>Capital Loss C/F, Current Year + 2</x:v>
          </x:cell>
          <x:cell r="B863" t="str">
            <x:v>Capital Loss C/F, Current Year + 2</x:v>
          </x:cell>
        </x:row>
        <x:row r="864">
          <x:cell r="A864" t="str">
            <x:v>Capital Loss C/F, Current Year + 3</x:v>
          </x:cell>
          <x:cell r="B864" t="str">
            <x:v>Capital Loss C/F, Current Year + 3</x:v>
          </x:cell>
        </x:row>
        <x:row r="865">
          <x:cell r="A865" t="str">
            <x:v>Capital Loss C/F, Current Year + 4</x:v>
          </x:cell>
          <x:cell r="B865" t="str">
            <x:v>Capital Loss C/F, Current Year + 4</x:v>
          </x:cell>
        </x:row>
        <x:row r="866">
          <x:cell r="A866" t="str">
            <x:v>Capital Loss C/F, After Five Years</x:v>
          </x:cell>
          <x:cell r="B866" t="str">
            <x:v>Capital Loss C/F, After Five Years</x:v>
          </x:cell>
        </x:row>
        <x:row r="867">
          <x:cell r="A867" t="str">
            <x:v>Capital Loss C/F, No Expiration</x:v>
          </x:cell>
          <x:cell r="B867" t="str">
            <x:v>Capital Loss C/F, No Expiration</x:v>
          </x:cell>
        </x:row>
        <x:row r="868">
          <x:cell r="A868" t="str">
            <x:v>Total Capital Loss C/F</x:v>
          </x:cell>
          <x:cell r="B868" t="str">
            <x:v>Total Capital Loss C/F</x:v>
          </x:cell>
        </x:row>
        <x:row r="869">
          <x:cell r="A869" t="str">
            <x:v>Max. Year for Capital Loss C/F</x:v>
          </x:cell>
          <x:cell r="B869" t="str">
            <x:v>Max. Year for Capital Loss C/F</x:v>
          </x:cell>
        </x:row>
        <x:row r="870">
          <x:cell r="A870" t="str">
            <x:v>Tax Benefit C/F, Current Year</x:v>
          </x:cell>
          <x:cell r="B870" t="str">
            <x:v>Tax Benefit C/F, Current Year</x:v>
          </x:cell>
        </x:row>
        <x:row r="871">
          <x:cell r="A871" t="str">
            <x:v>Tax Benefit C/F, Current Year + 1</x:v>
          </x:cell>
          <x:cell r="B871" t="str">
            <x:v>Tax Benefit C/F, Current Year + 1</x:v>
          </x:cell>
        </x:row>
        <x:row r="872">
          <x:cell r="A872" t="str">
            <x:v>Tax Benefit C/F, Current Year + 2</x:v>
          </x:cell>
          <x:cell r="B872" t="str">
            <x:v>Tax Benefit C/F, Current Year + 2</x:v>
          </x:cell>
        </x:row>
        <x:row r="873">
          <x:cell r="A873" t="str">
            <x:v>Tax Benefit C/F, Current Year + 3</x:v>
          </x:cell>
          <x:cell r="B873" t="str">
            <x:v>Tax Benefit C/F, Current Year + 3</x:v>
          </x:cell>
        </x:row>
        <x:row r="874">
          <x:cell r="A874" t="str">
            <x:v>Tax Benefit C/F, Current Year + 4</x:v>
          </x:cell>
          <x:cell r="B874" t="str">
            <x:v>Tax Benefit C/F, Current Year + 4</x:v>
          </x:cell>
        </x:row>
        <x:row r="875">
          <x:cell r="A875" t="str">
            <x:v>Tax Benefit C/F, After Five Years</x:v>
          </x:cell>
          <x:cell r="B875" t="str">
            <x:v>Tax Benefit C/F, After Five Years</x:v>
          </x:cell>
        </x:row>
        <x:row r="876">
          <x:cell r="A876" t="str">
            <x:v>Tax Benefit C/F, No Expiration</x:v>
          </x:cell>
          <x:cell r="B876" t="str">
            <x:v>Tax Benefit C/F, No Expiration</x:v>
          </x:cell>
        </x:row>
        <x:row r="877">
          <x:cell r="A877" t="str">
            <x:v>Total Tax Benefit C/F</x:v>
          </x:cell>
          <x:cell r="B877" t="str">
            <x:v>Total Tax Benefit C/F</x:v>
          </x:cell>
        </x:row>
        <x:row r="878">
          <x:cell r="A878" t="str">
            <x:v>Max. Year for Tax Benefit C/F</x:v>
          </x:cell>
          <x:cell r="B878" t="str">
            <x:v>Max. Year for Tax Benefit C/F</x:v>
          </x:cell>
        </x:row>
        <x:row r="879">
          <x:cell r="A879" t="str">
            <x:v>Restr. Stock Comp. Exp., Before Tax</x:v>
          </x:cell>
          <x:cell r="B879" t="str">
            <x:v>Restr. Stock Comp. Exp., Before Tax</x:v>
          </x:cell>
        </x:row>
        <x:row r="880">
          <x:cell r="A880" t="str">
            <x:v>Restr. Stock Comp. Exp., Tax Effect</x:v>
          </x:cell>
          <x:cell r="B880" t="str">
            <x:v>Restr. Stock Comp. Exp., Tax Effect</x:v>
          </x:cell>
        </x:row>
        <x:row r="881">
          <x:cell r="A881" t="str">
            <x:v>Restr. Stock Comp. Exp., After Tax</x:v>
          </x:cell>
          <x:cell r="B881" t="str">
            <x:v>Restr. Stock Comp. Exp., After Tax</x:v>
          </x:cell>
        </x:row>
        <x:row r="882">
          <x:cell r="A882" t="str">
            <x:v>Stock Options Comp. Exp., Before Tax</x:v>
          </x:cell>
          <x:cell r="B882" t="str">
            <x:v>Stock Options Comp. Exp., Before Tax</x:v>
          </x:cell>
        </x:row>
        <x:row r="883">
          <x:cell r="A883" t="str">
            <x:v>Stock Options Comp. Exp., Tax Effect</x:v>
          </x:cell>
          <x:cell r="B883" t="str">
            <x:v>Stock Options Comp. Exp., Tax Effect</x:v>
          </x:cell>
        </x:row>
        <x:row r="884">
          <x:cell r="A884" t="str">
            <x:v>Stock Options Comp. Exp., After Tax</x:v>
          </x:cell>
          <x:cell r="B884" t="str">
            <x:v>Stock Options Comp. Exp., After Tax</x:v>
          </x:cell>
        </x:row>
        <x:row r="885">
          <x:cell r="A885" t="str">
            <x:v>Stock Based Comp. Exp., Before Tax</x:v>
          </x:cell>
          <x:cell r="B885" t="str">
            <x:v>Stock Based Comp. Exp., Before Tax</x:v>
          </x:cell>
        </x:row>
        <x:row r="886">
          <x:cell r="A886" t="str">
            <x:v>Stock Based Comp. Exp., Tax Effect</x:v>
          </x:cell>
          <x:cell r="B886" t="str">
            <x:v>Stock Based Comp. Exp., Tax Effect</x:v>
          </x:cell>
        </x:row>
        <x:row r="887">
          <x:cell r="A887" t="str">
            <x:v>Stock Based Comp. Exp., After Tax</x:v>
          </x:cell>
          <x:cell r="B887" t="str">
            <x:v>Stock Based Comp. Exp., After Tax</x:v>
          </x:cell>
        </x:row>
        <x:row r="888">
          <x:cell r="A888" t="str">
            <x:v>Adoption of FIN 48 Related Items</x:v>
          </x:cell>
          <x:cell r="B888" t="str">
            <x:v>Adoption of FIN 48 Related Items</x:v>
          </x:cell>
        </x:row>
        <x:row r="889">
          <x:cell r="A889" t="str">
            <x:v>Trans. Impact of FIN 48 on Current Assets</x:v>
          </x:cell>
          <x:cell r="B889" t="str">
            <x:v>Trans. Impact of FIN 48 on Current Assets</x:v>
          </x:cell>
        </x:row>
        <x:row r="890">
          <x:cell r="A890" t="str">
            <x:v>Trans. Impact of FIN 48 on Long Term Assets</x:v>
          </x:cell>
          <x:cell r="B890" t="str">
            <x:v>Trans. Impact of FIN 48 on Long Term Assets</x:v>
          </x:cell>
        </x:row>
        <x:row r="891">
          <x:cell r="A891" t="str">
            <x:v>Trans. Impact of FIN 48 on Current Liabilities</x:v>
          </x:cell>
          <x:cell r="B891" t="str">
            <x:v>Trans. Impact of FIN 48 on Current Liabilities</x:v>
          </x:cell>
        </x:row>
        <x:row r="892">
          <x:cell r="A892" t="str">
            <x:v>Trans. Impact of FIN 48 on Non-Current Liabilities</x:v>
          </x:cell>
          <x:cell r="B892" t="str">
            <x:v>Trans. Impact of FIN 48 on Non-Current Liabilities</x:v>
          </x:cell>
        </x:row>
        <x:row r="893">
          <x:cell r="A893" t="str">
            <x:v>Trans. Impact of FIN 48 on Retained Earnings</x:v>
          </x:cell>
          <x:cell r="B893" t="str">
            <x:v>Trans. Impact of FIN 48 on Retained Earnings</x:v>
          </x:cell>
        </x:row>
        <x:row r="894">
          <x:cell r="A894" t="str">
            <x:v>Unrecog. Tax Benefits, Beginning of the Period</x:v>
          </x:cell>
          <x:cell r="B894" t="str">
            <x:v>Unrecog. Tax Benefits, Beginning of the Period</x:v>
          </x:cell>
        </x:row>
        <x:row r="895">
          <x:cell r="A895" t="str">
            <x:v>Additions Based on Tax Positions - Current Yr.</x:v>
          </x:cell>
          <x:cell r="B895" t="str">
            <x:v>Additions Based on Tax Positions - Current Yr.</x:v>
          </x:cell>
        </x:row>
        <x:row r="896">
          <x:cell r="A896" t="str">
            <x:v>Reductions Based on Tax Positions - Current Yr.</x:v>
          </x:cell>
          <x:cell r="B896" t="str">
            <x:v>Reductions Based on Tax Positions - Current Yr.</x:v>
          </x:cell>
        </x:row>
        <x:row r="897">
          <x:cell r="A897" t="str">
            <x:v>Additions for Tax Positions - Prior Yrs</x:v>
          </x:cell>
          <x:cell r="B897" t="str">
            <x:v>Additions for Tax Positions - Prior Yrs</x:v>
          </x:cell>
        </x:row>
        <x:row r="898">
          <x:cell r="A898" t="str">
            <x:v>Reductions for Tax Positions - Prior Yrs</x:v>
          </x:cell>
          <x:cell r="B898" t="str">
            <x:v>Reductions for Tax Positions - Prior Yrs</x:v>
          </x:cell>
        </x:row>
        <x:row r="899">
          <x:cell r="A899" t="str">
            <x:v>Settlements with Tax Authorities</x:v>
          </x:cell>
          <x:cell r="B899" t="str">
            <x:v>Settlements with Tax Authorities</x:v>
          </x:cell>
        </x:row>
        <x:row r="900">
          <x:cell r="A900" t="str">
            <x:v>Lapse of Statute of Limitations</x:v>
          </x:cell>
          <x:cell r="B900" t="str">
            <x:v>Lapse of Statute of Limitations</x:v>
          </x:cell>
        </x:row>
        <x:row r="901">
          <x:cell r="A901" t="str">
            <x:v>Unrecog. Tax Benefits - Other Adj.</x:v>
          </x:cell>
          <x:cell r="B901" t="str">
            <x:v>Unrecog. Tax Benefits - Other Adj.</x:v>
          </x:cell>
        </x:row>
        <x:row r="902">
          <x:cell r="A902" t="str">
            <x:v>Unrecog. Tax Benefits, End of the Period</x:v>
          </x:cell>
          <x:cell r="B902" t="str">
            <x:v>Unrecog. Tax Benefits, End of the Period</x:v>
          </x:cell>
        </x:row>
        <x:row r="903">
          <x:cell r="A903" t="str">
            <x:v>Account Code - Interest and Penalties</x:v>
          </x:cell>
          <x:cell r="B903" t="str">
            <x:v>Account Code - Interest and Penalties</x:v>
          </x:cell>
        </x:row>
        <x:row r="904">
          <x:cell r="A904" t="str">
            <x:v>Interest and Penalties Recog. on IS - Before Tax</x:v>
          </x:cell>
          <x:cell r="B904" t="str">
            <x:v>Interest and Penalties Recog. on IS - Before Tax</x:v>
          </x:cell>
        </x:row>
        <x:row r="905">
          <x:cell r="A905" t="str">
            <x:v>Interest and Penalties Recog. on IS - After Tax</x:v>
          </x:cell>
          <x:cell r="B905" t="str">
            <x:v>Interest and Penalties Recog. on IS - After Tax</x:v>
          </x:cell>
        </x:row>
        <x:row r="906">
          <x:cell r="A906" t="str">
            <x:v>Interest and Penalties Recog. on BS - Before Tax</x:v>
          </x:cell>
          <x:cell r="B906" t="str">
            <x:v>Interest and Penalties Recog. on BS - Before Tax</x:v>
          </x:cell>
        </x:row>
        <x:row r="907">
          <x:cell r="A907" t="str">
            <x:v>Interest and Penalties Recog. on BS - After Tax</x:v>
          </x:cell>
          <x:cell r="B907" t="str">
            <x:v>Interest and Penalties Recog. on BS - After Tax</x:v>
          </x:cell>
        </x:row>
        <x:row r="908">
          <x:cell r="A908" t="str">
            <x:v>Changes in Unrecog. Tax Benefit within a Year of the Rep. Date - Min</x:v>
          </x:cell>
          <x:cell r="B908" t="str">
            <x:v>Changes in Unrecog. Tax Benefit within a Year of the Rep. Date - Min</x:v>
          </x:cell>
        </x:row>
        <x:row r="909">
          <x:cell r="A909" t="str">
            <x:v>Changes in Unrecog. Tax Benefit within a Year of the Rep. Date - Max</x:v>
          </x:cell>
          <x:cell r="B909" t="str">
            <x:v>Changes in Unrecog. Tax Benefit within a Year of the Rep. Date - Max</x:v>
          </x:cell>
        </x:row>
        <x:row r="910">
          <x:cell r="A910" t="str">
            <x:v>Impact of Unrecog. Tax Benefit on the Effective Tax Rate</x:v>
          </x:cell>
          <x:cell r="B910" t="str">
            <x:v>Impact of Unrecog. Tax Benefit on the Effective Tax Rate</x:v>
          </x:cell>
        </x:row>
        <x:row r="911">
          <x:cell r="A911" t="str">
            <x:v>Pension</x:v>
          </x:cell>
          <x:cell r="B911" t="str">
            <x:v>Pension</x:v>
          </x:cell>
        </x:row>
        <x:row r="912">
          <x:cell r="A912" t="str">
            <x:v>Defined Benefit Net Periodic Cost</x:v>
          </x:cell>
          <x:cell r="B912" t="str">
            <x:v>Defined Benefit Net Periodic Cost</x:v>
          </x:cell>
        </x:row>
        <x:row r="913">
          <x:cell r="A913" t="str">
            <x:v>Def. Benefit Total Cost of Supple Plans</x:v>
          </x:cell>
          <x:cell r="B913" t="str">
            <x:v>Def. Benefit Total Cost of Supple Plans</x:v>
          </x:cell>
        </x:row>
        <x:row r="914">
          <x:cell r="A914" t="str">
            <x:v>Def. Contribution Cost</x:v>
          </x:cell>
          <x:cell r="B914" t="str">
            <x:v>Def. Contribution Cost</x:v>
          </x:cell>
        </x:row>
        <x:row r="915">
          <x:cell r="A915" t="str">
            <x:v>Total Pension Expense</x:v>
          </x:cell>
          <x:cell r="B915" t="str">
            <x:v>Total Pension Expense</x:v>
          </x:cell>
        </x:row>
        <x:row r="916">
          <x:cell r="A916" t="str">
            <x:v>Defined Benefit Obligation</x:v>
          </x:cell>
          <x:cell r="B916" t="str">
            <x:v>Defined Benefit Obligation</x:v>
          </x:cell>
        </x:row>
        <x:row r="917">
          <x:cell r="A917" t="str">
            <x:v>Def. Benefit Service Cost</x:v>
          </x:cell>
          <x:cell r="B917" t="str">
            <x:v>Def. Benefit Service Cost</x:v>
          </x:cell>
        </x:row>
        <x:row r="918">
          <x:cell r="A918" t="str">
            <x:v>Def. Benefits Paid</x:v>
          </x:cell>
          <x:cell r="B918" t="str">
            <x:v>Def. Benefits Paid</x:v>
          </x:cell>
        </x:row>
        <x:row r="919">
          <x:cell r="A919" t="str">
            <x:v>Plan Assets</x:v>
          </x:cell>
          <x:cell r="B919" t="str">
            <x:v>Plan Assets</x:v>
          </x:cell>
        </x:row>
        <x:row r="920">
          <x:cell r="A920" t="str">
            <x:v>Weighted Avg. Assumptions on Net Periodic Cost</x:v>
          </x:cell>
          <x:cell r="B920" t="str">
            <x:v>Weighted Avg. Assumptions on Net Periodic Cost</x:v>
          </x:cell>
        </x:row>
        <x:row r="921">
          <x:cell r="A921" t="str">
            <x:v>Rate of Comp. Increase - Max</x:v>
          </x:cell>
          <x:cell r="B921" t="str">
            <x:v>Rate of Comp. Increase - Max</x:v>
          </x:cell>
        </x:row>
        <x:row r="922">
          <x:cell r="A922" t="str">
            <x:v>Breakdown of Plan Assets</x:v>
          </x:cell>
          <x:cell r="B922" t="str">
            <x:v>Breakdown of Plan Assets</x:v>
          </x:cell>
        </x:row>
        <x:row r="923">
          <x:cell r="A923" t="str">
            <x:v>Plan Assets - Equities (%)</x:v>
          </x:cell>
          <x:cell r="B923" t="str">
            <x:v>Plan Assets - Equities (%)</x:v>
          </x:cell>
        </x:row>
        <x:row r="924">
          <x:cell r="A924" t="str">
            <x:v>Plan Assets - Fixed Income (%)</x:v>
          </x:cell>
          <x:cell r="B924" t="str">
            <x:v>Plan Assets - Fixed Income (%)</x:v>
          </x:cell>
        </x:row>
        <x:row r="925">
          <x:cell r="A925" t="str">
            <x:v>Plan Assets- Real Estate (%)</x:v>
          </x:cell>
          <x:cell r="B925" t="str">
            <x:v>Plan Assets- Real Estate (%)</x:v>
          </x:cell>
        </x:row>
        <x:row r="926">
          <x:cell r="A926" t="str">
            <x:v>Other Plan Assets (%)</x:v>
          </x:cell>
          <x:cell r="B926" t="str">
            <x:v>Other Plan Assets (%)</x:v>
          </x:cell>
        </x:row>
        <x:row r="927">
          <x:cell r="A927" t="str">
            <x:v>Breakdown of Amounts recognized in Other Comprehensive Income in BS</x:v>
          </x:cell>
          <x:cell r="B927" t="str">
            <x:v>Breakdown of Amounts recognized in Other Comprehensive Income in BS</x:v>
          </x:cell>
        </x:row>
        <x:row r="928">
          <x:cell r="A928" t="str">
            <x:v>Net Actuarial Loss/Gain – Compr. Inc.</x:v>
          </x:cell>
          <x:cell r="B928" t="str">
            <x:v>Net Actuarial Loss/Gain – Compr. Inc.</x:v>
          </x:cell>
        </x:row>
        <x:row r="929">
          <x:cell r="A929" t="str">
            <x:v>Prior Service Cost/Benefit – Compr. Inc.</x:v>
          </x:cell>
          <x:cell r="B929" t="str">
            <x:v>Prior Service Cost/Benefit – Compr. Inc.</x:v>
          </x:cell>
        </x:row>
        <x:row r="930">
          <x:cell r="A930" t="str">
            <x:v>Transition Asset/Obligation – Compr. Inc.</x:v>
          </x:cell>
          <x:cell r="B930" t="str">
            <x:v>Transition Asset/Obligation – Compr. Inc.</x:v>
          </x:cell>
        </x:row>
        <x:row r="931">
          <x:cell r="A931" t="str">
            <x:v>Other Misc. Adj. – Compr. Inc.</x:v>
          </x:cell>
          <x:cell r="B931" t="str">
            <x:v>Other Misc. Adj. – Compr. Inc.</x:v>
          </x:cell>
        </x:row>
        <x:row r="932">
          <x:cell r="A932" t="str">
            <x:v>Net Amount Recognized – Compr. Inc.</x:v>
          </x:cell>
          <x:cell r="B932" t="str">
            <x:v>Net Amount Recognized – Compr. Inc.</x:v>
          </x:cell>
        </x:row>
        <x:row r="933">
          <x:cell r="A933" t="str">
            <x:v>Expected to be recognized as components of net periodic benefit cost in the next year</x:v>
          </x:cell>
          <x:cell r="B933" t="str">
            <x:v>Expected to be recognized as components of net periodic benefit cost in the next year</x:v>
          </x:cell>
        </x:row>
        <x:row r="934">
          <x:cell r="A934" t="str">
            <x:v>Prior Service Cost/Benefit Recog. Next Period</x:v>
          </x:cell>
          <x:cell r="B934" t="str">
            <x:v>Prior Service Cost/Benefit Recog. Next Period</x:v>
          </x:cell>
        </x:row>
        <x:row r="935">
          <x:cell r="A935" t="str">
            <x:v>Net Actuarial Loss/Gain Recog. Next Period</x:v>
          </x:cell>
          <x:cell r="B935" t="str">
            <x:v>Net Actuarial Loss/Gain Recog. Next Period</x:v>
          </x:cell>
        </x:row>
        <x:row r="936">
          <x:cell r="A936" t="str">
            <x:v>Transition Asset/Obligation Recog. Next Period</x:v>
          </x:cell>
          <x:cell r="B936" t="str">
            <x:v>Transition Asset/Obligation Recog. Next Period</x:v>
          </x:cell>
        </x:row>
        <x:row r="937">
          <x:cell r="A937" t="str">
            <x:v>Total Amount to be Recognized Next Period</x:v>
          </x:cell>
          <x:cell r="B937" t="str">
            <x:v>Total Amount to be Recognized Next Period</x:v>
          </x:cell>
        </x:row>
        <x:row r="938">
          <x:cell r="A938" t="str">
            <x:v>Weighted Avg. Assumptions on Def. Benefit Obligation</x:v>
          </x:cell>
          <x:cell r="B938" t="str">
            <x:v>Weighted Avg. Assumptions on Def. Benefit Obligation</x:v>
          </x:cell>
        </x:row>
        <x:row r="939">
          <x:cell r="A939" t="str">
            <x:v>Estimated Future Benefits Paid</x:v>
          </x:cell>
          <x:cell r="B939" t="str">
            <x:v>Estimated Future Benefits Paid</x:v>
          </x:cell>
        </x:row>
        <x:row r="940">
          <x:cell r="A940" t="str">
            <x:v>Balance Sheet Reconciliation Items</x:v>
          </x:cell>
          <x:cell r="B940" t="str">
            <x:v>Balance Sheet Reconciliation Items</x:v>
          </x:cell>
        </x:row>
        <x:row r="941">
          <x:cell r="A941" t="str">
            <x:v>Long Term Assets</x:v>
          </x:cell>
          <x:cell r="B941" t="str">
            <x:v>Long Term Assets</x:v>
          </x:cell>
        </x:row>
        <x:row r="942">
          <x:cell r="A942" t="str">
            <x:v>Current Liabilities</x:v>
          </x:cell>
          <x:cell r="B942" t="str">
            <x:v>Current Liabilities</x:v>
          </x:cell>
        </x:row>
        <x:row r="943">
          <x:cell r="A943" t="str">
            <x:v>Long Term Liabilities</x:v>
          </x:cell>
          <x:cell r="B943" t="str">
            <x:v>Long Term Liabilities</x:v>
          </x:cell>
        </x:row>
        <x:row r="944">
          <x:cell r="A944" t="str">
            <x:v>Adj. for Liability Recognized on Balance Sheet</x:v>
          </x:cell>
          <x:cell r="B944" t="str">
            <x:v>Adj. for Liability Recognized on Balance Sheet</x:v>
          </x:cell>
        </x:row>
        <x:row r="945">
          <x:cell r="A945" t="str">
            <x:v>Other Pension Related Items</x:v>
          </x:cell>
          <x:cell r="B945" t="str">
            <x:v>Other Pension Related Items</x:v>
          </x:cell>
        </x:row>
        <x:row r="946">
          <x:cell r="A946" t="str">
            <x:v>Unfunded &amp; Vested Pension Liab.</x:v>
          </x:cell>
          <x:cell r="B946" t="str">
            <x:v>Unfunded &amp; Vested Pension Liab.</x:v>
          </x:cell>
        </x:row>
        <x:row r="947">
          <x:cell r="A947" t="str">
            <x:v>Benefit Info Date</x:v>
          </x:cell>
          <x:cell r="B947" t="str">
            <x:v>Benefit Info Date</x:v>
          </x:cell>
        </x:row>
        <x:row r="948">
          <x:cell r="A948" t="str">
            <x:v>OPEB</x:v>
          </x:cell>
          <x:cell r="B948" t="str">
            <x:v>OPEB</x:v>
          </x:cell>
        </x:row>
        <x:row r="949">
          <x:cell r="A949" t="str">
            <x:v>Def. Benefit Benefit Total Cost</x:v>
          </x:cell>
          <x:cell r="B949" t="str">
            <x:v>Def. Benefit Benefit Total Cost</x:v>
          </x:cell>
        </x:row>
        <x:row r="950">
          <x:cell r="A950" t="str">
            <x:v>Total OPEB Expense</x:v>
          </x:cell>
          <x:cell r="B950" t="str">
            <x:v>Total OPEB Expense</x:v>
          </x:cell>
        </x:row>
        <x:row r="951">
          <x:cell r="A951" t="str">
            <x:v>Projected Benefit Obligation</x:v>
          </x:cell>
          <x:cell r="B951" t="str">
            <x:v>Projected Benefit Obligation</x:v>
          </x:cell>
        </x:row>
        <x:row r="952">
          <x:cell r="A952" t="str">
            <x:v>Benefits Sensitivity Analysis</x:v>
          </x:cell>
          <x:cell r="B952" t="str">
            <x:v>Benefits Sensitivity Analysis</x:v>
          </x:cell>
        </x:row>
        <x:row r="953">
          <x:cell r="A953" t="str">
            <x:v>Other Post-Retirement Benefit Related Items</x:v>
          </x:cell>
          <x:cell r="B953" t="str">
            <x:v>Other Post-Retirement Benefit Related Items</x:v>
          </x:cell>
        </x:row>
        <x:row r="954">
          <x:cell r="A954" t="str">
            <x:v>Health Care Cost Trend Rate, Initial</x:v>
          </x:cell>
          <x:cell r="B954" t="str">
            <x:v>Health Care Cost Trend Rate, Initial</x:v>
          </x:cell>
        </x:row>
        <x:row r="955">
          <x:cell r="A955" t="str">
            <x:v>Health Care Cost Trend Rate, Ultimate</x:v>
          </x:cell>
          <x:cell r="B955" t="str">
            <x:v>Health Care Cost Trend Rate, Ultimate</x:v>
          </x:cell>
        </x:row>
        <x:row r="956">
          <x:cell r="A956" t="str">
            <x:v>Pension - Domestic</x:v>
          </x:cell>
          <x:cell r="B956" t="str">
            <x:v>Pension - Domestic</x:v>
          </x:cell>
        </x:row>
        <x:row r="957">
          <x:cell r="A957" t="str">
            <x:v>Def. Benefit Interest Cost</x:v>
          </x:cell>
          <x:cell r="B957" t="str">
            <x:v>Def. Benefit Interest Cost</x:v>
          </x:cell>
        </x:row>
        <x:row r="958">
          <x:cell r="A958" t="str">
            <x:v>Def. Benefit Return On Assets</x:v>
          </x:cell>
          <x:cell r="B958" t="str">
            <x:v>Def. Benefit Return On Assets</x:v>
          </x:cell>
        </x:row>
        <x:row r="959">
          <x:cell r="A959" t="str">
            <x:v>Def. Benefit Other Cost</x:v>
          </x:cell>
          <x:cell r="B959" t="str">
            <x:v>Def. Benefit Other Cost</x:v>
          </x:cell>
        </x:row>
        <x:row r="960">
          <x:cell r="A960" t="str">
            <x:v>Def. Benefit Total Cost</x:v>
          </x:cell>
          <x:cell r="B960" t="str">
            <x:v>Def. Benefit Total Cost</x:v>
          </x:cell>
        </x:row>
        <x:row r="961">
          <x:cell r="A961" t="str">
            <x:v>Def. Benefit Total Cost Incl. Supple Plans</x:v>
          </x:cell>
          <x:cell r="B961" t="str">
            <x:v>Def. Benefit Total Cost Incl. Supple Plans</x:v>
          </x:cell>
        </x:row>
        <x:row r="962">
          <x:cell r="A962" t="str">
            <x:v>Beg. Def. Benefit Obligation</x:v>
          </x:cell>
          <x:cell r="B962" t="str">
            <x:v>Beg. Def. Benefit Obligation</x:v>
          </x:cell>
        </x:row>
        <x:row r="963">
          <x:cell r="A963" t="str">
            <x:v>Def. Benefit Employee Contributions</x:v>
          </x:cell>
          <x:cell r="B963" t="str">
            <x:v>Def. Benefit Employee Contributions</x:v>
          </x:cell>
        </x:row>
        <x:row r="964">
          <x:cell r="A964" t="str">
            <x:v>Def. Benefit Actuarial Gain/Losses</x:v>
          </x:cell>
          <x:cell r="B964" t="str">
            <x:v>Def. Benefit Actuarial Gain/Losses</x:v>
          </x:cell>
        </x:row>
        <x:row r="965">
          <x:cell r="A965" t="str">
            <x:v>Foreign Exchange Adj.</x:v>
          </x:cell>
          <x:cell r="B965" t="str">
            <x:v>Foreign Exchange Adj.</x:v>
          </x:cell>
        </x:row>
        <x:row r="966">
          <x:cell r="A966" t="str">
            <x:v>Acq. Benefit Obligation</x:v>
          </x:cell>
          <x:cell r="B966" t="str">
            <x:v>Acq. Benefit Obligation</x:v>
          </x:cell>
        </x:row>
        <x:row r="967">
          <x:cell r="A967" t="str">
            <x:v>Def. Benefit Settlement/Curtailment</x:v>
          </x:cell>
          <x:cell r="B967" t="str">
            <x:v>Def. Benefit Settlement/Curtailment</x:v>
          </x:cell>
        </x:row>
        <x:row r="968">
          <x:cell r="A968" t="str">
            <x:v>Other Adj. To Def. Benefit Obligation</x:v>
          </x:cell>
          <x:cell r="B968" t="str">
            <x:v>Other Adj. To Def. Benefit Obligation</x:v>
          </x:cell>
        </x:row>
        <x:row r="969">
          <x:cell r="A969" t="str">
            <x:v>Proj. Benefit Obligation</x:v>
          </x:cell>
          <x:cell r="B969" t="str">
            <x:v>Proj. Benefit Obligation</x:v>
          </x:cell>
        </x:row>
        <x:row r="970">
          <x:cell r="A970" t="str">
            <x:v>Beg. Plan Assets</x:v>
          </x:cell>
          <x:cell r="B970" t="str">
            <x:v>Beg. Plan Assets</x:v>
          </x:cell>
        </x:row>
        <x:row r="971">
          <x:cell r="A971" t="str">
            <x:v>Actual Return on Plan Assets</x:v>
          </x:cell>
          <x:cell r="B971" t="str">
            <x:v>Actual Return on Plan Assets</x:v>
          </x:cell>
        </x:row>
        <x:row r="972">
          <x:cell r="A972" t="str">
            <x:v>Employer Contributions</x:v>
          </x:cell>
          <x:cell r="B972" t="str">
            <x:v>Employer Contributions</x:v>
          </x:cell>
        </x:row>
        <x:row r="973">
          <x:cell r="A973" t="str">
            <x:v>Participant Contributions</x:v>
          </x:cell>
          <x:cell r="B973" t="str">
            <x:v>Participant Contributions</x:v>
          </x:cell>
        </x:row>
        <x:row r="974">
          <x:cell r="A974" t="str">
            <x:v>Benefits Paid</x:v>
          </x:cell>
          <x:cell r="B974" t="str">
            <x:v>Benefits Paid</x:v>
          </x:cell>
        </x:row>
        <x:row r="975">
          <x:cell r="A975" t="str">
            <x:v>Foreign Exchange Adjustments</x:v>
          </x:cell>
          <x:cell r="B975" t="str">
            <x:v>Foreign Exchange Adjustments</x:v>
          </x:cell>
        </x:row>
        <x:row r="976">
          <x:cell r="A976" t="str">
            <x:v>Acquired Plan Assets</x:v>
          </x:cell>
          <x:cell r="B976" t="str">
            <x:v>Acquired Plan Assets</x:v>
          </x:cell>
        </x:row>
        <x:row r="977">
          <x:cell r="A977" t="str">
            <x:v>Plan Settlement/Curtailment</x:v>
          </x:cell>
          <x:cell r="B977" t="str">
            <x:v>Plan Settlement/Curtailment</x:v>
          </x:cell>
        </x:row>
        <x:row r="978">
          <x:cell r="A978" t="str">
            <x:v>Other Plan Adjustments</x:v>
          </x:cell>
          <x:cell r="B978" t="str">
            <x:v>Other Plan Adjustments</x:v>
          </x:cell>
        </x:row>
        <x:row r="979">
          <x:cell r="A979" t="str">
            <x:v>Total Plan Assets</x:v>
          </x:cell>
          <x:cell r="B979" t="str">
            <x:v>Total Plan Assets</x:v>
          </x:cell>
        </x:row>
        <x:row r="980">
          <x:cell r="A980" t="str">
            <x:v>Exp.Ret. On Pension Assets</x:v>
          </x:cell>
          <x:cell r="B980" t="str">
            <x:v>Exp.Ret. On Pension Assets</x:v>
          </x:cell>
        </x:row>
        <x:row r="981">
          <x:cell r="A981" t="str">
            <x:v>Assumed Comp. Growth Rate</x:v>
          </x:cell>
          <x:cell r="B981" t="str">
            <x:v>Assumed Comp. Growth Rate</x:v>
          </x:cell>
        </x:row>
        <x:row r="982">
          <x:cell r="A982" t="str">
            <x:v>Net Periodic Cost Disc. Rate - Min</x:v>
          </x:cell>
          <x:cell r="B982" t="str">
            <x:v>Net Periodic Cost Disc. Rate - Min</x:v>
          </x:cell>
        </x:row>
        <x:row r="983">
          <x:cell r="A983" t="str">
            <x:v>Net Periodic Cost Disc. Rate - Max</x:v>
          </x:cell>
          <x:cell r="B983" t="str">
            <x:v>Net Periodic Cost Disc. Rate - Max</x:v>
          </x:cell>
        </x:row>
        <x:row r="984">
          <x:cell r="A984" t="str">
            <x:v>Discount Rate on Obligations</x:v>
          </x:cell>
          <x:cell r="B984" t="str">
            <x:v>Discount Rate on Obligations</x:v>
          </x:cell>
        </x:row>
        <x:row r="985">
          <x:cell r="A985" t="str">
            <x:v>Rate of Comp. Increase - Min</x:v>
          </x:cell>
          <x:cell r="B985" t="str">
            <x:v>Rate of Comp. Increase - Min</x:v>
          </x:cell>
        </x:row>
        <x:row r="986">
          <x:cell r="A986" t="str">
            <x:v>Exp. Long-Term Rate of Return on Assets - Min</x:v>
          </x:cell>
          <x:cell r="B986" t="str">
            <x:v>Exp. Long-Term Rate of Return on Assets - Min</x:v>
          </x:cell>
        </x:row>
        <x:row r="987">
          <x:cell r="A987" t="str">
            <x:v>Exp. Long-Term Rate of Return on Assets - Max</x:v>
          </x:cell>
          <x:cell r="B987" t="str">
            <x:v>Exp. Long-Term Rate of Return on Assets - Max</x:v>
          </x:cell>
        </x:row>
        <x:row r="988">
          <x:cell r="A988" t="str">
            <x:v>Plan Assets - Equities</x:v>
          </x:cell>
          <x:cell r="B988" t="str">
            <x:v>Plan Assets - Equities</x:v>
          </x:cell>
        </x:row>
        <x:row r="989">
          <x:cell r="A989" t="str">
            <x:v>Plan Assets - Fixed Income</x:v>
          </x:cell>
          <x:cell r="B989" t="str">
            <x:v>Plan Assets - Fixed Income</x:v>
          </x:cell>
        </x:row>
        <x:row r="990">
          <x:cell r="A990" t="str">
            <x:v>Plan Assets- Real Estate</x:v>
          </x:cell>
          <x:cell r="B990" t="str">
            <x:v>Plan Assets- Real Estate</x:v>
          </x:cell>
        </x:row>
        <x:row r="991">
          <x:cell r="A991" t="str">
            <x:v>Other Plan Assets</x:v>
          </x:cell>
          <x:cell r="B991" t="str">
            <x:v>Other Plan Assets</x:v>
          </x:cell>
        </x:row>
        <x:row r="992">
          <x:cell r="A992" t="str">
            <x:v>PBO Assumed Rate of Return - Min</x:v>
          </x:cell>
          <x:cell r="B992" t="str">
            <x:v>PBO Assumed Rate of Return - Min</x:v>
          </x:cell>
        </x:row>
        <x:row r="993">
          <x:cell r="A993" t="str">
            <x:v>PBO Assumed Rate of Return - Max</x:v>
          </x:cell>
          <x:cell r="B993" t="str">
            <x:v>PBO Assumed Rate of Return - Max</x:v>
          </x:cell>
        </x:row>
        <x:row r="994">
          <x:cell r="A994" t="str">
            <x:v>Rate of PBO Compensation Increase - Min</x:v>
          </x:cell>
          <x:cell r="B994" t="str">
            <x:v>Rate of PBO Compensation Increase - Min</x:v>
          </x:cell>
        </x:row>
        <x:row r="995">
          <x:cell r="A995" t="str">
            <x:v>Rate of PBO Compensation Increase - Max</x:v>
          </x:cell>
          <x:cell r="B995" t="str">
            <x:v>Rate of PBO Compensation Increase - Max</x:v>
          </x:cell>
        </x:row>
        <x:row r="996">
          <x:cell r="A996" t="str">
            <x:v>Est. Future Benefits Paid - 1st Yr</x:v>
          </x:cell>
          <x:cell r="B996" t="str">
            <x:v>Est. Future Benefits Paid - 1st Yr</x:v>
          </x:cell>
        </x:row>
        <x:row r="997">
          <x:cell r="A997" t="str">
            <x:v>Est. Future Benefits Paid - 2nd Yr</x:v>
          </x:cell>
          <x:cell r="B997" t="str">
            <x:v>Est. Future Benefits Paid - 2nd Yr</x:v>
          </x:cell>
        </x:row>
        <x:row r="998">
          <x:cell r="A998" t="str">
            <x:v>Est. Future Benefits Paid - 3rd Yr</x:v>
          </x:cell>
          <x:cell r="B998" t="str">
            <x:v>Est. Future Benefits Paid - 3rd Yr</x:v>
          </x:cell>
        </x:row>
        <x:row r="999">
          <x:cell r="A999" t="str">
            <x:v>Est. Future Benefits Paid - 4th Yr</x:v>
          </x:cell>
          <x:cell r="B999" t="str">
            <x:v>Est. Future Benefits Paid - 4th Yr</x:v>
          </x:cell>
        </x:row>
        <x:row r="1000">
          <x:cell r="A1000" t="str">
            <x:v>Est. Future Benefits Paid - 5th Yr</x:v>
          </x:cell>
          <x:cell r="B1000" t="str">
            <x:v>Est. Future Benefits Paid - 5th Yr</x:v>
          </x:cell>
        </x:row>
        <x:row r="1001">
          <x:cell r="A1001" t="str">
            <x:v>Est. Future Benefits Paid - Thereafter</x:v>
          </x:cell>
          <x:cell r="B1001" t="str">
            <x:v>Est. Future Benefits Paid - Thereafter</x:v>
          </x:cell>
        </x:row>
        <x:row r="1002">
          <x:cell r="A1002" t="str">
            <x:v>Prepaid Benefit Cost</x:v>
          </x:cell>
          <x:cell r="B1002" t="str">
            <x:v>Prepaid Benefit Cost</x:v>
          </x:cell>
        </x:row>
        <x:row r="1003">
          <x:cell r="A1003" t="str">
            <x:v>Accrued Benefit Liability</x:v>
          </x:cell>
          <x:cell r="B1003" t="str">
            <x:v>Accrued Benefit Liability</x:v>
          </x:cell>
        </x:row>
        <x:row r="1004">
          <x:cell r="A1004" t="str">
            <x:v>Intangible Assets</x:v>
          </x:cell>
          <x:cell r="B1004" t="str">
            <x:v>Intangible Assets</x:v>
          </x:cell>
        </x:row>
        <x:row r="1005">
          <x:cell r="A1005" t="str">
            <x:v>Accum. Other Comp. Income</x:v>
          </x:cell>
          <x:cell r="B1005" t="str">
            <x:v>Accum. Other Comp. Income</x:v>
          </x:cell>
        </x:row>
        <x:row r="1006">
          <x:cell r="A1006" t="str">
            <x:v>Other Assets/Liabilities</x:v>
          </x:cell>
          <x:cell r="B1006" t="str">
            <x:v>Other Assets/Liabilities</x:v>
          </x:cell>
        </x:row>
        <x:row r="1007">
          <x:cell r="A1007" t="str">
            <x:v>Unrecog. Prior Plan Service Cost</x:v>
          </x:cell>
          <x:cell r="B1007" t="str">
            <x:v>Unrecog. Prior Plan Service Cost</x:v>
          </x:cell>
        </x:row>
        <x:row r="1008">
          <x:cell r="A1008" t="str">
            <x:v>Other Adj. (Net Benefit Asset/Liab.)</x:v>
          </x:cell>
          <x:cell r="B1008" t="str">
            <x:v>Other Adj. (Net Benefit Asset/Liab.)</x:v>
          </x:cell>
        </x:row>
        <x:row r="1009">
          <x:cell r="A1009" t="str">
            <x:v>Net Asset/Liability Recognized on Balance Sheet</x:v>
          </x:cell>
          <x:cell r="B1009" t="str">
            <x:v>Net Asset/Liability Recognized on Balance Sheet</x:v>
          </x:cell>
        </x:row>
        <x:row r="1010">
          <x:cell r="A1010" t="str">
            <x:v>Est. Contributions - Next Year</x:v>
          </x:cell>
          <x:cell r="B1010" t="str">
            <x:v>Est. Contributions - Next Year</x:v>
          </x:cell>
        </x:row>
        <x:row r="1011">
          <x:cell r="A1011" t="str">
            <x:v>Quarterly Employer Contribution</x:v>
          </x:cell>
          <x:cell r="B1011" t="str">
            <x:v>Quarterly Employer Contribution</x:v>
          </x:cell>
        </x:row>
        <x:row r="1012">
          <x:cell r="A1012" t="str">
            <x:v>Quarterly Additional Contributions Expected</x:v>
          </x:cell>
          <x:cell r="B1012" t="str">
            <x:v>Quarterly Additional Contributions Expected</x:v>
          </x:cell>
        </x:row>
        <x:row r="1013">
          <x:cell r="A1013" t="str">
            <x:v>Unfunded Additional Minimum Liab.</x:v>
          </x:cell>
          <x:cell r="B1013" t="str">
            <x:v>Unfunded Additional Minimum Liab.</x:v>
          </x:cell>
        </x:row>
        <x:row r="1014">
          <x:cell r="A1014" t="str">
            <x:v>OPEB - Domestic</x:v>
          </x:cell>
          <x:cell r="B1014" t="str">
            <x:v>OPEB - Domestic</x:v>
          </x:cell>
        </x:row>
        <x:row r="1015">
          <x:cell r="A1015" t="str">
            <x:v>Def. Benefit Expected Return on Assets</x:v>
          </x:cell>
          <x:cell r="B1015" t="str">
            <x:v>Def. Benefit Expected Return on Assets</x:v>
          </x:cell>
        </x:row>
        <x:row r="1016">
          <x:cell r="A1016" t="str">
            <x:v>Accumulated Benefit Obligation</x:v>
          </x:cell>
          <x:cell r="B1016" t="str">
            <x:v>Accumulated Benefit Obligation</x:v>
          </x:cell>
        </x:row>
        <x:row r="1017">
          <x:cell r="A1017" t="str">
            <x:v>1% Increase - Effect on Service and Interest Cost</x:v>
          </x:cell>
          <x:cell r="B1017" t="str">
            <x:v>1% Increase - Effect on Service and Interest Cost</x:v>
          </x:cell>
        </x:row>
        <x:row r="1018">
          <x:cell r="A1018" t="str">
            <x:v>1% Increase - Effect on PBO</x:v>
          </x:cell>
          <x:cell r="B1018" t="str">
            <x:v>1% Increase - Effect on PBO</x:v>
          </x:cell>
        </x:row>
        <x:row r="1019">
          <x:cell r="A1019" t="str">
            <x:v>1% Decrease - Effect on Service and Interest Cost</x:v>
          </x:cell>
          <x:cell r="B1019" t="str">
            <x:v>1% Decrease - Effect on Service and Interest Cost</x:v>
          </x:cell>
        </x:row>
        <x:row r="1020">
          <x:cell r="A1020" t="str">
            <x:v>1% Decrease - Effect on PBO</x:v>
          </x:cell>
          <x:cell r="B1020" t="str">
            <x:v>1% Decrease - Effect on PBO</x:v>
          </x:cell>
        </x:row>
        <x:row r="1021">
          <x:cell r="A1021" t="str">
            <x:v>Pension - Foreign</x:v>
          </x:cell>
          <x:cell r="B1021" t="str">
            <x:v>Pension - Foreign</x:v>
          </x:cell>
        </x:row>
        <x:row r="1022">
          <x:cell r="A1022" t="str">
            <x:v>Accum. Benefit Obligation (Pension)</x:v>
          </x:cell>
          <x:cell r="B1022" t="str">
            <x:v>Accum. Benefit Obligation (Pension)</x:v>
          </x:cell>
        </x:row>
        <x:row r="1023">
          <x:cell r="A1023" t="str">
            <x:v>OPEB - Foreign</x:v>
          </x:cell>
          <x:cell r="B1023" t="str">
            <x:v>OPEB - Foreign</x:v>
          </x:cell>
        </x:row>
        <x:row r="1024">
          <x:cell r="A1024" t="str">
            <x:v>in millions of</x:v>
          </x:cell>
          <x:cell r="B1024" t="str">
            <x:v>in millions of</x:v>
          </x:cell>
        </x:row>
        <x:row r="1025">
          <x:cell r="A1025" t="str">
            <x:v>months</x:v>
          </x:cell>
          <x:cell r="B1025" t="str">
            <x:v>months</x:v>
          </x:cell>
        </x:row>
        <x:row r="1026">
          <x:cell r="A1026" t="str">
            <x:v>Fiscal Year Ended,</x:v>
          </x:cell>
          <x:cell r="B1026" t="str">
            <x:v>Fiscal Year Ended,</x:v>
          </x:cell>
        </x:row>
        <x:row r="1027">
          <x:cell r="A1027" t="str">
            <x:v>ID</x:v>
          </x:cell>
          <x:cell r="B1027" t="str">
            <x:v>ID</x:v>
          </x:cell>
        </x:row>
        <x:row r="1028">
          <x:cell r="A1028" t="str">
            <x:v>Historical</x:v>
          </x:cell>
          <x:cell r="B1028" t="str">
            <x:v>Historical</x:v>
          </x:cell>
        </x:row>
        <x:row r="1029">
          <x:cell r="A1029" t="str">
            <x:v>Current</x:v>
          </x:cell>
          <x:cell r="B1029" t="str">
            <x:v>Current</x:v>
          </x:cell>
        </x:row>
        <x:row r="1030"/>
        <x:row r="1031"/>
        <x:row r="1032"/>
        <x:row r="1033"/>
        <x:row r="1034"/>
        <x:row r="1035"/>
        <x:row r="1036"/>
        <x:row r="1037"/>
        <x:row r="1038"/>
        <x:row r="1039"/>
        <x:row r="1040"/>
        <x:row r="1041"/>
        <x:row r="1042"/>
        <x:row r="1043"/>
        <x:row r="1044"/>
        <x:row r="1045"/>
        <x:row r="1046"/>
        <x:row r="1047"/>
        <x:row r="1048"/>
        <x:row r="1049"/>
        <x:row r="1050"/>
        <x:row r="1051"/>
        <x:row r="1052"/>
        <x:row r="1053"/>
        <x:row r="1054"/>
        <x:row r="1055"/>
        <x:row r="1056"/>
        <x:row r="1057"/>
        <x:row r="1058"/>
        <x:row r="1059"/>
        <x:row r="1060"/>
        <x:row r="1061"/>
        <x:row r="1062"/>
        <x:row r="1063"/>
        <x:row r="1064"/>
        <x:row r="1065"/>
        <x:row r="1066"/>
        <x:row r="1067"/>
        <x:row r="1068"/>
        <x:row r="1069"/>
        <x:row r="1070"/>
        <x:row r="1071"/>
        <x:row r="1072"/>
        <x:row r="1073"/>
        <x:row r="1074"/>
        <x:row r="1075"/>
        <x:row r="1076"/>
        <x:row r="1077"/>
        <x:row r="1078"/>
        <x:row r="1079"/>
        <x:row r="1080"/>
        <x:row r="1081"/>
        <x:row r="1082"/>
        <x:row r="1083"/>
        <x:row r="1084"/>
        <x:row r="1085"/>
        <x:row r="1086"/>
        <x:row r="1087"/>
        <x:row r="1088"/>
        <x:row r="1089"/>
        <x:row r="1090"/>
        <x:row r="1091"/>
        <x:row r="1092"/>
        <x:row r="1093"/>
        <x:row r="1094"/>
        <x:row r="1095"/>
        <x:row r="1096"/>
        <x:row r="1097"/>
        <x:row r="1098"/>
        <x:row r="1099"/>
        <x:row r="1100"/>
        <x:row r="1101"/>
        <x:row r="1102"/>
        <x:row r="1103"/>
        <x:row r="1104"/>
        <x:row r="1105"/>
        <x:row r="1106"/>
        <x:row r="1107"/>
        <x:row r="1108"/>
        <x:row r="1109"/>
        <x:row r="1110"/>
        <x:row r="1111"/>
        <x:row r="1112"/>
        <x:row r="1113"/>
        <x:row r="1114"/>
        <x:row r="1115"/>
        <x:row r="1116"/>
        <x:row r="1117"/>
        <x:row r="1118"/>
        <x:row r="1119"/>
        <x:row r="1120"/>
        <x:row r="1121"/>
        <x:row r="1122"/>
        <x:row r="1123"/>
        <x:row r="1124"/>
        <x:row r="1125"/>
        <x:row r="1126"/>
        <x:row r="1127"/>
        <x:row r="1128"/>
        <x:row r="1129"/>
        <x:row r="1130"/>
        <x:row r="1131"/>
        <x:row r="1132"/>
        <x:row r="1133"/>
        <x:row r="1134"/>
        <x:row r="1135"/>
        <x:row r="1136"/>
        <x:row r="1137"/>
        <x:row r="1138"/>
        <x:row r="1139"/>
        <x:row r="1140"/>
        <x:row r="1141"/>
        <x:row r="1142"/>
        <x:row r="1143"/>
        <x:row r="1144"/>
        <x:row r="1145"/>
        <x:row r="1146"/>
        <x:row r="1147"/>
        <x:row r="1148"/>
        <x:row r="1149"/>
        <x:row r="1150"/>
        <x:row r="1151"/>
        <x:row r="1152"/>
        <x:row r="1153"/>
        <x:row r="1154"/>
        <x:row r="1155"/>
        <x:row r="1156"/>
        <x:row r="1157"/>
        <x:row r="1158"/>
        <x:row r="1159"/>
        <x:row r="1160"/>
        <x:row r="1161"/>
        <x:row r="1162"/>
        <x:row r="1163"/>
        <x:row r="1164"/>
        <x:row r="1165"/>
        <x:row r="1166"/>
        <x:row r="1167"/>
        <x:row r="1168"/>
        <x:row r="1169"/>
        <x:row r="1170"/>
        <x:row r="1171"/>
        <x:row r="1172"/>
        <x:row r="1173"/>
        <x:row r="1174"/>
        <x:row r="1175"/>
        <x:row r="1176"/>
        <x:row r="1177"/>
        <x:row r="1178"/>
        <x:row r="1179"/>
        <x:row r="1180"/>
        <x:row r="1181"/>
        <x:row r="1182"/>
        <x:row r="1183"/>
        <x:row r="1184"/>
        <x:row r="1185"/>
        <x:row r="1186"/>
        <x:row r="1187"/>
        <x:row r="1188"/>
        <x:row r="1189"/>
        <x:row r="1190"/>
        <x:row r="1191"/>
        <x:row r="1192"/>
        <x:row r="1193"/>
        <x:row r="1194"/>
        <x:row r="1195"/>
        <x:row r="1196"/>
        <x:row r="1197"/>
        <x:row r="1198"/>
        <x:row r="1199"/>
        <x:row r="1200"/>
        <x:row r="1201"/>
        <x:row r="1202"/>
        <x:row r="1203"/>
        <x:row r="1204"/>
        <x:row r="1205"/>
        <x:row r="1206"/>
        <x:row r="1207"/>
        <x:row r="1208"/>
        <x:row r="1209"/>
        <x:row r="1210"/>
        <x:row r="1211"/>
        <x:row r="1212"/>
        <x:row r="1213"/>
        <x:row r="1214"/>
        <x:row r="1215"/>
        <x:row r="1216"/>
        <x:row r="1217"/>
        <x:row r="1218"/>
        <x:row r="1219"/>
        <x:row r="1220"/>
        <x:row r="1221"/>
        <x:row r="1222"/>
        <x:row r="1223"/>
        <x:row r="1224"/>
        <x:row r="1225"/>
        <x:row r="1226"/>
        <x:row r="1227"/>
        <x:row r="1228"/>
        <x:row r="1229"/>
        <x:row r="1230"/>
        <x:row r="1231"/>
        <x:row r="1232"/>
        <x:row r="1233"/>
        <x:row r="1234"/>
        <x:row r="1235"/>
        <x:row r="1236"/>
        <x:row r="1237"/>
        <x:row r="1238"/>
        <x:row r="1239"/>
        <x:row r="1240"/>
        <x:row r="1241"/>
        <x:row r="1242"/>
        <x:row r="1243"/>
        <x:row r="1244"/>
        <x:row r="1245"/>
        <x:row r="1246"/>
        <x:row r="1247"/>
        <x:row r="1248"/>
        <x:row r="1249"/>
        <x:row r="1250"/>
        <x:row r="1251"/>
        <x:row r="1252"/>
        <x:row r="1253"/>
        <x:row r="1254"/>
        <x:row r="1255"/>
        <x:row r="1256"/>
        <x:row r="1257"/>
        <x:row r="1258"/>
        <x:row r="1259"/>
        <x:row r="1260"/>
        <x:row r="1261"/>
        <x:row r="1262"/>
        <x:row r="1263"/>
        <x:row r="1264"/>
        <x:row r="1265"/>
        <x:row r="1266"/>
        <x:row r="1267"/>
        <x:row r="1268"/>
        <x:row r="1269"/>
        <x:row r="1270"/>
        <x:row r="1271"/>
        <x:row r="1272"/>
        <x:row r="1273"/>
        <x:row r="1274"/>
        <x:row r="1275"/>
        <x:row r="1276"/>
        <x:row r="1277"/>
        <x:row r="1278"/>
        <x:row r="1279"/>
        <x:row r="1280"/>
        <x:row r="1281"/>
        <x:row r="1282"/>
        <x:row r="1283"/>
        <x:row r="1284"/>
        <x:row r="1285"/>
        <x:row r="1286"/>
        <x:row r="1287"/>
        <x:row r="1288"/>
        <x:row r="1289"/>
        <x:row r="1290"/>
        <x:row r="1291"/>
        <x:row r="1292"/>
        <x:row r="1293"/>
        <x:row r="1294"/>
        <x:row r="1295"/>
        <x:row r="1296"/>
        <x:row r="1297"/>
        <x:row r="1298"/>
        <x:row r="1299"/>
        <x:row r="1300"/>
        <x:row r="1301"/>
        <x:row r="1302"/>
        <x:row r="1303"/>
        <x:row r="1304"/>
        <x:row r="1305"/>
        <x:row r="1306"/>
        <x:row r="1307"/>
        <x:row r="1308"/>
        <x:row r="1309"/>
        <x:row r="1310"/>
        <x:row r="1311"/>
        <x:row r="1312"/>
        <x:row r="1313"/>
        <x:row r="1314"/>
        <x:row r="1315"/>
        <x:row r="1316"/>
        <x:row r="1317"/>
        <x:row r="1318"/>
        <x:row r="1319"/>
        <x:row r="1320"/>
        <x:row r="1321"/>
        <x:row r="1322"/>
        <x:row r="1323"/>
        <x:row r="1324"/>
        <x:row r="1325"/>
        <x:row r="1326"/>
        <x:row r="1327"/>
        <x:row r="1328"/>
        <x:row r="1329"/>
        <x:row r="1330"/>
        <x:row r="1331"/>
        <x:row r="1332"/>
        <x:row r="1333"/>
        <x:row r="1334"/>
        <x:row r="1335"/>
        <x:row r="1336"/>
        <x:row r="1337"/>
        <x:row r="1338"/>
        <x:row r="1339"/>
        <x:row r="1340"/>
        <x:row r="1341"/>
        <x:row r="1342"/>
        <x:row r="1343"/>
        <x:row r="1344"/>
        <x:row r="1345"/>
        <x:row r="1346"/>
        <x:row r="1347"/>
        <x:row r="1348"/>
        <x:row r="1349"/>
        <x:row r="1350"/>
        <x:row r="1351"/>
        <x:row r="1352"/>
        <x:row r="1353"/>
        <x:row r="1354"/>
        <x:row r="1355"/>
        <x:row r="1356"/>
        <x:row r="1357"/>
        <x:row r="1358"/>
        <x:row r="1359"/>
        <x:row r="1360"/>
        <x:row r="1361"/>
        <x:row r="1362"/>
        <x:row r="1363"/>
        <x:row r="1364"/>
        <x:row r="1365"/>
        <x:row r="1366"/>
        <x:row r="1367"/>
        <x:row r="1368"/>
        <x:row r="1369"/>
        <x:row r="1370"/>
        <x:row r="1371"/>
        <x:row r="1372"/>
        <x:row r="1373"/>
        <x:row r="1374"/>
        <x:row r="1375"/>
        <x:row r="1376"/>
        <x:row r="1377"/>
        <x:row r="1378"/>
        <x:row r="1379"/>
        <x:row r="1380"/>
        <x:row r="1381"/>
        <x:row r="1382"/>
        <x:row r="1383"/>
        <x:row r="1384"/>
        <x:row r="1385"/>
        <x:row r="1386"/>
        <x:row r="1387"/>
        <x:row r="1388"/>
        <x:row r="1389"/>
        <x:row r="1390"/>
        <x:row r="1391"/>
        <x:row r="1392"/>
        <x:row r="1393"/>
        <x:row r="1394"/>
        <x:row r="1395"/>
        <x:row r="1396"/>
        <x:row r="1397"/>
        <x:row r="1398"/>
        <x:row r="1399"/>
        <x:row r="1400"/>
        <x:row r="1401"/>
        <x:row r="1402"/>
        <x:row r="1403"/>
        <x:row r="1404"/>
        <x:row r="1405"/>
        <x:row r="1406"/>
        <x:row r="1407"/>
        <x:row r="1408"/>
        <x:row r="1409"/>
        <x:row r="1410"/>
        <x:row r="1411"/>
        <x:row r="1412"/>
        <x:row r="1413"/>
        <x:row r="1414"/>
        <x:row r="1415"/>
        <x:row r="1416"/>
        <x:row r="1417"/>
        <x:row r="1418"/>
        <x:row r="1419"/>
        <x:row r="1420"/>
        <x:row r="1421"/>
        <x:row r="1422"/>
        <x:row r="1423"/>
        <x:row r="1424"/>
        <x:row r="1425"/>
        <x:row r="1426"/>
        <x:row r="1427"/>
        <x:row r="1428"/>
        <x:row r="1429"/>
        <x:row r="1430"/>
        <x:row r="1431"/>
        <x:row r="1432"/>
        <x:row r="1433"/>
        <x:row r="1434"/>
        <x:row r="1435"/>
        <x:row r="1436"/>
        <x:row r="1437"/>
        <x:row r="1438"/>
        <x:row r="1439"/>
        <x:row r="1440"/>
        <x:row r="1441"/>
        <x:row r="1442"/>
        <x:row r="1443"/>
        <x:row r="1444"/>
        <x:row r="1445"/>
        <x:row r="1446"/>
        <x:row r="1447"/>
        <x:row r="1448"/>
        <x:row r="1449"/>
        <x:row r="1450"/>
        <x:row r="1451"/>
        <x:row r="1452"/>
        <x:row r="1453"/>
        <x:row r="1454"/>
        <x:row r="1455"/>
        <x:row r="1456"/>
        <x:row r="1457"/>
        <x:row r="1458"/>
        <x:row r="1459"/>
        <x:row r="1460"/>
        <x:row r="1461"/>
        <x:row r="1462"/>
        <x:row r="1463"/>
        <x:row r="1464"/>
        <x:row r="1465"/>
        <x:row r="1466"/>
        <x:row r="1467"/>
        <x:row r="1468"/>
        <x:row r="1469"/>
        <x:row r="1470"/>
        <x:row r="1471"/>
        <x:row r="1472"/>
        <x:row r="1473"/>
        <x:row r="1474"/>
        <x:row r="1475"/>
        <x:row r="1476"/>
        <x:row r="1477"/>
        <x:row r="1478"/>
        <x:row r="1479"/>
        <x:row r="1480"/>
        <x:row r="1481"/>
        <x:row r="1482"/>
        <x:row r="1483"/>
        <x:row r="1484"/>
        <x:row r="1485"/>
        <x:row r="1486"/>
        <x:row r="1487"/>
        <x:row r="1488"/>
        <x:row r="1489"/>
        <x:row r="1490"/>
        <x:row r="1491"/>
        <x:row r="1492"/>
        <x:row r="1493"/>
        <x:row r="1494"/>
        <x:row r="1495"/>
        <x:row r="1496"/>
        <x:row r="1497"/>
        <x:row r="1498"/>
        <x:row r="1499"/>
        <x:row r="1500"/>
        <x:row r="1501"/>
        <x:row r="1502"/>
        <x:row r="1503"/>
        <x:row r="1504"/>
        <x:row r="1505"/>
        <x:row r="1506"/>
        <x:row r="1507"/>
        <x:row r="1508"/>
        <x:row r="1509"/>
        <x:row r="1510"/>
        <x:row r="1511"/>
        <x:row r="1512"/>
        <x:row r="1513"/>
        <x:row r="1514"/>
        <x:row r="1515"/>
        <x:row r="1516"/>
        <x:row r="1517"/>
        <x:row r="1518"/>
        <x:row r="1519"/>
        <x:row r="1520"/>
        <x:row r="1521"/>
        <x:row r="1522"/>
        <x:row r="1523"/>
        <x:row r="1524"/>
        <x:row r="1525"/>
        <x:row r="1526"/>
        <x:row r="1527"/>
        <x:row r="1528"/>
        <x:row r="1529"/>
        <x:row r="1530"/>
        <x:row r="1531"/>
        <x:row r="1532"/>
        <x:row r="1533"/>
        <x:row r="1534"/>
        <x:row r="1535"/>
        <x:row r="1536"/>
        <x:row r="1537"/>
        <x:row r="1538"/>
        <x:row r="1539"/>
        <x:row r="1540"/>
        <x:row r="1541"/>
        <x:row r="1542"/>
        <x:row r="1543"/>
        <x:row r="1544"/>
        <x:row r="1545"/>
        <x:row r="1546"/>
        <x:row r="1547"/>
        <x:row r="1548"/>
        <x:row r="1549"/>
        <x:row r="1550"/>
        <x:row r="1551"/>
        <x:row r="1552"/>
        <x:row r="1553"/>
        <x:row r="1554"/>
        <x:row r="1555"/>
        <x:row r="1556"/>
        <x:row r="1557"/>
        <x:row r="1558"/>
        <x:row r="1559"/>
        <x:row r="1560"/>
        <x:row r="1561"/>
        <x:row r="1562"/>
        <x:row r="1563"/>
        <x:row r="1564"/>
        <x:row r="1565"/>
        <x:row r="1566"/>
        <x:row r="1567"/>
        <x:row r="1568"/>
        <x:row r="1569"/>
        <x:row r="1570"/>
        <x:row r="1571"/>
        <x:row r="1572"/>
        <x:row r="1573"/>
        <x:row r="1574"/>
        <x:row r="1575"/>
        <x:row r="1576"/>
        <x:row r="1577"/>
        <x:row r="1578"/>
        <x:row r="1579"/>
        <x:row r="1580"/>
        <x:row r="1581"/>
        <x:row r="1582"/>
        <x:row r="1583"/>
        <x:row r="1584"/>
        <x:row r="1585"/>
        <x:row r="1586"/>
        <x:row r="1587"/>
        <x:row r="1588"/>
        <x:row r="1589"/>
        <x:row r="1590"/>
        <x:row r="1591"/>
        <x:row r="1592"/>
        <x:row r="1593"/>
        <x:row r="1594"/>
        <x:row r="1595"/>
        <x:row r="1596"/>
        <x:row r="1597"/>
        <x:row r="1598"/>
        <x:row r="1599"/>
        <x:row r="1600"/>
        <x:row r="1601"/>
        <x:row r="1602"/>
        <x:row r="1603"/>
        <x:row r="1604"/>
        <x:row r="1605"/>
        <x:row r="1606"/>
        <x:row r="1607"/>
        <x:row r="1608"/>
        <x:row r="1609"/>
        <x:row r="1610"/>
        <x:row r="1611"/>
        <x:row r="1612"/>
        <x:row r="1613"/>
        <x:row r="1614"/>
        <x:row r="1615"/>
        <x:row r="1616"/>
        <x:row r="1617"/>
        <x:row r="1618"/>
        <x:row r="1619"/>
        <x:row r="1620"/>
        <x:row r="1621"/>
        <x:row r="1622"/>
        <x:row r="1623"/>
        <x:row r="1624"/>
        <x:row r="1625"/>
        <x:row r="1626"/>
        <x:row r="1627"/>
        <x:row r="1628"/>
        <x:row r="1629"/>
        <x:row r="1630"/>
        <x:row r="1631"/>
        <x:row r="1632"/>
        <x:row r="1633"/>
        <x:row r="1634"/>
        <x:row r="1635"/>
        <x:row r="1636"/>
        <x:row r="1637"/>
        <x:row r="1638"/>
        <x:row r="1639"/>
        <x:row r="1640"/>
        <x:row r="1641"/>
        <x:row r="1642"/>
        <x:row r="1643"/>
        <x:row r="1644"/>
        <x:row r="1645"/>
        <x:row r="1646"/>
        <x:row r="1647"/>
        <x:row r="1648"/>
        <x:row r="1649"/>
        <x:row r="1650"/>
        <x:row r="1651"/>
        <x:row r="1652"/>
        <x:row r="1653"/>
        <x:row r="1654"/>
        <x:row r="1655"/>
        <x:row r="1656"/>
        <x:row r="1657"/>
        <x:row r="1658"/>
        <x:row r="1659"/>
        <x:row r="1660"/>
        <x:row r="1661"/>
        <x:row r="1662"/>
        <x:row r="1663"/>
        <x:row r="1664"/>
        <x:row r="1665"/>
        <x:row r="1666"/>
        <x:row r="1667"/>
        <x:row r="1668"/>
        <x:row r="1669"/>
        <x:row r="1670"/>
        <x:row r="1671"/>
        <x:row r="1672"/>
        <x:row r="1673"/>
        <x:row r="1674"/>
        <x:row r="1675"/>
        <x:row r="1676"/>
        <x:row r="1677"/>
        <x:row r="1678"/>
        <x:row r="1679"/>
        <x:row r="1680"/>
        <x:row r="1681"/>
        <x:row r="1682"/>
        <x:row r="1683"/>
        <x:row r="1684"/>
        <x:row r="1685"/>
        <x:row r="1686"/>
        <x:row r="1687"/>
        <x:row r="1688"/>
        <x:row r="1689"/>
        <x:row r="1690"/>
        <x:row r="1691"/>
        <x:row r="1692"/>
        <x:row r="1693"/>
        <x:row r="1694"/>
        <x:row r="1695"/>
        <x:row r="1696"/>
        <x:row r="1697"/>
        <x:row r="1698"/>
        <x:row r="1699"/>
        <x:row r="1700"/>
        <x:row r="1701"/>
        <x:row r="1702"/>
        <x:row r="1703"/>
        <x:row r="1704"/>
        <x:row r="1705"/>
        <x:row r="1706"/>
        <x:row r="1707"/>
        <x:row r="1708"/>
        <x:row r="1709"/>
        <x:row r="1710"/>
        <x:row r="1711"/>
        <x:row r="1712"/>
        <x:row r="1713"/>
        <x:row r="1714"/>
        <x:row r="1715"/>
        <x:row r="1716"/>
        <x:row r="1717"/>
        <x:row r="1718"/>
        <x:row r="1719"/>
        <x:row r="1720"/>
        <x:row r="1721"/>
        <x:row r="1722"/>
        <x:row r="1723"/>
        <x:row r="1724"/>
        <x:row r="1725"/>
        <x:row r="1726"/>
        <x:row r="1727"/>
        <x:row r="1728"/>
        <x:row r="1729"/>
        <x:row r="1730"/>
        <x:row r="1731"/>
        <x:row r="1732"/>
        <x:row r="1733"/>
        <x:row r="1734"/>
        <x:row r="1735"/>
        <x:row r="1736"/>
        <x:row r="1737"/>
        <x:row r="1738"/>
        <x:row r="1739"/>
        <x:row r="1740"/>
        <x:row r="1741"/>
        <x:row r="1742"/>
        <x:row r="1743"/>
        <x:row r="1744"/>
        <x:row r="1745"/>
        <x:row r="1746"/>
        <x:row r="1747"/>
        <x:row r="1748"/>
        <x:row r="1749"/>
        <x:row r="1750"/>
        <x:row r="1751"/>
        <x:row r="1752"/>
        <x:row r="1753"/>
        <x:row r="1754"/>
        <x:row r="1755"/>
        <x:row r="1756"/>
        <x:row r="1757"/>
        <x:row r="1758"/>
        <x:row r="1759"/>
        <x:row r="1760"/>
        <x:row r="1761"/>
        <x:row r="1762"/>
        <x:row r="1763"/>
        <x:row r="1764"/>
        <x:row r="1765"/>
        <x:row r="1766"/>
        <x:row r="1767"/>
        <x:row r="1768"/>
        <x:row r="1769"/>
        <x:row r="1770"/>
        <x:row r="1771"/>
        <x:row r="1772"/>
        <x:row r="1773"/>
        <x:row r="1774"/>
        <x:row r="1775"/>
        <x:row r="1776"/>
        <x:row r="1777"/>
        <x:row r="1778"/>
        <x:row r="1779"/>
        <x:row r="1780"/>
        <x:row r="1781"/>
        <x:row r="1782"/>
        <x:row r="1783"/>
        <x:row r="1784"/>
        <x:row r="1785"/>
        <x:row r="1786"/>
        <x:row r="1787"/>
        <x:row r="1788"/>
        <x:row r="1789"/>
        <x:row r="1790"/>
        <x:row r="1791"/>
        <x:row r="1792"/>
        <x:row r="1793"/>
        <x:row r="1794"/>
        <x:row r="1795"/>
        <x:row r="1796"/>
        <x:row r="1797"/>
        <x:row r="1798"/>
        <x:row r="1799"/>
        <x:row r="1800"/>
        <x:row r="1801"/>
        <x:row r="1802"/>
        <x:row r="1803"/>
        <x:row r="1804"/>
        <x:row r="1805"/>
        <x:row r="1806"/>
        <x:row r="1807"/>
        <x:row r="1808"/>
        <x:row r="1809"/>
        <x:row r="1810"/>
        <x:row r="1811"/>
        <x:row r="1812"/>
        <x:row r="1813"/>
        <x:row r="1814"/>
        <x:row r="1815"/>
        <x:row r="1816"/>
        <x:row r="1817"/>
        <x:row r="1818"/>
        <x:row r="1819"/>
        <x:row r="1820"/>
        <x:row r="1821"/>
        <x:row r="1822"/>
        <x:row r="1823"/>
        <x:row r="1824"/>
        <x:row r="1825"/>
        <x:row r="1826"/>
        <x:row r="1827"/>
        <x:row r="1828"/>
        <x:row r="1829"/>
        <x:row r="1830"/>
        <x:row r="1831"/>
        <x:row r="1832"/>
        <x:row r="1833"/>
        <x:row r="1834"/>
        <x:row r="1835"/>
        <x:row r="1836"/>
        <x:row r="1837"/>
        <x:row r="1838"/>
        <x:row r="1839"/>
        <x:row r="1840"/>
        <x:row r="1841"/>
        <x:row r="1842"/>
        <x:row r="1843"/>
        <x:row r="1844"/>
        <x:row r="1845"/>
        <x:row r="1846"/>
        <x:row r="1847"/>
        <x:row r="1848"/>
        <x:row r="1849"/>
        <x:row r="1850"/>
        <x:row r="1851"/>
        <x:row r="1852"/>
        <x:row r="1853"/>
        <x:row r="1854"/>
        <x:row r="1855"/>
        <x:row r="1856"/>
        <x:row r="1857"/>
        <x:row r="1858"/>
        <x:row r="1859"/>
        <x:row r="1860"/>
        <x:row r="1861"/>
        <x:row r="1862"/>
        <x:row r="1863"/>
        <x:row r="1864"/>
        <x:row r="1865"/>
        <x:row r="1866"/>
        <x:row r="1867"/>
        <x:row r="1868"/>
        <x:row r="1869"/>
        <x:row r="1870"/>
        <x:row r="1871"/>
        <x:row r="1872"/>
        <x:row r="1873"/>
        <x:row r="1874"/>
        <x:row r="1875"/>
        <x:row r="1876"/>
        <x:row r="1877"/>
        <x:row r="1878"/>
        <x:row r="1879"/>
        <x:row r="1880"/>
        <x:row r="1881"/>
        <x:row r="1882"/>
        <x:row r="1883"/>
        <x:row r="1884"/>
        <x:row r="1885"/>
        <x:row r="1886"/>
        <x:row r="1887"/>
        <x:row r="1888"/>
        <x:row r="1889"/>
        <x:row r="1890"/>
        <x:row r="1891"/>
        <x:row r="1892"/>
        <x:row r="1893"/>
        <x:row r="1894"/>
        <x:row r="1895"/>
        <x:row r="1896"/>
        <x:row r="1897"/>
        <x:row r="1898"/>
        <x:row r="1899"/>
        <x:row r="1900"/>
        <x:row r="1901"/>
        <x:row r="1902"/>
        <x:row r="1903"/>
        <x:row r="1904"/>
        <x:row r="1905"/>
        <x:row r="1906"/>
        <x:row r="1907"/>
        <x:row r="1908"/>
        <x:row r="1909"/>
        <x:row r="1910"/>
        <x:row r="1911"/>
        <x:row r="1912"/>
        <x:row r="1913"/>
        <x:row r="1914"/>
        <x:row r="1915"/>
        <x:row r="1916"/>
        <x:row r="1917"/>
        <x:row r="1918"/>
        <x:row r="1919"/>
        <x:row r="1920"/>
        <x:row r="1921"/>
        <x:row r="1922"/>
        <x:row r="1923"/>
        <x:row r="1924"/>
        <x:row r="1925"/>
        <x:row r="1926"/>
        <x:row r="1927"/>
        <x:row r="1928"/>
        <x:row r="1929"/>
        <x:row r="1930"/>
        <x:row r="1931"/>
        <x:row r="1932"/>
        <x:row r="1933"/>
        <x:row r="1934"/>
        <x:row r="1935"/>
        <x:row r="1936"/>
        <x:row r="1937"/>
        <x:row r="1938"/>
        <x:row r="1939"/>
        <x:row r="1940"/>
        <x:row r="1941"/>
        <x:row r="1942"/>
        <x:row r="1943"/>
        <x:row r="1944"/>
        <x:row r="1945"/>
        <x:row r="1946"/>
        <x:row r="1947"/>
        <x:row r="1948"/>
        <x:row r="1949"/>
        <x:row r="1950"/>
        <x:row r="1951"/>
        <x:row r="1952"/>
        <x:row r="1953"/>
        <x:row r="1954"/>
        <x:row r="1955"/>
        <x:row r="1956"/>
        <x:row r="1957"/>
        <x:row r="1958"/>
        <x:row r="1959"/>
        <x:row r="1960"/>
        <x:row r="1961"/>
        <x:row r="1962"/>
        <x:row r="1963"/>
        <x:row r="1964"/>
        <x:row r="1965"/>
        <x:row r="1966"/>
        <x:row r="1967"/>
        <x:row r="1968"/>
        <x:row r="1969"/>
        <x:row r="1970"/>
        <x:row r="1971"/>
        <x:row r="1972"/>
        <x:row r="1973"/>
        <x:row r="1974"/>
        <x:row r="1975"/>
        <x:row r="1976"/>
        <x:row r="1977"/>
        <x:row r="1978"/>
        <x:row r="1979"/>
        <x:row r="1980"/>
        <x:row r="1981"/>
        <x:row r="1982"/>
        <x:row r="1983"/>
        <x:row r="1984"/>
        <x:row r="1985"/>
        <x:row r="1986"/>
        <x:row r="1987"/>
        <x:row r="1988"/>
        <x:row r="1989"/>
        <x:row r="1990"/>
        <x:row r="1991"/>
        <x:row r="1992"/>
        <x:row r="1993"/>
        <x:row r="1994"/>
        <x:row r="1995"/>
        <x:row r="1996"/>
        <x:row r="1997"/>
        <x:row r="1998"/>
        <x:row r="1999"/>
        <x:row r="2000"/>
        <x:row r="2001"/>
        <x:row r="2002"/>
        <x:row r="2003"/>
        <x:row r="2004"/>
        <x:row r="2005"/>
        <x:row r="2006"/>
        <x:row r="2007"/>
        <x:row r="2008"/>
        <x:row r="2009"/>
        <x:row r="2010"/>
        <x:row r="2011"/>
        <x:row r="2012"/>
        <x:row r="2013"/>
        <x:row r="2014"/>
        <x:row r="2015"/>
        <x:row r="2016"/>
        <x:row r="2017"/>
        <x:row r="2018"/>
        <x:row r="2019"/>
        <x:row r="2020"/>
        <x:row r="2021"/>
        <x:row r="2022"/>
        <x:row r="2023"/>
        <x:row r="2024"/>
        <x:row r="2025"/>
        <x:row r="2026"/>
        <x:row r="2027"/>
        <x:row r="2028"/>
        <x:row r="2029"/>
        <x:row r="2030"/>
        <x:row r="2031"/>
        <x:row r="2032"/>
        <x:row r="2033"/>
        <x:row r="2034"/>
        <x:row r="2035"/>
        <x:row r="2036"/>
        <x:row r="2037"/>
        <x:row r="2038"/>
        <x:row r="2039"/>
        <x:row r="2040"/>
        <x:row r="2041"/>
        <x:row r="2042"/>
        <x:row r="2043"/>
        <x:row r="2044"/>
        <x:row r="2045"/>
        <x:row r="2046"/>
        <x:row r="2047"/>
        <x:row r="2048"/>
        <x:row r="2049"/>
        <x:row r="2050"/>
        <x:row r="2051"/>
        <x:row r="2052"/>
        <x:row r="2053"/>
        <x:row r="2054"/>
        <x:row r="2055"/>
        <x:row r="2056"/>
        <x:row r="2057"/>
        <x:row r="2058"/>
        <x:row r="2059"/>
        <x:row r="2060"/>
        <x:row r="2061"/>
        <x:row r="2062"/>
        <x:row r="2063"/>
        <x:row r="2064"/>
        <x:row r="2065"/>
        <x:row r="2066"/>
        <x:row r="2067"/>
        <x:row r="2068"/>
        <x:row r="2069"/>
        <x:row r="2070"/>
        <x:row r="2071"/>
        <x:row r="2072"/>
        <x:row r="2073"/>
        <x:row r="2074"/>
        <x:row r="2075"/>
        <x:row r="2076"/>
        <x:row r="2077"/>
        <x:row r="2078"/>
        <x:row r="2079"/>
        <x:row r="2080"/>
        <x:row r="2081"/>
        <x:row r="2082"/>
        <x:row r="2083"/>
        <x:row r="2084"/>
        <x:row r="2085"/>
        <x:row r="2086"/>
        <x:row r="2087"/>
        <x:row r="2088"/>
        <x:row r="2089"/>
        <x:row r="2090"/>
        <x:row r="2091"/>
        <x:row r="2092"/>
        <x:row r="2093"/>
        <x:row r="2094"/>
        <x:row r="2095"/>
        <x:row r="2096"/>
        <x:row r="2097"/>
        <x:row r="2098"/>
        <x:row r="2099"/>
        <x:row r="2100"/>
        <x:row r="2101"/>
        <x:row r="2102"/>
        <x:row r="2103"/>
        <x:row r="2104"/>
        <x:row r="2105"/>
        <x:row r="2106"/>
        <x:row r="2107"/>
        <x:row r="2108"/>
        <x:row r="2109"/>
        <x:row r="2110"/>
        <x:row r="2111"/>
        <x:row r="2112"/>
        <x:row r="2113"/>
        <x:row r="2114"/>
        <x:row r="2115"/>
        <x:row r="2116"/>
        <x:row r="2117"/>
        <x:row r="2118"/>
        <x:row r="2119"/>
        <x:row r="2120"/>
        <x:row r="2121"/>
        <x:row r="2122"/>
        <x:row r="2123"/>
        <x:row r="2124"/>
        <x:row r="2125"/>
        <x:row r="2126"/>
        <x:row r="2127"/>
        <x:row r="2128"/>
        <x:row r="2129"/>
        <x:row r="2130"/>
        <x:row r="2131"/>
        <x:row r="2132"/>
        <x:row r="2133"/>
        <x:row r="2134"/>
        <x:row r="2135"/>
        <x:row r="2136"/>
        <x:row r="2137"/>
        <x:row r="2138"/>
        <x:row r="2139"/>
        <x:row r="2140"/>
        <x:row r="2141"/>
        <x:row r="2142"/>
        <x:row r="2143"/>
        <x:row r="2144"/>
        <x:row r="2145"/>
        <x:row r="2146"/>
        <x:row r="2147"/>
        <x:row r="2148"/>
        <x:row r="2149"/>
        <x:row r="2150"/>
        <x:row r="2151"/>
        <x:row r="2152"/>
        <x:row r="2153"/>
        <x:row r="2154"/>
        <x:row r="2155"/>
        <x:row r="2156"/>
        <x:row r="2157"/>
        <x:row r="2158"/>
        <x:row r="2159"/>
        <x:row r="2160"/>
        <x:row r="2161"/>
        <x:row r="2162"/>
        <x:row r="2163"/>
        <x:row r="2164"/>
        <x:row r="2165"/>
        <x:row r="2166"/>
        <x:row r="2167"/>
        <x:row r="2168"/>
        <x:row r="2169"/>
        <x:row r="2170"/>
        <x:row r="2171"/>
        <x:row r="2172"/>
        <x:row r="2173"/>
        <x:row r="2174"/>
        <x:row r="2175"/>
        <x:row r="2176"/>
        <x:row r="2177"/>
        <x:row r="2178"/>
        <x:row r="2179"/>
        <x:row r="2180"/>
        <x:row r="2181"/>
        <x:row r="2182"/>
        <x:row r="2183"/>
        <x:row r="2184"/>
        <x:row r="2185"/>
        <x:row r="2186"/>
        <x:row r="2187"/>
        <x:row r="2188"/>
        <x:row r="2189"/>
        <x:row r="2190"/>
        <x:row r="2191"/>
        <x:row r="2192"/>
        <x:row r="2193"/>
        <x:row r="2194"/>
        <x:row r="2195"/>
        <x:row r="2196"/>
        <x:row r="2197"/>
        <x:row r="2198"/>
        <x:row r="2199"/>
        <x:row r="2200"/>
        <x:row r="2201"/>
        <x:row r="2202"/>
        <x:row r="2203"/>
        <x:row r="2204"/>
        <x:row r="2205"/>
        <x:row r="2206"/>
        <x:row r="2207"/>
        <x:row r="2208"/>
        <x:row r="2209"/>
        <x:row r="2210"/>
        <x:row r="2211"/>
        <x:row r="2212"/>
        <x:row r="2213"/>
        <x:row r="2214"/>
        <x:row r="2215"/>
        <x:row r="2216"/>
        <x:row r="2217"/>
        <x:row r="2218"/>
        <x:row r="2219"/>
        <x:row r="2220"/>
        <x:row r="2221"/>
        <x:row r="2222"/>
        <x:row r="2223"/>
        <x:row r="2224"/>
        <x:row r="2225"/>
        <x:row r="2226"/>
        <x:row r="2227"/>
        <x:row r="2228"/>
        <x:row r="2229"/>
        <x:row r="2230"/>
        <x:row r="2231"/>
        <x:row r="2232"/>
        <x:row r="2233"/>
        <x:row r="2234"/>
        <x:row r="2235"/>
        <x:row r="2236"/>
        <x:row r="2237"/>
        <x:row r="2238"/>
        <x:row r="2239"/>
        <x:row r="2240"/>
        <x:row r="2241"/>
        <x:row r="2242"/>
        <x:row r="2243"/>
        <x:row r="2244"/>
        <x:row r="2245"/>
        <x:row r="2246"/>
        <x:row r="2247"/>
        <x:row r="2248"/>
        <x:row r="2249"/>
        <x:row r="2250"/>
        <x:row r="2251"/>
        <x:row r="2252"/>
        <x:row r="2253"/>
        <x:row r="2254"/>
        <x:row r="2255"/>
        <x:row r="2256"/>
        <x:row r="2257"/>
        <x:row r="2258"/>
        <x:row r="2259"/>
        <x:row r="2260"/>
        <x:row r="2261"/>
        <x:row r="2262"/>
        <x:row r="2263"/>
        <x:row r="2264"/>
        <x:row r="2265"/>
        <x:row r="2266"/>
        <x:row r="2267"/>
        <x:row r="2268"/>
        <x:row r="2269"/>
        <x:row r="2270"/>
        <x:row r="2271"/>
        <x:row r="2272"/>
        <x:row r="2273"/>
        <x:row r="2274"/>
        <x:row r="2275"/>
        <x:row r="2276"/>
        <x:row r="2277"/>
        <x:row r="2278"/>
        <x:row r="2279"/>
        <x:row r="2280"/>
        <x:row r="2281"/>
        <x:row r="2282"/>
        <x:row r="2283"/>
        <x:row r="2284"/>
        <x:row r="2285"/>
        <x:row r="2286"/>
        <x:row r="2287"/>
        <x:row r="2288"/>
        <x:row r="2289"/>
        <x:row r="2290"/>
        <x:row r="2291"/>
        <x:row r="2292"/>
        <x:row r="2293"/>
        <x:row r="2294"/>
        <x:row r="2295"/>
        <x:row r="2296"/>
        <x:row r="2297"/>
        <x:row r="2298"/>
        <x:row r="2299"/>
        <x:row r="2300"/>
        <x:row r="2301"/>
        <x:row r="2302"/>
        <x:row r="2303"/>
        <x:row r="2304"/>
        <x:row r="2305"/>
        <x:row r="2306"/>
        <x:row r="2307"/>
        <x:row r="2308"/>
        <x:row r="2309"/>
        <x:row r="2310"/>
        <x:row r="2311"/>
        <x:row r="2312"/>
        <x:row r="2313"/>
        <x:row r="2314"/>
        <x:row r="2315"/>
        <x:row r="2316"/>
        <x:row r="2317"/>
        <x:row r="2318"/>
        <x:row r="2319"/>
        <x:row r="2320"/>
        <x:row r="2321"/>
        <x:row r="2322"/>
        <x:row r="2323"/>
        <x:row r="2324"/>
        <x:row r="2325"/>
        <x:row r="2326"/>
        <x:row r="2327"/>
        <x:row r="2328"/>
        <x:row r="2329"/>
        <x:row r="2330"/>
        <x:row r="2331"/>
        <x:row r="2332"/>
        <x:row r="2333"/>
        <x:row r="2334"/>
        <x:row r="2335"/>
        <x:row r="2336"/>
        <x:row r="2337"/>
        <x:row r="2338"/>
        <x:row r="2339"/>
        <x:row r="2340"/>
        <x:row r="2341"/>
        <x:row r="2342"/>
        <x:row r="2343"/>
        <x:row r="2344"/>
        <x:row r="2345"/>
        <x:row r="2346"/>
        <x:row r="2347"/>
        <x:row r="2348"/>
        <x:row r="2349"/>
        <x:row r="2350"/>
        <x:row r="2351"/>
        <x:row r="2352"/>
        <x:row r="2353"/>
        <x:row r="2354"/>
        <x:row r="2355"/>
        <x:row r="2356"/>
        <x:row r="2357"/>
        <x:row r="2358"/>
        <x:row r="2359"/>
        <x:row r="2360"/>
        <x:row r="2361"/>
        <x:row r="2362"/>
        <x:row r="2363"/>
        <x:row r="2364"/>
        <x:row r="2365"/>
        <x:row r="2366"/>
        <x:row r="2367"/>
        <x:row r="2368"/>
        <x:row r="2369"/>
        <x:row r="2370"/>
        <x:row r="2371"/>
        <x:row r="2372"/>
        <x:row r="2373"/>
        <x:row r="2374"/>
        <x:row r="2375"/>
        <x:row r="2376"/>
        <x:row r="2377"/>
        <x:row r="2378"/>
        <x:row r="2379"/>
        <x:row r="2380"/>
        <x:row r="2381"/>
        <x:row r="2382"/>
        <x:row r="2383"/>
        <x:row r="2384"/>
        <x:row r="2385"/>
        <x:row r="2386"/>
        <x:row r="2387"/>
        <x:row r="2388"/>
        <x:row r="2389"/>
        <x:row r="2390"/>
        <x:row r="2391"/>
        <x:row r="2392"/>
        <x:row r="2393"/>
        <x:row r="2394"/>
        <x:row r="2395"/>
        <x:row r="2396"/>
        <x:row r="2397"/>
        <x:row r="2398"/>
        <x:row r="2399"/>
        <x:row r="2400"/>
        <x:row r="2401"/>
        <x:row r="2402"/>
        <x:row r="2403"/>
        <x:row r="2404"/>
        <x:row r="2405"/>
        <x:row r="2406"/>
        <x:row r="2407"/>
        <x:row r="2408"/>
        <x:row r="2409"/>
        <x:row r="2410"/>
        <x:row r="2411"/>
        <x:row r="2412"/>
        <x:row r="2413"/>
        <x:row r="2414"/>
        <x:row r="2415"/>
        <x:row r="2416"/>
        <x:row r="2417"/>
        <x:row r="2418"/>
        <x:row r="2419"/>
        <x:row r="2420"/>
        <x:row r="2421"/>
        <x:row r="2422"/>
        <x:row r="2423"/>
        <x:row r="2424"/>
        <x:row r="2425"/>
        <x:row r="2426"/>
        <x:row r="2427"/>
        <x:row r="2428"/>
        <x:row r="2429"/>
        <x:row r="2430"/>
        <x:row r="2431"/>
        <x:row r="2432"/>
        <x:row r="2433"/>
        <x:row r="2434"/>
        <x:row r="2435"/>
        <x:row r="2436"/>
        <x:row r="2437"/>
        <x:row r="2438"/>
        <x:row r="2439"/>
        <x:row r="2440"/>
        <x:row r="2441"/>
        <x:row r="2442"/>
        <x:row r="2443"/>
        <x:row r="2444"/>
        <x:row r="2445"/>
        <x:row r="2446"/>
        <x:row r="2447"/>
        <x:row r="2448"/>
        <x:row r="2449"/>
        <x:row r="2450"/>
        <x:row r="2451"/>
        <x:row r="2452"/>
        <x:row r="2453"/>
        <x:row r="2454"/>
        <x:row r="2455"/>
        <x:row r="2456"/>
        <x:row r="2457"/>
        <x:row r="2458"/>
        <x:row r="2459"/>
        <x:row r="2460"/>
        <x:row r="2461"/>
        <x:row r="2462"/>
        <x:row r="2463"/>
        <x:row r="2464"/>
        <x:row r="2465"/>
        <x:row r="2466"/>
        <x:row r="2467"/>
        <x:row r="2468"/>
        <x:row r="2469"/>
        <x:row r="2470"/>
        <x:row r="2471"/>
        <x:row r="2472"/>
        <x:row r="2473"/>
        <x:row r="2474"/>
        <x:row r="2475"/>
        <x:row r="2476"/>
        <x:row r="2477"/>
        <x:row r="2478"/>
        <x:row r="2479"/>
        <x:row r="2480"/>
        <x:row r="2481"/>
        <x:row r="2482"/>
        <x:row r="2483"/>
        <x:row r="2484"/>
        <x:row r="2485"/>
        <x:row r="2486"/>
        <x:row r="2487"/>
        <x:row r="2488"/>
        <x:row r="2489"/>
        <x:row r="2490"/>
        <x:row r="2491"/>
        <x:row r="2492"/>
        <x:row r="2493"/>
        <x:row r="2494"/>
        <x:row r="2495"/>
        <x:row r="2496"/>
        <x:row r="2497"/>
        <x:row r="2498"/>
        <x:row r="2499"/>
        <x:row r="2500"/>
        <x:row r="2501"/>
        <x:row r="2502"/>
        <x:row r="2503"/>
        <x:row r="2504"/>
        <x:row r="2505"/>
        <x:row r="2506"/>
        <x:row r="2507"/>
        <x:row r="2508"/>
        <x:row r="2509"/>
        <x:row r="2510"/>
        <x:row r="2511"/>
        <x:row r="2512"/>
        <x:row r="2513"/>
        <x:row r="2514"/>
        <x:row r="2515"/>
        <x:row r="2516"/>
        <x:row r="2517"/>
        <x:row r="2518"/>
        <x:row r="2519"/>
        <x:row r="2520"/>
        <x:row r="2521"/>
        <x:row r="2522"/>
        <x:row r="2523"/>
        <x:row r="2524"/>
        <x:row r="2525"/>
        <x:row r="2526"/>
        <x:row r="2527"/>
        <x:row r="2528"/>
        <x:row r="2529"/>
        <x:row r="2530"/>
        <x:row r="2531"/>
        <x:row r="2532"/>
        <x:row r="2533"/>
        <x:row r="2534"/>
        <x:row r="2535"/>
        <x:row r="2536"/>
        <x:row r="2537"/>
        <x:row r="2538"/>
        <x:row r="2539"/>
        <x:row r="2540"/>
        <x:row r="2541"/>
        <x:row r="2542"/>
        <x:row r="2543"/>
        <x:row r="2544"/>
        <x:row r="2545"/>
        <x:row r="2546"/>
        <x:row r="2547"/>
        <x:row r="2548"/>
        <x:row r="2549"/>
        <x:row r="2550"/>
        <x:row r="2551"/>
        <x:row r="2552"/>
        <x:row r="2553"/>
        <x:row r="2554"/>
        <x:row r="2555"/>
        <x:row r="2556"/>
        <x:row r="2557"/>
        <x:row r="2558"/>
        <x:row r="2559"/>
        <x:row r="2560"/>
        <x:row r="2561"/>
        <x:row r="2562"/>
        <x:row r="2563"/>
        <x:row r="2564"/>
        <x:row r="2565"/>
        <x:row r="2566"/>
        <x:row r="2567"/>
        <x:row r="2568"/>
        <x:row r="2569"/>
        <x:row r="2570"/>
        <x:row r="2571"/>
        <x:row r="2572"/>
        <x:row r="2573"/>
        <x:row r="2574"/>
        <x:row r="2575"/>
        <x:row r="2576"/>
        <x:row r="2577"/>
        <x:row r="2578"/>
        <x:row r="2579"/>
        <x:row r="2580"/>
        <x:row r="2581"/>
        <x:row r="2582"/>
        <x:row r="2583"/>
        <x:row r="2584"/>
        <x:row r="2585"/>
        <x:row r="2586"/>
        <x:row r="2587"/>
        <x:row r="2588"/>
        <x:row r="2589"/>
        <x:row r="2590"/>
        <x:row r="2591"/>
        <x:row r="2592"/>
        <x:row r="2593"/>
        <x:row r="2594"/>
        <x:row r="2595"/>
        <x:row r="2596"/>
        <x:row r="2597"/>
        <x:row r="2598"/>
        <x:row r="2599"/>
        <x:row r="2600"/>
        <x:row r="2601"/>
        <x:row r="2602"/>
        <x:row r="2603"/>
        <x:row r="2604"/>
        <x:row r="2605"/>
        <x:row r="2606"/>
        <x:row r="2607"/>
        <x:row r="2608"/>
        <x:row r="2609"/>
        <x:row r="2610"/>
        <x:row r="2611"/>
        <x:row r="2612"/>
        <x:row r="2613"/>
        <x:row r="2614"/>
        <x:row r="2615"/>
        <x:row r="2616"/>
        <x:row r="2617"/>
        <x:row r="2618"/>
        <x:row r="2619"/>
        <x:row r="2620"/>
        <x:row r="2621"/>
        <x:row r="2622"/>
        <x:row r="2623"/>
        <x:row r="2624"/>
        <x:row r="2625"/>
        <x:row r="2626"/>
        <x:row r="2627"/>
        <x:row r="2628"/>
        <x:row r="2629"/>
        <x:row r="2630"/>
        <x:row r="2631"/>
        <x:row r="2632"/>
        <x:row r="2633"/>
        <x:row r="2634"/>
        <x:row r="2635"/>
        <x:row r="2636"/>
        <x:row r="2637"/>
        <x:row r="2638"/>
        <x:row r="2639"/>
        <x:row r="2640"/>
        <x:row r="2641"/>
        <x:row r="2642"/>
        <x:row r="2643"/>
        <x:row r="2644"/>
        <x:row r="2645"/>
        <x:row r="2646"/>
        <x:row r="2647"/>
        <x:row r="2648"/>
        <x:row r="2649"/>
        <x:row r="2650"/>
        <x:row r="2651"/>
        <x:row r="2652"/>
        <x:row r="2653"/>
        <x:row r="2654"/>
        <x:row r="2655"/>
        <x:row r="2656"/>
        <x:row r="2657"/>
        <x:row r="2658"/>
        <x:row r="2659"/>
        <x:row r="2660"/>
        <x:row r="2661"/>
        <x:row r="2662"/>
        <x:row r="2663"/>
        <x:row r="2664"/>
        <x:row r="2665"/>
        <x:row r="2666"/>
        <x:row r="2667"/>
        <x:row r="2668"/>
        <x:row r="2669"/>
        <x:row r="2670"/>
        <x:row r="2671"/>
        <x:row r="2672"/>
        <x:row r="2673"/>
        <x:row r="2674"/>
        <x:row r="2675"/>
        <x:row r="2676"/>
        <x:row r="2677"/>
        <x:row r="2678"/>
        <x:row r="2679"/>
        <x:row r="2680"/>
        <x:row r="2681"/>
        <x:row r="2682"/>
        <x:row r="2683"/>
        <x:row r="2684"/>
        <x:row r="2685"/>
        <x:row r="2686"/>
        <x:row r="2687"/>
        <x:row r="2688"/>
        <x:row r="2689"/>
        <x:row r="2690"/>
        <x:row r="2691"/>
        <x:row r="2692"/>
        <x:row r="2693"/>
        <x:row r="2694"/>
        <x:row r="2695"/>
        <x:row r="2696"/>
        <x:row r="2697"/>
        <x:row r="2698"/>
        <x:row r="2699"/>
        <x:row r="2700"/>
        <x:row r="2701"/>
        <x:row r="2702"/>
        <x:row r="2703"/>
        <x:row r="2704"/>
        <x:row r="2705"/>
        <x:row r="2706"/>
        <x:row r="2707"/>
        <x:row r="2708"/>
        <x:row r="2709"/>
        <x:row r="2710"/>
        <x:row r="2711"/>
        <x:row r="2712"/>
        <x:row r="2713"/>
        <x:row r="2714"/>
        <x:row r="2715"/>
        <x:row r="2716"/>
        <x:row r="2717"/>
        <x:row r="2718"/>
        <x:row r="2719"/>
        <x:row r="2720"/>
        <x:row r="2721"/>
        <x:row r="2722"/>
        <x:row r="2723"/>
        <x:row r="2724"/>
        <x:row r="2725"/>
        <x:row r="2726"/>
        <x:row r="2727"/>
        <x:row r="2728"/>
        <x:row r="2729"/>
        <x:row r="2730"/>
        <x:row r="2731"/>
        <x:row r="2732"/>
        <x:row r="2733"/>
        <x:row r="2734"/>
        <x:row r="2735"/>
        <x:row r="2736"/>
        <x:row r="2737"/>
        <x:row r="2738"/>
        <x:row r="2739"/>
        <x:row r="2740"/>
        <x:row r="2741"/>
        <x:row r="2742"/>
        <x:row r="2743"/>
        <x:row r="2744"/>
        <x:row r="2745"/>
        <x:row r="2746"/>
        <x:row r="2747"/>
        <x:row r="2748"/>
        <x:row r="2749"/>
        <x:row r="2750"/>
        <x:row r="2751"/>
        <x:row r="2752"/>
        <x:row r="2753"/>
        <x:row r="2754"/>
        <x:row r="2755"/>
        <x:row r="2756"/>
        <x:row r="2757"/>
        <x:row r="2758"/>
        <x:row r="2759"/>
        <x:row r="2760"/>
        <x:row r="2761"/>
        <x:row r="2762"/>
        <x:row r="2763"/>
        <x:row r="2764"/>
        <x:row r="2765"/>
        <x:row r="2766"/>
        <x:row r="2767"/>
        <x:row r="2768"/>
        <x:row r="2769"/>
        <x:row r="2770"/>
        <x:row r="2771"/>
        <x:row r="2772"/>
        <x:row r="2773"/>
        <x:row r="2774"/>
        <x:row r="2775"/>
        <x:row r="2776"/>
        <x:row r="2777"/>
        <x:row r="2778"/>
        <x:row r="2779"/>
        <x:row r="2780"/>
        <x:row r="2781"/>
        <x:row r="2782"/>
        <x:row r="2783"/>
        <x:row r="2784"/>
        <x:row r="2785"/>
        <x:row r="2786"/>
        <x:row r="2787"/>
        <x:row r="2788"/>
        <x:row r="2789"/>
        <x:row r="2790"/>
        <x:row r="2791"/>
        <x:row r="2792"/>
        <x:row r="2793"/>
        <x:row r="2794"/>
        <x:row r="2795"/>
        <x:row r="2796"/>
        <x:row r="2797"/>
        <x:row r="2798"/>
        <x:row r="2799"/>
        <x:row r="2800"/>
        <x:row r="2801"/>
        <x:row r="2802"/>
        <x:row r="2803"/>
        <x:row r="2804"/>
        <x:row r="2805"/>
        <x:row r="2806"/>
        <x:row r="2807"/>
        <x:row r="2808"/>
        <x:row r="2809"/>
        <x:row r="2810"/>
        <x:row r="2811"/>
        <x:row r="2812"/>
        <x:row r="2813"/>
        <x:row r="2814"/>
        <x:row r="2815"/>
        <x:row r="2816"/>
        <x:row r="2817"/>
        <x:row r="2818"/>
        <x:row r="2819"/>
        <x:row r="2820"/>
        <x:row r="2821"/>
        <x:row r="2822"/>
        <x:row r="2823"/>
        <x:row r="2824"/>
        <x:row r="2825"/>
        <x:row r="2826"/>
        <x:row r="2827"/>
        <x:row r="2828"/>
        <x:row r="2829"/>
        <x:row r="2830"/>
        <x:row r="2831"/>
        <x:row r="2832"/>
        <x:row r="2833"/>
        <x:row r="2834"/>
        <x:row r="2835"/>
        <x:row r="2836"/>
        <x:row r="2837"/>
        <x:row r="2838"/>
        <x:row r="2839"/>
        <x:row r="2840"/>
        <x:row r="2841"/>
        <x:row r="2842"/>
        <x:row r="2843"/>
        <x:row r="2844"/>
        <x:row r="2845"/>
        <x:row r="2846"/>
        <x:row r="2847"/>
        <x:row r="2848"/>
        <x:row r="2849"/>
        <x:row r="2850"/>
        <x:row r="2851"/>
        <x:row r="2852"/>
        <x:row r="2853"/>
        <x:row r="2854"/>
        <x:row r="2855"/>
        <x:row r="2856"/>
        <x:row r="2857"/>
        <x:row r="2858"/>
        <x:row r="2859"/>
        <x:row r="2860"/>
        <x:row r="2861"/>
        <x:row r="2862"/>
        <x:row r="2863"/>
        <x:row r="2864"/>
        <x:row r="2865"/>
        <x:row r="2866"/>
        <x:row r="2867"/>
        <x:row r="2868"/>
        <x:row r="2869"/>
        <x:row r="2870"/>
        <x:row r="2871"/>
        <x:row r="2872"/>
        <x:row r="2873"/>
        <x:row r="2874"/>
        <x:row r="2875"/>
        <x:row r="2876"/>
        <x:row r="2877"/>
        <x:row r="2878"/>
        <x:row r="2879"/>
        <x:row r="2880"/>
        <x:row r="2881"/>
        <x:row r="2882"/>
        <x:row r="2883"/>
        <x:row r="2884"/>
        <x:row r="2885"/>
        <x:row r="2886"/>
        <x:row r="2887"/>
        <x:row r="2888"/>
        <x:row r="2889"/>
        <x:row r="2890"/>
        <x:row r="2891"/>
        <x:row r="2892"/>
        <x:row r="2893"/>
        <x:row r="2894"/>
        <x:row r="2895"/>
        <x:row r="2896"/>
        <x:row r="2897"/>
        <x:row r="2898"/>
        <x:row r="2899"/>
        <x:row r="2900"/>
        <x:row r="2901"/>
        <x:row r="2902"/>
        <x:row r="2903"/>
        <x:row r="2904"/>
        <x:row r="2905"/>
        <x:row r="2906"/>
        <x:row r="2907"/>
        <x:row r="2908"/>
        <x:row r="2909"/>
        <x:row r="2910"/>
        <x:row r="2911"/>
        <x:row r="2912"/>
        <x:row r="2913"/>
        <x:row r="2914"/>
        <x:row r="2915"/>
        <x:row r="2916"/>
        <x:row r="2917"/>
        <x:row r="2918"/>
        <x:row r="2919"/>
        <x:row r="2920"/>
        <x:row r="2921"/>
        <x:row r="2922"/>
        <x:row r="2923"/>
        <x:row r="2924"/>
        <x:row r="2925"/>
        <x:row r="2926"/>
        <x:row r="2927"/>
        <x:row r="2928"/>
        <x:row r="2929"/>
        <x:row r="2930"/>
        <x:row r="2931"/>
        <x:row r="2932"/>
        <x:row r="2933"/>
        <x:row r="2934"/>
        <x:row r="2935"/>
        <x:row r="2936"/>
        <x:row r="2937"/>
        <x:row r="2938"/>
        <x:row r="2939"/>
        <x:row r="2940"/>
        <x:row r="2941"/>
        <x:row r="2942"/>
        <x:row r="2943"/>
        <x:row r="2944"/>
        <x:row r="2945"/>
        <x:row r="2946"/>
        <x:row r="2947"/>
        <x:row r="2948"/>
        <x:row r="2949"/>
        <x:row r="2950"/>
        <x:row r="2951"/>
        <x:row r="2952"/>
        <x:row r="2953"/>
        <x:row r="2954"/>
        <x:row r="2955"/>
        <x:row r="2956"/>
        <x:row r="2957"/>
        <x:row r="2958"/>
        <x:row r="2959"/>
        <x:row r="2960"/>
        <x:row r="2961"/>
        <x:row r="2962"/>
        <x:row r="2963"/>
        <x:row r="2964"/>
        <x:row r="2965"/>
        <x:row r="2966"/>
        <x:row r="2967"/>
        <x:row r="2968"/>
        <x:row r="2969"/>
        <x:row r="2970"/>
        <x:row r="2971"/>
        <x:row r="2972"/>
        <x:row r="2973"/>
        <x:row r="2974"/>
        <x:row r="2975"/>
        <x:row r="2976"/>
        <x:row r="2977"/>
        <x:row r="2978"/>
        <x:row r="2979"/>
        <x:row r="2980"/>
        <x:row r="2981"/>
        <x:row r="2982"/>
        <x:row r="2983"/>
        <x:row r="2984"/>
        <x:row r="2985"/>
        <x:row r="2986"/>
        <x:row r="2987"/>
        <x:row r="2988"/>
        <x:row r="2989"/>
        <x:row r="2990"/>
        <x:row r="2991"/>
        <x:row r="2992"/>
        <x:row r="2993"/>
        <x:row r="2994"/>
        <x:row r="2995"/>
        <x:row r="2996"/>
        <x:row r="2997"/>
        <x:row r="2998"/>
        <x:row r="2999"/>
        <x:row r="3000"/>
        <x:row r="3001"/>
        <x:row r="3002"/>
        <x:row r="3003"/>
        <x:row r="3004"/>
        <x:row r="3005"/>
        <x:row r="3006"/>
        <x:row r="3007"/>
        <x:row r="3008"/>
        <x:row r="3009"/>
        <x:row r="3010"/>
        <x:row r="3011"/>
        <x:row r="3012"/>
        <x:row r="3013"/>
        <x:row r="3014"/>
        <x:row r="3015"/>
        <x:row r="3016"/>
        <x:row r="3017"/>
        <x:row r="3018"/>
        <x:row r="3019"/>
        <x:row r="3020"/>
        <x:row r="3021"/>
        <x:row r="3022"/>
        <x:row r="3023"/>
        <x:row r="3024"/>
        <x:row r="3025"/>
        <x:row r="3026"/>
        <x:row r="3027"/>
        <x:row r="3028"/>
        <x:row r="3029"/>
        <x:row r="3030"/>
        <x:row r="3031"/>
        <x:row r="3032"/>
        <x:row r="3033"/>
        <x:row r="3034"/>
        <x:row r="3035"/>
        <x:row r="3036"/>
        <x:row r="3037"/>
        <x:row r="3038"/>
        <x:row r="3039"/>
        <x:row r="3040"/>
        <x:row r="3041"/>
        <x:row r="3042"/>
        <x:row r="3043"/>
        <x:row r="3044"/>
        <x:row r="3045"/>
        <x:row r="3046"/>
        <x:row r="3047"/>
        <x:row r="3048"/>
        <x:row r="3049"/>
        <x:row r="3050"/>
        <x:row r="3051"/>
        <x:row r="3052"/>
        <x:row r="3053"/>
        <x:row r="3054"/>
        <x:row r="3055"/>
        <x:row r="3056"/>
        <x:row r="3057"/>
        <x:row r="3058"/>
        <x:row r="3059"/>
        <x:row r="3060"/>
        <x:row r="3061"/>
        <x:row r="3062"/>
        <x:row r="3063"/>
        <x:row r="3064"/>
        <x:row r="3065"/>
        <x:row r="3066"/>
        <x:row r="3067"/>
        <x:row r="3068"/>
        <x:row r="3069"/>
        <x:row r="3070"/>
        <x:row r="3071"/>
        <x:row r="3072"/>
        <x:row r="3073"/>
        <x:row r="3074"/>
        <x:row r="3075"/>
        <x:row r="3076"/>
        <x:row r="3077"/>
        <x:row r="3078"/>
        <x:row r="3079"/>
        <x:row r="3080"/>
        <x:row r="3081"/>
        <x:row r="3082"/>
        <x:row r="3083"/>
        <x:row r="3084"/>
        <x:row r="3085"/>
        <x:row r="3086"/>
        <x:row r="3087"/>
        <x:row r="3088"/>
        <x:row r="3089"/>
        <x:row r="3090"/>
        <x:row r="3091"/>
        <x:row r="3092"/>
        <x:row r="3093"/>
        <x:row r="3094"/>
        <x:row r="3095"/>
        <x:row r="3096"/>
        <x:row r="3097"/>
        <x:row r="3098"/>
        <x:row r="3099"/>
        <x:row r="3100"/>
        <x:row r="3101"/>
        <x:row r="3102"/>
        <x:row r="3103"/>
        <x:row r="3104"/>
        <x:row r="3105"/>
        <x:row r="3106"/>
        <x:row r="3107"/>
        <x:row r="3108"/>
        <x:row r="3109"/>
        <x:row r="3110"/>
        <x:row r="3111"/>
        <x:row r="3112"/>
        <x:row r="3113"/>
        <x:row r="3114"/>
        <x:row r="3115"/>
        <x:row r="3116"/>
        <x:row r="3117"/>
        <x:row r="3118"/>
        <x:row r="3119"/>
        <x:row r="3120"/>
        <x:row r="3121"/>
        <x:row r="3122"/>
        <x:row r="3123"/>
        <x:row r="3124"/>
        <x:row r="3125"/>
        <x:row r="3126"/>
        <x:row r="3127"/>
        <x:row r="3128"/>
        <x:row r="3129"/>
        <x:row r="3130"/>
        <x:row r="3131"/>
        <x:row r="3132"/>
        <x:row r="3133"/>
        <x:row r="3134"/>
        <x:row r="3135"/>
        <x:row r="3136"/>
        <x:row r="3137"/>
        <x:row r="3138"/>
        <x:row r="3139"/>
        <x:row r="3140"/>
        <x:row r="3141"/>
        <x:row r="3142"/>
        <x:row r="3143"/>
        <x:row r="3144"/>
        <x:row r="3145"/>
        <x:row r="3146"/>
        <x:row r="3147"/>
        <x:row r="3148"/>
        <x:row r="3149"/>
        <x:row r="3150"/>
        <x:row r="3151"/>
        <x:row r="3152"/>
        <x:row r="3153"/>
        <x:row r="3154"/>
        <x:row r="3155"/>
        <x:row r="3156"/>
        <x:row r="3157"/>
        <x:row r="3158"/>
        <x:row r="3159"/>
        <x:row r="3160"/>
        <x:row r="3161"/>
        <x:row r="3162"/>
        <x:row r="3163"/>
        <x:row r="3164"/>
        <x:row r="3165"/>
        <x:row r="3166"/>
        <x:row r="3167"/>
        <x:row r="3168"/>
        <x:row r="3169"/>
        <x:row r="3170"/>
        <x:row r="3171"/>
        <x:row r="3172"/>
        <x:row r="3173"/>
        <x:row r="3174"/>
        <x:row r="3175"/>
        <x:row r="3176"/>
        <x:row r="3177"/>
        <x:row r="3178"/>
        <x:row r="3179"/>
        <x:row r="3180"/>
        <x:row r="3181"/>
        <x:row r="3182"/>
        <x:row r="3183"/>
        <x:row r="3184"/>
        <x:row r="3185"/>
        <x:row r="3186"/>
        <x:row r="3187"/>
        <x:row r="3188"/>
        <x:row r="3189"/>
        <x:row r="3190"/>
        <x:row r="3191"/>
        <x:row r="3192"/>
        <x:row r="3193"/>
        <x:row r="3194"/>
        <x:row r="3195"/>
        <x:row r="3196"/>
        <x:row r="3197"/>
        <x:row r="3198"/>
        <x:row r="3199"/>
        <x:row r="3200"/>
        <x:row r="3201"/>
        <x:row r="3202"/>
        <x:row r="3203"/>
        <x:row r="3204"/>
        <x:row r="3205"/>
        <x:row r="3206"/>
        <x:row r="3207"/>
        <x:row r="3208"/>
        <x:row r="3209"/>
        <x:row r="3210"/>
        <x:row r="3211"/>
        <x:row r="3212"/>
        <x:row r="3213"/>
        <x:row r="3214"/>
        <x:row r="3215"/>
        <x:row r="3216"/>
        <x:row r="3217"/>
        <x:row r="3218"/>
        <x:row r="3219"/>
        <x:row r="3220"/>
        <x:row r="3221"/>
        <x:row r="3222"/>
        <x:row r="3223"/>
        <x:row r="3224"/>
        <x:row r="3225"/>
        <x:row r="3226"/>
        <x:row r="3227"/>
        <x:row r="3228"/>
        <x:row r="3229"/>
        <x:row r="3230"/>
        <x:row r="3231"/>
        <x:row r="3232"/>
        <x:row r="3233"/>
        <x:row r="3234"/>
        <x:row r="3235"/>
        <x:row r="3236"/>
        <x:row r="3237"/>
        <x:row r="3238"/>
        <x:row r="3239"/>
        <x:row r="3240"/>
        <x:row r="3241"/>
        <x:row r="3242"/>
        <x:row r="3243"/>
        <x:row r="3244"/>
        <x:row r="3245"/>
        <x:row r="3246"/>
        <x:row r="3247"/>
        <x:row r="3248"/>
        <x:row r="3249"/>
        <x:row r="3250"/>
        <x:row r="3251"/>
        <x:row r="3252"/>
        <x:row r="3253"/>
        <x:row r="3254"/>
        <x:row r="3255"/>
        <x:row r="3256"/>
        <x:row r="3257"/>
        <x:row r="3258"/>
        <x:row r="3259"/>
        <x:row r="3260"/>
        <x:row r="3261"/>
        <x:row r="3262"/>
        <x:row r="3263"/>
        <x:row r="3264"/>
        <x:row r="3265"/>
        <x:row r="3266"/>
        <x:row r="3267"/>
        <x:row r="3268"/>
        <x:row r="3269"/>
        <x:row r="3270"/>
        <x:row r="3271"/>
        <x:row r="3272"/>
        <x:row r="3273"/>
        <x:row r="3274"/>
        <x:row r="3275"/>
        <x:row r="3276"/>
        <x:row r="3277"/>
        <x:row r="3278"/>
        <x:row r="3279"/>
        <x:row r="3280"/>
        <x:row r="3281"/>
        <x:row r="3282"/>
        <x:row r="3283"/>
        <x:row r="3284"/>
        <x:row r="3285"/>
        <x:row r="3286"/>
        <x:row r="3287"/>
        <x:row r="3288"/>
        <x:row r="3289"/>
        <x:row r="3290"/>
        <x:row r="3291"/>
        <x:row r="3292"/>
        <x:row r="3293"/>
        <x:row r="3294"/>
        <x:row r="3295"/>
        <x:row r="3296"/>
        <x:row r="3297"/>
        <x:row r="3298"/>
        <x:row r="3299"/>
        <x:row r="3300"/>
        <x:row r="3301"/>
        <x:row r="3302"/>
        <x:row r="3303"/>
        <x:row r="3304"/>
        <x:row r="3305"/>
        <x:row r="3306"/>
        <x:row r="3307"/>
        <x:row r="3308"/>
        <x:row r="3309"/>
        <x:row r="3310"/>
        <x:row r="3311"/>
        <x:row r="3312"/>
        <x:row r="3313"/>
        <x:row r="3314"/>
        <x:row r="3315"/>
        <x:row r="3316"/>
        <x:row r="3317"/>
        <x:row r="3318"/>
        <x:row r="3319"/>
        <x:row r="3320"/>
        <x:row r="3321"/>
        <x:row r="3322"/>
        <x:row r="3323"/>
        <x:row r="3324"/>
        <x:row r="3325"/>
        <x:row r="3326"/>
        <x:row r="3327"/>
        <x:row r="3328"/>
        <x:row r="3329"/>
        <x:row r="3330"/>
        <x:row r="3331"/>
        <x:row r="3332"/>
        <x:row r="3333"/>
        <x:row r="3334"/>
        <x:row r="3335"/>
        <x:row r="3336"/>
        <x:row r="3337"/>
        <x:row r="3338"/>
        <x:row r="3339"/>
        <x:row r="3340"/>
        <x:row r="3341"/>
        <x:row r="3342"/>
        <x:row r="3343"/>
        <x:row r="3344"/>
        <x:row r="3345"/>
        <x:row r="3346"/>
        <x:row r="3347"/>
        <x:row r="3348"/>
        <x:row r="3349"/>
        <x:row r="3350"/>
        <x:row r="3351"/>
        <x:row r="3352"/>
        <x:row r="3353"/>
        <x:row r="3354"/>
        <x:row r="3355"/>
        <x:row r="3356"/>
        <x:row r="3357"/>
        <x:row r="3358"/>
        <x:row r="3359"/>
        <x:row r="3360"/>
        <x:row r="3361"/>
        <x:row r="3362"/>
        <x:row r="3363"/>
        <x:row r="3364"/>
        <x:row r="3365"/>
        <x:row r="3366"/>
        <x:row r="3367"/>
        <x:row r="3368"/>
        <x:row r="3369"/>
        <x:row r="3370"/>
        <x:row r="3371"/>
        <x:row r="3372"/>
        <x:row r="3373"/>
        <x:row r="3374"/>
        <x:row r="3375"/>
        <x:row r="3376"/>
        <x:row r="3377"/>
        <x:row r="3378"/>
        <x:row r="3379"/>
        <x:row r="3380"/>
        <x:row r="3381"/>
        <x:row r="3382"/>
        <x:row r="3383"/>
        <x:row r="3384"/>
        <x:row r="3385"/>
        <x:row r="3386"/>
        <x:row r="3387"/>
        <x:row r="3388"/>
        <x:row r="3389"/>
        <x:row r="3390"/>
        <x:row r="3391"/>
        <x:row r="3392"/>
        <x:row r="3393"/>
        <x:row r="3394"/>
        <x:row r="3395"/>
        <x:row r="3396"/>
        <x:row r="3397"/>
        <x:row r="3398"/>
        <x:row r="3399"/>
        <x:row r="3400"/>
        <x:row r="3401"/>
        <x:row r="3402"/>
        <x:row r="3403"/>
        <x:row r="3404"/>
        <x:row r="3405"/>
        <x:row r="3406"/>
        <x:row r="3407"/>
        <x:row r="3408"/>
        <x:row r="3409"/>
        <x:row r="3410"/>
        <x:row r="3411"/>
        <x:row r="3412"/>
        <x:row r="3413"/>
        <x:row r="3414"/>
        <x:row r="3415"/>
        <x:row r="3416"/>
        <x:row r="3417"/>
        <x:row r="3418"/>
        <x:row r="3419"/>
        <x:row r="3420"/>
        <x:row r="3421"/>
        <x:row r="3422"/>
        <x:row r="3423"/>
        <x:row r="3424"/>
        <x:row r="3425"/>
        <x:row r="3426"/>
        <x:row r="3427"/>
        <x:row r="3428"/>
        <x:row r="3429"/>
        <x:row r="3430"/>
        <x:row r="3431"/>
        <x:row r="3432"/>
        <x:row r="3433"/>
        <x:row r="3434"/>
        <x:row r="3435"/>
        <x:row r="3436"/>
        <x:row r="3437"/>
        <x:row r="3438"/>
        <x:row r="3439"/>
        <x:row r="3440"/>
        <x:row r="3441"/>
        <x:row r="3442"/>
        <x:row r="3443"/>
        <x:row r="3444"/>
        <x:row r="3445"/>
        <x:row r="3446"/>
        <x:row r="3447"/>
        <x:row r="3448"/>
        <x:row r="3449"/>
        <x:row r="3450"/>
        <x:row r="3451"/>
        <x:row r="3452"/>
        <x:row r="3453"/>
        <x:row r="3454"/>
        <x:row r="3455"/>
        <x:row r="3456"/>
        <x:row r="3457"/>
        <x:row r="3458"/>
        <x:row r="3459"/>
        <x:row r="3460"/>
        <x:row r="3461"/>
        <x:row r="3462"/>
        <x:row r="3463"/>
        <x:row r="3464"/>
        <x:row r="3465"/>
        <x:row r="3466"/>
        <x:row r="3467"/>
        <x:row r="3468"/>
        <x:row r="3469"/>
        <x:row r="3470"/>
        <x:row r="3471"/>
        <x:row r="3472"/>
        <x:row r="3473"/>
        <x:row r="3474"/>
        <x:row r="3475"/>
        <x:row r="3476"/>
        <x:row r="3477"/>
        <x:row r="3478"/>
        <x:row r="3479"/>
        <x:row r="3480"/>
        <x:row r="3481"/>
        <x:row r="3482"/>
        <x:row r="3483"/>
        <x:row r="3484"/>
        <x:row r="3485"/>
        <x:row r="3486"/>
        <x:row r="3487"/>
        <x:row r="3488"/>
        <x:row r="3489"/>
        <x:row r="3490"/>
        <x:row r="3491"/>
        <x:row r="3492"/>
        <x:row r="3493"/>
        <x:row r="3494"/>
        <x:row r="3495"/>
        <x:row r="3496"/>
        <x:row r="3497"/>
        <x:row r="3498"/>
        <x:row r="3499"/>
        <x:row r="3500"/>
        <x:row r="3501"/>
        <x:row r="3502"/>
        <x:row r="3503"/>
        <x:row r="3504"/>
        <x:row r="3505"/>
        <x:row r="3506"/>
        <x:row r="3507"/>
        <x:row r="3508"/>
        <x:row r="3509"/>
        <x:row r="3510"/>
        <x:row r="3511"/>
        <x:row r="3512"/>
        <x:row r="3513"/>
        <x:row r="3514"/>
        <x:row r="3515"/>
        <x:row r="3516"/>
        <x:row r="3517"/>
        <x:row r="3518"/>
        <x:row r="3519"/>
        <x:row r="3520"/>
        <x:row r="3521"/>
        <x:row r="3522"/>
        <x:row r="3523"/>
        <x:row r="3524"/>
        <x:row r="3525"/>
        <x:row r="3526"/>
        <x:row r="3527"/>
        <x:row r="3528"/>
        <x:row r="3529"/>
        <x:row r="3530"/>
        <x:row r="3531"/>
        <x:row r="3532"/>
        <x:row r="3533"/>
        <x:row r="3534"/>
        <x:row r="3535"/>
        <x:row r="3536"/>
        <x:row r="3537"/>
        <x:row r="3538"/>
        <x:row r="3539"/>
        <x:row r="3540"/>
        <x:row r="3541"/>
        <x:row r="3542"/>
        <x:row r="3543"/>
        <x:row r="3544"/>
        <x:row r="3545"/>
        <x:row r="3546"/>
        <x:row r="3547"/>
        <x:row r="3548"/>
        <x:row r="3549"/>
        <x:row r="3550"/>
        <x:row r="3551"/>
        <x:row r="3552"/>
        <x:row r="3553"/>
        <x:row r="3554"/>
        <x:row r="3555"/>
        <x:row r="3556"/>
        <x:row r="3557"/>
        <x:row r="3558"/>
        <x:row r="3559"/>
        <x:row r="3560"/>
        <x:row r="3561"/>
        <x:row r="3562"/>
        <x:row r="3563"/>
        <x:row r="3564"/>
        <x:row r="3565"/>
        <x:row r="3566"/>
        <x:row r="3567"/>
        <x:row r="3568"/>
        <x:row r="3569"/>
        <x:row r="3570"/>
        <x:row r="3571"/>
        <x:row r="3572"/>
        <x:row r="3573"/>
        <x:row r="3574"/>
        <x:row r="3575"/>
        <x:row r="3576"/>
        <x:row r="3577"/>
        <x:row r="3578"/>
        <x:row r="3579"/>
        <x:row r="3580"/>
        <x:row r="3581"/>
        <x:row r="3582"/>
        <x:row r="3583"/>
        <x:row r="3584"/>
        <x:row r="3585"/>
        <x:row r="3586"/>
        <x:row r="3587"/>
        <x:row r="3588"/>
        <x:row r="3589"/>
        <x:row r="3590"/>
        <x:row r="3591"/>
        <x:row r="3592"/>
        <x:row r="3593"/>
        <x:row r="3594"/>
        <x:row r="3595"/>
        <x:row r="3596"/>
        <x:row r="3597"/>
        <x:row r="3598"/>
        <x:row r="3599"/>
        <x:row r="3600"/>
        <x:row r="3601"/>
        <x:row r="3602"/>
        <x:row r="3603"/>
        <x:row r="3604"/>
        <x:row r="3605"/>
        <x:row r="3606"/>
        <x:row r="3607"/>
        <x:row r="3608"/>
        <x:row r="3609"/>
        <x:row r="3610"/>
        <x:row r="3611"/>
        <x:row r="3612"/>
        <x:row r="3613"/>
        <x:row r="3614"/>
        <x:row r="3615"/>
        <x:row r="3616"/>
        <x:row r="3617"/>
        <x:row r="3618"/>
        <x:row r="3619"/>
        <x:row r="3620"/>
        <x:row r="3621"/>
        <x:row r="3622"/>
        <x:row r="3623"/>
        <x:row r="3624"/>
        <x:row r="3625"/>
        <x:row r="3626"/>
        <x:row r="3627"/>
        <x:row r="3628"/>
        <x:row r="3629"/>
        <x:row r="3630"/>
        <x:row r="3631"/>
        <x:row r="3632"/>
        <x:row r="3633"/>
        <x:row r="3634"/>
        <x:row r="3635"/>
        <x:row r="3636"/>
        <x:row r="3637"/>
        <x:row r="3638"/>
        <x:row r="3639"/>
        <x:row r="3640"/>
        <x:row r="3641"/>
        <x:row r="3642"/>
        <x:row r="3643"/>
        <x:row r="3644"/>
        <x:row r="3645"/>
        <x:row r="3646"/>
        <x:row r="3647"/>
        <x:row r="3648"/>
        <x:row r="3649"/>
        <x:row r="3650"/>
        <x:row r="3651"/>
        <x:row r="3652"/>
        <x:row r="3653"/>
        <x:row r="3654"/>
        <x:row r="3655"/>
        <x:row r="3656"/>
        <x:row r="3657"/>
        <x:row r="3658"/>
        <x:row r="3659"/>
        <x:row r="3660"/>
        <x:row r="3661"/>
        <x:row r="3662"/>
        <x:row r="3663"/>
        <x:row r="3664"/>
        <x:row r="3665"/>
        <x:row r="3666"/>
        <x:row r="3667"/>
        <x:row r="3668"/>
        <x:row r="3669"/>
        <x:row r="3670"/>
        <x:row r="3671"/>
        <x:row r="3672"/>
        <x:row r="3673"/>
        <x:row r="3674"/>
        <x:row r="3675"/>
        <x:row r="3676"/>
        <x:row r="3677"/>
        <x:row r="3678"/>
        <x:row r="3679"/>
        <x:row r="3680"/>
        <x:row r="3681"/>
        <x:row r="3682"/>
        <x:row r="3683"/>
        <x:row r="3684"/>
        <x:row r="3685"/>
        <x:row r="3686"/>
        <x:row r="3687"/>
        <x:row r="3688"/>
        <x:row r="3689"/>
        <x:row r="3690"/>
        <x:row r="3691"/>
        <x:row r="3692"/>
        <x:row r="3693"/>
        <x:row r="3694"/>
        <x:row r="3695"/>
        <x:row r="3696"/>
        <x:row r="3697"/>
        <x:row r="3698"/>
        <x:row r="3699"/>
        <x:row r="3700"/>
        <x:row r="3701"/>
        <x:row r="3702"/>
        <x:row r="3703"/>
        <x:row r="3704"/>
        <x:row r="3705"/>
        <x:row r="3706"/>
        <x:row r="3707"/>
        <x:row r="3708"/>
        <x:row r="3709"/>
        <x:row r="3710"/>
        <x:row r="3711"/>
        <x:row r="3712"/>
        <x:row r="3713"/>
        <x:row r="3714"/>
        <x:row r="3715"/>
        <x:row r="3716"/>
        <x:row r="3717"/>
        <x:row r="3718"/>
        <x:row r="3719"/>
        <x:row r="3720"/>
        <x:row r="3721"/>
        <x:row r="3722"/>
        <x:row r="3723"/>
        <x:row r="3724"/>
        <x:row r="3725"/>
        <x:row r="3726"/>
        <x:row r="3727"/>
        <x:row r="3728"/>
        <x:row r="3729"/>
        <x:row r="3730"/>
        <x:row r="3731"/>
        <x:row r="3732"/>
        <x:row r="3733"/>
        <x:row r="3734"/>
        <x:row r="3735"/>
        <x:row r="3736"/>
        <x:row r="3737"/>
        <x:row r="3738"/>
        <x:row r="3739"/>
        <x:row r="3740"/>
        <x:row r="3741"/>
        <x:row r="3742"/>
        <x:row r="3743"/>
        <x:row r="3744"/>
        <x:row r="3745"/>
        <x:row r="3746"/>
        <x:row r="3747"/>
        <x:row r="3748"/>
        <x:row r="3749"/>
        <x:row r="3750"/>
        <x:row r="3751"/>
        <x:row r="3752"/>
        <x:row r="3753"/>
        <x:row r="3754"/>
        <x:row r="3755"/>
        <x:row r="3756"/>
        <x:row r="3757"/>
        <x:row r="3758"/>
        <x:row r="3759"/>
        <x:row r="3760"/>
        <x:row r="3761"/>
        <x:row r="3762"/>
        <x:row r="3763"/>
        <x:row r="3764"/>
        <x:row r="3765"/>
        <x:row r="3766"/>
        <x:row r="3767"/>
        <x:row r="3768"/>
        <x:row r="3769"/>
        <x:row r="3770"/>
        <x:row r="3771"/>
        <x:row r="3772"/>
        <x:row r="3773"/>
        <x:row r="3774"/>
        <x:row r="3775"/>
        <x:row r="3776"/>
        <x:row r="3777"/>
        <x:row r="3778"/>
        <x:row r="3779"/>
        <x:row r="3780"/>
        <x:row r="3781"/>
        <x:row r="3782"/>
        <x:row r="3783"/>
        <x:row r="3784"/>
        <x:row r="3785"/>
        <x:row r="3786"/>
        <x:row r="3787"/>
        <x:row r="3788"/>
        <x:row r="3789"/>
        <x:row r="3790"/>
        <x:row r="3791"/>
        <x:row r="3792"/>
        <x:row r="3793"/>
        <x:row r="3794"/>
        <x:row r="3795"/>
        <x:row r="3796"/>
        <x:row r="3797"/>
        <x:row r="3798"/>
        <x:row r="3799"/>
        <x:row r="3800"/>
        <x:row r="3801"/>
        <x:row r="3802"/>
        <x:row r="3803"/>
        <x:row r="3804"/>
        <x:row r="3805"/>
        <x:row r="3806"/>
        <x:row r="3807"/>
        <x:row r="3808"/>
        <x:row r="3809"/>
        <x:row r="3810"/>
        <x:row r="3811"/>
        <x:row r="3812"/>
        <x:row r="3813"/>
        <x:row r="3814"/>
        <x:row r="3815"/>
        <x:row r="3816"/>
        <x:row r="3817"/>
        <x:row r="3818"/>
        <x:row r="3819"/>
        <x:row r="3820"/>
        <x:row r="3821"/>
        <x:row r="3822"/>
        <x:row r="3823"/>
        <x:row r="3824"/>
        <x:row r="3825"/>
        <x:row r="3826"/>
        <x:row r="3827"/>
        <x:row r="3828"/>
        <x:row r="3829"/>
        <x:row r="3830"/>
        <x:row r="3831"/>
        <x:row r="3832"/>
        <x:row r="3833"/>
        <x:row r="3834"/>
        <x:row r="3835"/>
        <x:row r="3836"/>
        <x:row r="3837"/>
        <x:row r="3838"/>
        <x:row r="3839"/>
        <x:row r="3840"/>
        <x:row r="3841"/>
        <x:row r="3842"/>
        <x:row r="3843"/>
        <x:row r="3844"/>
        <x:row r="3845"/>
        <x:row r="3846"/>
        <x:row r="3847"/>
        <x:row r="3848"/>
        <x:row r="3849"/>
        <x:row r="3850"/>
        <x:row r="3851"/>
        <x:row r="3852"/>
        <x:row r="3853"/>
        <x:row r="3854"/>
        <x:row r="3855"/>
        <x:row r="3856"/>
        <x:row r="3857"/>
        <x:row r="3858"/>
        <x:row r="3859"/>
        <x:row r="3860"/>
        <x:row r="3861"/>
        <x:row r="3862"/>
        <x:row r="3863"/>
        <x:row r="3864"/>
        <x:row r="3865"/>
        <x:row r="3866"/>
        <x:row r="3867"/>
        <x:row r="3868"/>
        <x:row r="3869"/>
        <x:row r="3870"/>
        <x:row r="3871"/>
        <x:row r="3872"/>
        <x:row r="3873"/>
        <x:row r="3874"/>
        <x:row r="3875"/>
        <x:row r="3876"/>
        <x:row r="3877"/>
        <x:row r="3878"/>
        <x:row r="3879"/>
        <x:row r="3880"/>
        <x:row r="3881"/>
        <x:row r="3882"/>
        <x:row r="3883"/>
        <x:row r="3884"/>
        <x:row r="3885"/>
        <x:row r="3886"/>
        <x:row r="3887"/>
        <x:row r="3888"/>
        <x:row r="3889"/>
        <x:row r="3890"/>
        <x:row r="3891"/>
        <x:row r="3892"/>
        <x:row r="3893"/>
        <x:row r="3894"/>
        <x:row r="3895"/>
        <x:row r="3896"/>
        <x:row r="3897"/>
        <x:row r="3898"/>
        <x:row r="3899"/>
        <x:row r="3900"/>
        <x:row r="3901"/>
        <x:row r="3902"/>
        <x:row r="3903"/>
        <x:row r="3904"/>
        <x:row r="3905"/>
        <x:row r="3906"/>
        <x:row r="3907"/>
        <x:row r="3908"/>
        <x:row r="3909"/>
        <x:row r="3910"/>
        <x:row r="3911"/>
        <x:row r="3912"/>
        <x:row r="3913"/>
        <x:row r="3914"/>
        <x:row r="3915"/>
        <x:row r="3916"/>
        <x:row r="3917"/>
        <x:row r="3918"/>
        <x:row r="3919"/>
        <x:row r="3920"/>
        <x:row r="3921"/>
        <x:row r="3922"/>
        <x:row r="3923"/>
        <x:row r="3924"/>
        <x:row r="3925"/>
        <x:row r="3926"/>
        <x:row r="3927"/>
        <x:row r="3928"/>
        <x:row r="3929"/>
        <x:row r="3930"/>
        <x:row r="3931"/>
        <x:row r="3932"/>
        <x:row r="3933"/>
        <x:row r="3934"/>
        <x:row r="3935"/>
        <x:row r="3936"/>
        <x:row r="3937"/>
        <x:row r="3938"/>
        <x:row r="3939"/>
        <x:row r="3940"/>
        <x:row r="3941"/>
        <x:row r="3942"/>
        <x:row r="3943"/>
        <x:row r="3944"/>
        <x:row r="3945"/>
        <x:row r="3946"/>
        <x:row r="3947"/>
        <x:row r="3948"/>
        <x:row r="3949"/>
        <x:row r="3950"/>
        <x:row r="3951"/>
        <x:row r="3952"/>
        <x:row r="3953"/>
        <x:row r="3954"/>
        <x:row r="3955"/>
        <x:row r="3956"/>
        <x:row r="3957"/>
        <x:row r="3958"/>
        <x:row r="3959"/>
        <x:row r="3960"/>
        <x:row r="3961"/>
        <x:row r="3962"/>
        <x:row r="3963"/>
        <x:row r="3964"/>
        <x:row r="3965"/>
        <x:row r="3966"/>
        <x:row r="3967"/>
        <x:row r="3968"/>
        <x:row r="3969"/>
        <x:row r="3970"/>
        <x:row r="3971"/>
        <x:row r="3972"/>
        <x:row r="3973"/>
        <x:row r="3974"/>
        <x:row r="3975"/>
        <x:row r="3976"/>
        <x:row r="3977"/>
        <x:row r="3978"/>
        <x:row r="3979"/>
        <x:row r="3980"/>
        <x:row r="3981"/>
        <x:row r="3982"/>
        <x:row r="3983"/>
        <x:row r="3984"/>
        <x:row r="3985"/>
        <x:row r="3986"/>
        <x:row r="3987"/>
        <x:row r="3988"/>
        <x:row r="3989"/>
        <x:row r="3990"/>
        <x:row r="3991"/>
        <x:row r="3992"/>
        <x:row r="3993"/>
        <x:row r="3994"/>
        <x:row r="3995"/>
        <x:row r="3996"/>
        <x:row r="3997"/>
        <x:row r="3998"/>
        <x:row r="3999"/>
        <x:row r="4000"/>
        <x:row r="4001"/>
        <x:row r="4002"/>
        <x:row r="4003"/>
        <x:row r="4004"/>
        <x:row r="4005"/>
        <x:row r="4006"/>
        <x:row r="4007"/>
        <x:row r="4008"/>
        <x:row r="4009"/>
        <x:row r="4010"/>
        <x:row r="4011"/>
        <x:row r="4012"/>
        <x:row r="4013"/>
        <x:row r="4014"/>
        <x:row r="4015"/>
        <x:row r="4016"/>
        <x:row r="4017"/>
        <x:row r="4018"/>
        <x:row r="4019"/>
        <x:row r="4020"/>
        <x:row r="4021"/>
        <x:row r="4022"/>
        <x:row r="4023"/>
        <x:row r="4024"/>
        <x:row r="4025"/>
        <x:row r="4026"/>
        <x:row r="4027"/>
        <x:row r="4028"/>
        <x:row r="4029"/>
        <x:row r="4030"/>
        <x:row r="4031"/>
        <x:row r="4032"/>
        <x:row r="4033"/>
        <x:row r="4034"/>
        <x:row r="4035"/>
        <x:row r="4036"/>
        <x:row r="4037"/>
        <x:row r="4038"/>
        <x:row r="4039"/>
        <x:row r="4040"/>
        <x:row r="4041"/>
        <x:row r="4042"/>
        <x:row r="4043"/>
        <x:row r="4044"/>
        <x:row r="4045"/>
        <x:row r="4046"/>
        <x:row r="4047"/>
        <x:row r="4048"/>
        <x:row r="4049"/>
        <x:row r="4050"/>
        <x:row r="4051"/>
        <x:row r="4052"/>
        <x:row r="4053"/>
        <x:row r="4054"/>
        <x:row r="4055"/>
        <x:row r="4056"/>
        <x:row r="4057"/>
        <x:row r="4058"/>
        <x:row r="4059"/>
        <x:row r="4060"/>
        <x:row r="4061"/>
        <x:row r="4062"/>
        <x:row r="4063"/>
        <x:row r="4064"/>
        <x:row r="4065"/>
        <x:row r="4066"/>
        <x:row r="4067"/>
        <x:row r="4068"/>
        <x:row r="4069"/>
        <x:row r="4070"/>
        <x:row r="4071"/>
        <x:row r="4072"/>
        <x:row r="4073"/>
        <x:row r="4074"/>
        <x:row r="4075"/>
        <x:row r="4076"/>
        <x:row r="4077"/>
        <x:row r="4078"/>
        <x:row r="4079"/>
        <x:row r="4080"/>
        <x:row r="4081"/>
        <x:row r="4082"/>
        <x:row r="4083"/>
        <x:row r="4084"/>
        <x:row r="4085"/>
        <x:row r="4086"/>
        <x:row r="4087"/>
        <x:row r="4088"/>
        <x:row r="4089"/>
        <x:row r="4090"/>
        <x:row r="4091"/>
        <x:row r="4092"/>
        <x:row r="4093"/>
        <x:row r="4094"/>
        <x:row r="4095"/>
        <x:row r="4096"/>
        <x:row r="4097"/>
        <x:row r="4098"/>
        <x:row r="4099"/>
        <x:row r="4100"/>
        <x:row r="4101"/>
        <x:row r="4102"/>
        <x:row r="4103"/>
        <x:row r="4104"/>
        <x:row r="4105"/>
        <x:row r="4106"/>
        <x:row r="4107"/>
        <x:row r="4108"/>
        <x:row r="4109"/>
        <x:row r="4110"/>
        <x:row r="4111"/>
        <x:row r="4112"/>
        <x:row r="4113"/>
        <x:row r="4114"/>
        <x:row r="4115"/>
        <x:row r="4116"/>
        <x:row r="4117"/>
        <x:row r="4118"/>
        <x:row r="4119"/>
        <x:row r="4120"/>
        <x:row r="4121"/>
        <x:row r="4122"/>
        <x:row r="4123"/>
        <x:row r="4124"/>
        <x:row r="4125"/>
        <x:row r="4126"/>
        <x:row r="4127"/>
        <x:row r="4128"/>
        <x:row r="4129"/>
        <x:row r="4130"/>
        <x:row r="4131"/>
        <x:row r="4132"/>
        <x:row r="4133"/>
        <x:row r="4134"/>
        <x:row r="4135"/>
        <x:row r="4136"/>
        <x:row r="4137"/>
        <x:row r="4138"/>
        <x:row r="4139"/>
        <x:row r="4140"/>
        <x:row r="4141"/>
        <x:row r="4142"/>
        <x:row r="4143"/>
        <x:row r="4144"/>
        <x:row r="4145"/>
        <x:row r="4146"/>
        <x:row r="4147"/>
        <x:row r="4148"/>
        <x:row r="4149"/>
        <x:row r="4150"/>
        <x:row r="4151"/>
        <x:row r="4152"/>
        <x:row r="4153"/>
        <x:row r="4154"/>
        <x:row r="4155"/>
        <x:row r="4156"/>
        <x:row r="4157"/>
        <x:row r="4158"/>
        <x:row r="4159"/>
        <x:row r="4160"/>
        <x:row r="4161"/>
        <x:row r="4162"/>
        <x:row r="4163"/>
        <x:row r="4164"/>
        <x:row r="4165"/>
        <x:row r="4166"/>
        <x:row r="4167"/>
        <x:row r="4168"/>
        <x:row r="4169"/>
        <x:row r="4170"/>
        <x:row r="4171"/>
        <x:row r="4172"/>
        <x:row r="4173"/>
        <x:row r="4174"/>
        <x:row r="4175"/>
        <x:row r="4176"/>
        <x:row r="4177"/>
        <x:row r="4178"/>
        <x:row r="4179"/>
        <x:row r="4180"/>
        <x:row r="4181"/>
        <x:row r="4182"/>
        <x:row r="4183"/>
        <x:row r="4184"/>
        <x:row r="4185"/>
        <x:row r="4186"/>
        <x:row r="4187"/>
        <x:row r="4188"/>
        <x:row r="4189"/>
        <x:row r="4190"/>
        <x:row r="4191"/>
        <x:row r="4192"/>
        <x:row r="4193"/>
        <x:row r="4194"/>
        <x:row r="4195"/>
        <x:row r="4196"/>
        <x:row r="4197"/>
        <x:row r="4198"/>
        <x:row r="4199"/>
        <x:row r="4200"/>
        <x:row r="4201"/>
        <x:row r="4202"/>
        <x:row r="4203"/>
        <x:row r="4204"/>
        <x:row r="4205"/>
        <x:row r="4206"/>
        <x:row r="4207"/>
        <x:row r="4208"/>
        <x:row r="4209"/>
        <x:row r="4210"/>
        <x:row r="4211"/>
        <x:row r="4212"/>
        <x:row r="4213"/>
        <x:row r="4214"/>
        <x:row r="4215"/>
        <x:row r="4216"/>
        <x:row r="4217"/>
        <x:row r="4218"/>
        <x:row r="4219"/>
        <x:row r="4220"/>
        <x:row r="4221"/>
        <x:row r="4222"/>
        <x:row r="4223"/>
        <x:row r="4224"/>
        <x:row r="4225"/>
        <x:row r="4226"/>
        <x:row r="4227"/>
        <x:row r="4228"/>
        <x:row r="4229"/>
        <x:row r="4230"/>
        <x:row r="4231"/>
        <x:row r="4232"/>
        <x:row r="4233"/>
        <x:row r="4234"/>
        <x:row r="4235"/>
        <x:row r="4236"/>
        <x:row r="4237"/>
        <x:row r="4238"/>
        <x:row r="4239"/>
        <x:row r="4240"/>
        <x:row r="4241"/>
        <x:row r="4242"/>
        <x:row r="4243"/>
        <x:row r="4244"/>
        <x:row r="4245"/>
        <x:row r="4246"/>
        <x:row r="4247"/>
        <x:row r="4248"/>
        <x:row r="4249"/>
        <x:row r="4250"/>
        <x:row r="4251"/>
        <x:row r="4252"/>
        <x:row r="4253"/>
        <x:row r="4254"/>
        <x:row r="4255"/>
        <x:row r="4256"/>
        <x:row r="4257"/>
        <x:row r="4258"/>
        <x:row r="4259"/>
        <x:row r="4260"/>
        <x:row r="4261"/>
        <x:row r="4262"/>
        <x:row r="4263"/>
        <x:row r="4264"/>
        <x:row r="4265"/>
        <x:row r="4266"/>
        <x:row r="4267"/>
        <x:row r="4268"/>
        <x:row r="4269"/>
        <x:row r="4270"/>
        <x:row r="4271"/>
        <x:row r="4272"/>
        <x:row r="4273"/>
        <x:row r="4274"/>
        <x:row r="4275"/>
        <x:row r="4276"/>
        <x:row r="4277"/>
        <x:row r="4278"/>
        <x:row r="4279"/>
        <x:row r="4280"/>
        <x:row r="4281"/>
        <x:row r="4282"/>
        <x:row r="4283"/>
        <x:row r="4284"/>
        <x:row r="4285"/>
        <x:row r="4286"/>
        <x:row r="4287"/>
        <x:row r="4288"/>
        <x:row r="4289"/>
        <x:row r="4290"/>
        <x:row r="4291"/>
        <x:row r="4292"/>
        <x:row r="4293"/>
        <x:row r="4294"/>
        <x:row r="4295"/>
        <x:row r="4296"/>
        <x:row r="4297"/>
        <x:row r="4298"/>
        <x:row r="4299"/>
        <x:row r="4300"/>
        <x:row r="4301"/>
        <x:row r="4302"/>
        <x:row r="4303"/>
        <x:row r="4304"/>
        <x:row r="4305"/>
        <x:row r="4306"/>
        <x:row r="4307"/>
        <x:row r="4308"/>
        <x:row r="4309"/>
        <x:row r="4310"/>
        <x:row r="4311"/>
        <x:row r="4312"/>
        <x:row r="4313"/>
        <x:row r="4314"/>
        <x:row r="4315"/>
        <x:row r="4316"/>
        <x:row r="4317"/>
        <x:row r="4318"/>
        <x:row r="4319"/>
        <x:row r="4320"/>
        <x:row r="4321"/>
        <x:row r="4322"/>
        <x:row r="4323"/>
        <x:row r="4324"/>
        <x:row r="4325"/>
        <x:row r="4326"/>
        <x:row r="4327"/>
        <x:row r="4328"/>
        <x:row r="4329"/>
        <x:row r="4330"/>
        <x:row r="4331"/>
        <x:row r="4332"/>
        <x:row r="4333"/>
        <x:row r="4334"/>
        <x:row r="4335"/>
        <x:row r="4336"/>
        <x:row r="4337"/>
        <x:row r="4338"/>
        <x:row r="4339"/>
        <x:row r="4340"/>
        <x:row r="4341"/>
        <x:row r="4342"/>
        <x:row r="4343"/>
        <x:row r="4344"/>
        <x:row r="4345"/>
        <x:row r="4346"/>
        <x:row r="4347"/>
        <x:row r="4348"/>
        <x:row r="4349"/>
        <x:row r="4350"/>
        <x:row r="4351"/>
        <x:row r="4352"/>
        <x:row r="4353"/>
        <x:row r="4354"/>
        <x:row r="4355"/>
        <x:row r="4356"/>
        <x:row r="4357"/>
        <x:row r="4358"/>
        <x:row r="4359"/>
        <x:row r="4360"/>
        <x:row r="4361"/>
        <x:row r="4362"/>
        <x:row r="4363"/>
        <x:row r="4364"/>
        <x:row r="4365"/>
        <x:row r="4366"/>
        <x:row r="4367"/>
        <x:row r="4368"/>
        <x:row r="4369"/>
        <x:row r="4370"/>
        <x:row r="4371"/>
        <x:row r="4372"/>
        <x:row r="4373"/>
        <x:row r="4374"/>
        <x:row r="4375"/>
        <x:row r="4376"/>
        <x:row r="4377"/>
        <x:row r="4378"/>
        <x:row r="4379"/>
        <x:row r="4380"/>
        <x:row r="4381"/>
        <x:row r="4382"/>
        <x:row r="4383"/>
        <x:row r="4384"/>
        <x:row r="4385"/>
        <x:row r="4386"/>
        <x:row r="4387"/>
        <x:row r="4388"/>
        <x:row r="4389"/>
        <x:row r="4390"/>
        <x:row r="4391"/>
        <x:row r="4392"/>
        <x:row r="4393"/>
        <x:row r="4394"/>
        <x:row r="4395"/>
        <x:row r="4396"/>
        <x:row r="4397"/>
        <x:row r="4398"/>
        <x:row r="4399"/>
        <x:row r="4400"/>
        <x:row r="4401"/>
        <x:row r="4402"/>
        <x:row r="4403"/>
        <x:row r="4404"/>
        <x:row r="4405"/>
        <x:row r="4406"/>
        <x:row r="4407"/>
        <x:row r="4408"/>
        <x:row r="4409"/>
        <x:row r="4410"/>
        <x:row r="4411"/>
        <x:row r="4412"/>
        <x:row r="4413"/>
        <x:row r="4414"/>
        <x:row r="4415"/>
        <x:row r="4416"/>
        <x:row r="4417"/>
        <x:row r="4418"/>
        <x:row r="4419"/>
        <x:row r="4420"/>
        <x:row r="4421"/>
        <x:row r="4422"/>
        <x:row r="4423"/>
        <x:row r="4424"/>
        <x:row r="4425"/>
        <x:row r="4426"/>
        <x:row r="4427"/>
        <x:row r="4428"/>
        <x:row r="4429"/>
        <x:row r="4430"/>
        <x:row r="4431"/>
        <x:row r="4432"/>
        <x:row r="4433"/>
        <x:row r="4434"/>
        <x:row r="4435"/>
        <x:row r="4436"/>
        <x:row r="4437"/>
        <x:row r="4438"/>
        <x:row r="4439"/>
        <x:row r="4440"/>
        <x:row r="4441"/>
        <x:row r="4442"/>
        <x:row r="4443"/>
        <x:row r="4444"/>
        <x:row r="4445"/>
        <x:row r="4446"/>
        <x:row r="4447"/>
        <x:row r="4448"/>
        <x:row r="4449"/>
        <x:row r="4450"/>
        <x:row r="4451"/>
        <x:row r="4452"/>
        <x:row r="4453"/>
        <x:row r="4454"/>
        <x:row r="4455"/>
        <x:row r="4456"/>
        <x:row r="4457"/>
        <x:row r="4458"/>
        <x:row r="4459"/>
        <x:row r="4460"/>
        <x:row r="4461"/>
        <x:row r="4462"/>
        <x:row r="4463"/>
        <x:row r="4464"/>
        <x:row r="4465"/>
        <x:row r="4466"/>
        <x:row r="4467"/>
        <x:row r="4468"/>
        <x:row r="4469"/>
        <x:row r="4470"/>
        <x:row r="4471"/>
        <x:row r="4472"/>
        <x:row r="4473"/>
        <x:row r="4474"/>
        <x:row r="4475"/>
        <x:row r="4476"/>
        <x:row r="4477"/>
        <x:row r="4478"/>
        <x:row r="4479"/>
        <x:row r="4480"/>
        <x:row r="4481"/>
        <x:row r="4482"/>
        <x:row r="4483"/>
        <x:row r="4484"/>
        <x:row r="4485"/>
        <x:row r="4486"/>
        <x:row r="4487"/>
        <x:row r="4488"/>
        <x:row r="4489"/>
        <x:row r="4490"/>
        <x:row r="4491"/>
        <x:row r="4492"/>
        <x:row r="4493"/>
        <x:row r="4494"/>
        <x:row r="4495"/>
        <x:row r="4496"/>
        <x:row r="4497"/>
        <x:row r="4498"/>
        <x:row r="4499"/>
        <x:row r="4500"/>
        <x:row r="4501"/>
        <x:row r="4502"/>
        <x:row r="4503"/>
        <x:row r="4504"/>
        <x:row r="4505"/>
        <x:row r="4506"/>
        <x:row r="4507"/>
        <x:row r="4508"/>
        <x:row r="4509"/>
        <x:row r="4510"/>
        <x:row r="4511"/>
        <x:row r="4512"/>
        <x:row r="4513"/>
        <x:row r="4514"/>
        <x:row r="4515"/>
        <x:row r="4516"/>
        <x:row r="4517"/>
        <x:row r="4518"/>
        <x:row r="4519"/>
        <x:row r="4520"/>
        <x:row r="4521"/>
        <x:row r="4522"/>
        <x:row r="4523"/>
        <x:row r="4524"/>
        <x:row r="4525"/>
        <x:row r="4526"/>
        <x:row r="4527"/>
        <x:row r="4528"/>
        <x:row r="4529"/>
        <x:row r="4530"/>
        <x:row r="4531"/>
        <x:row r="4532"/>
        <x:row r="4533"/>
        <x:row r="4534"/>
        <x:row r="4535"/>
        <x:row r="4536"/>
        <x:row r="4537"/>
        <x:row r="4538"/>
        <x:row r="4539"/>
        <x:row r="4540"/>
        <x:row r="4541"/>
        <x:row r="4542"/>
        <x:row r="4543"/>
        <x:row r="4544"/>
        <x:row r="4545"/>
        <x:row r="4546"/>
        <x:row r="4547"/>
        <x:row r="4548"/>
        <x:row r="4549"/>
        <x:row r="4550"/>
        <x:row r="4551"/>
        <x:row r="4552"/>
        <x:row r="4553"/>
        <x:row r="4554"/>
        <x:row r="4555"/>
        <x:row r="4556"/>
        <x:row r="4557"/>
        <x:row r="4558"/>
        <x:row r="4559"/>
        <x:row r="4560"/>
        <x:row r="4561"/>
        <x:row r="4562"/>
        <x:row r="4563"/>
        <x:row r="4564"/>
        <x:row r="4565"/>
        <x:row r="4566"/>
        <x:row r="4567"/>
        <x:row r="4568"/>
        <x:row r="4569"/>
        <x:row r="4570"/>
        <x:row r="4571"/>
        <x:row r="4572"/>
        <x:row r="4573"/>
        <x:row r="4574"/>
        <x:row r="4575"/>
        <x:row r="4576"/>
        <x:row r="4577"/>
        <x:row r="4578"/>
        <x:row r="4579"/>
        <x:row r="4580"/>
        <x:row r="4581"/>
        <x:row r="4582"/>
        <x:row r="4583"/>
        <x:row r="4584"/>
        <x:row r="4585"/>
        <x:row r="4586"/>
        <x:row r="4587"/>
        <x:row r="4588"/>
        <x:row r="4589"/>
        <x:row r="4590"/>
        <x:row r="4591"/>
        <x:row r="4592"/>
        <x:row r="4593"/>
        <x:row r="4594"/>
        <x:row r="4595"/>
        <x:row r="4596"/>
        <x:row r="4597"/>
        <x:row r="4598"/>
        <x:row r="4599"/>
        <x:row r="4600"/>
        <x:row r="4601"/>
        <x:row r="4602"/>
        <x:row r="4603"/>
        <x:row r="4604"/>
        <x:row r="4605"/>
        <x:row r="4606"/>
        <x:row r="4607"/>
        <x:row r="4608"/>
        <x:row r="4609"/>
        <x:row r="4610"/>
        <x:row r="4611"/>
        <x:row r="4612"/>
        <x:row r="4613"/>
        <x:row r="4614"/>
        <x:row r="4615"/>
        <x:row r="4616"/>
        <x:row r="4617"/>
        <x:row r="4618"/>
        <x:row r="4619"/>
        <x:row r="4620"/>
        <x:row r="4621"/>
        <x:row r="4622"/>
        <x:row r="4623"/>
        <x:row r="4624"/>
        <x:row r="4625"/>
        <x:row r="4626"/>
        <x:row r="4627"/>
        <x:row r="4628"/>
        <x:row r="4629"/>
        <x:row r="4630"/>
        <x:row r="4631"/>
        <x:row r="4632"/>
        <x:row r="4633"/>
        <x:row r="4634"/>
        <x:row r="4635"/>
        <x:row r="4636"/>
        <x:row r="4637"/>
        <x:row r="4638"/>
        <x:row r="4639"/>
        <x:row r="4640"/>
        <x:row r="4641"/>
        <x:row r="4642"/>
        <x:row r="4643"/>
        <x:row r="4644"/>
        <x:row r="4645"/>
        <x:row r="4646"/>
        <x:row r="4647"/>
        <x:row r="4648"/>
        <x:row r="4649"/>
        <x:row r="4650"/>
        <x:row r="4651"/>
        <x:row r="4652"/>
        <x:row r="4653"/>
        <x:row r="4654"/>
        <x:row r="4655"/>
        <x:row r="4656"/>
        <x:row r="4657"/>
        <x:row r="4658"/>
        <x:row r="4659"/>
        <x:row r="4660"/>
        <x:row r="4661"/>
        <x:row r="4662"/>
        <x:row r="4663"/>
        <x:row r="4664"/>
        <x:row r="4665"/>
        <x:row r="4666"/>
        <x:row r="4667"/>
        <x:row r="4668"/>
        <x:row r="4669"/>
        <x:row r="4670"/>
        <x:row r="4671"/>
        <x:row r="4672"/>
        <x:row r="4673"/>
        <x:row r="4674"/>
        <x:row r="4675"/>
        <x:row r="4676"/>
        <x:row r="4677"/>
        <x:row r="4678"/>
        <x:row r="4679"/>
        <x:row r="4680"/>
        <x:row r="4681"/>
        <x:row r="4682"/>
        <x:row r="4683"/>
        <x:row r="4684"/>
        <x:row r="4685"/>
        <x:row r="4686"/>
        <x:row r="4687"/>
        <x:row r="4688"/>
        <x:row r="4689"/>
        <x:row r="4690"/>
        <x:row r="4691"/>
        <x:row r="4692"/>
        <x:row r="4693"/>
        <x:row r="4694"/>
        <x:row r="4695"/>
        <x:row r="4696"/>
        <x:row r="4697"/>
        <x:row r="4698"/>
        <x:row r="4699"/>
        <x:row r="4700"/>
        <x:row r="4701"/>
        <x:row r="4702"/>
        <x:row r="4703"/>
        <x:row r="4704"/>
        <x:row r="4705"/>
        <x:row r="4706"/>
        <x:row r="4707"/>
        <x:row r="4708"/>
        <x:row r="4709"/>
        <x:row r="4710"/>
        <x:row r="4711"/>
        <x:row r="4712"/>
        <x:row r="4713"/>
        <x:row r="4714"/>
        <x:row r="4715"/>
        <x:row r="4716"/>
        <x:row r="4717"/>
        <x:row r="4718"/>
        <x:row r="4719"/>
        <x:row r="4720"/>
        <x:row r="4721"/>
        <x:row r="4722"/>
        <x:row r="4723"/>
        <x:row r="4724"/>
        <x:row r="4725"/>
        <x:row r="4726"/>
        <x:row r="4727"/>
        <x:row r="4728"/>
        <x:row r="4729"/>
        <x:row r="4730"/>
        <x:row r="4731"/>
        <x:row r="4732"/>
        <x:row r="4733"/>
        <x:row r="4734"/>
        <x:row r="4735"/>
        <x:row r="4736"/>
        <x:row r="4737"/>
        <x:row r="4738"/>
        <x:row r="4739"/>
        <x:row r="4740"/>
        <x:row r="4741"/>
        <x:row r="4742"/>
        <x:row r="4743"/>
        <x:row r="4744"/>
        <x:row r="4745"/>
        <x:row r="4746"/>
        <x:row r="4747"/>
        <x:row r="4748"/>
        <x:row r="4749"/>
        <x:row r="4750"/>
        <x:row r="4751"/>
        <x:row r="4752"/>
        <x:row r="4753"/>
        <x:row r="4754"/>
        <x:row r="4755"/>
        <x:row r="4756"/>
        <x:row r="4757"/>
        <x:row r="4758"/>
        <x:row r="4759"/>
        <x:row r="4760"/>
        <x:row r="4761"/>
        <x:row r="4762"/>
        <x:row r="4763"/>
        <x:row r="4764"/>
        <x:row r="4765"/>
        <x:row r="4766"/>
        <x:row r="4767"/>
        <x:row r="4768"/>
        <x:row r="4769"/>
        <x:row r="4770"/>
        <x:row r="4771"/>
        <x:row r="4772"/>
        <x:row r="4773"/>
        <x:row r="4774"/>
        <x:row r="4775"/>
        <x:row r="4776"/>
        <x:row r="4777"/>
        <x:row r="4778"/>
        <x:row r="4779"/>
        <x:row r="4780"/>
        <x:row r="4781"/>
        <x:row r="4782"/>
        <x:row r="4783"/>
        <x:row r="4784"/>
        <x:row r="4785"/>
        <x:row r="4786"/>
        <x:row r="4787"/>
        <x:row r="4788"/>
        <x:row r="4789"/>
        <x:row r="4790"/>
        <x:row r="4791"/>
        <x:row r="4792"/>
        <x:row r="4793"/>
        <x:row r="4794"/>
        <x:row r="4795"/>
        <x:row r="4796"/>
        <x:row r="4797"/>
        <x:row r="4798"/>
        <x:row r="4799"/>
        <x:row r="4800"/>
        <x:row r="4801"/>
        <x:row r="4802"/>
        <x:row r="4803"/>
        <x:row r="4804"/>
        <x:row r="4805"/>
        <x:row r="4806"/>
        <x:row r="4807"/>
        <x:row r="4808"/>
        <x:row r="4809"/>
        <x:row r="4810"/>
        <x:row r="4811"/>
        <x:row r="4812"/>
        <x:row r="4813"/>
        <x:row r="4814"/>
        <x:row r="4815"/>
        <x:row r="4816"/>
        <x:row r="4817"/>
        <x:row r="4818"/>
        <x:row r="4819"/>
        <x:row r="4820"/>
        <x:row r="4821"/>
        <x:row r="4822"/>
        <x:row r="4823"/>
        <x:row r="4824"/>
        <x:row r="4825"/>
        <x:row r="4826"/>
        <x:row r="4827"/>
        <x:row r="4828"/>
        <x:row r="4829"/>
        <x:row r="4830"/>
        <x:row r="4831"/>
        <x:row r="4832"/>
        <x:row r="4833"/>
        <x:row r="4834"/>
        <x:row r="4835"/>
        <x:row r="4836"/>
        <x:row r="4837"/>
        <x:row r="4838"/>
        <x:row r="4839"/>
        <x:row r="4840"/>
        <x:row r="4841"/>
        <x:row r="4842"/>
        <x:row r="4843"/>
        <x:row r="4844"/>
        <x:row r="4845"/>
        <x:row r="4846"/>
        <x:row r="4847"/>
        <x:row r="4848"/>
        <x:row r="4849"/>
        <x:row r="4850"/>
        <x:row r="4851"/>
        <x:row r="4852"/>
        <x:row r="4853"/>
        <x:row r="4854"/>
        <x:row r="4855"/>
        <x:row r="4856"/>
        <x:row r="4857"/>
        <x:row r="4858"/>
        <x:row r="4859"/>
        <x:row r="4860"/>
        <x:row r="4861"/>
        <x:row r="4862"/>
        <x:row r="4863"/>
        <x:row r="4864"/>
        <x:row r="4865"/>
        <x:row r="4866"/>
        <x:row r="4867"/>
        <x:row r="4868"/>
        <x:row r="4869"/>
        <x:row r="4870"/>
        <x:row r="4871"/>
        <x:row r="4872"/>
        <x:row r="4873"/>
        <x:row r="4874"/>
        <x:row r="4875"/>
        <x:row r="4876"/>
        <x:row r="4877"/>
        <x:row r="4878"/>
        <x:row r="4879"/>
        <x:row r="4880"/>
        <x:row r="4881"/>
        <x:row r="4882"/>
        <x:row r="4883"/>
        <x:row r="4884"/>
        <x:row r="4885"/>
        <x:row r="4886"/>
        <x:row r="4887"/>
        <x:row r="4888"/>
        <x:row r="4889"/>
        <x:row r="4890"/>
        <x:row r="4891"/>
        <x:row r="4892"/>
        <x:row r="4893"/>
        <x:row r="4894"/>
        <x:row r="4895"/>
        <x:row r="4896"/>
        <x:row r="4897"/>
        <x:row r="4898"/>
        <x:row r="4899"/>
        <x:row r="4900"/>
        <x:row r="4901"/>
        <x:row r="4902"/>
        <x:row r="4903"/>
        <x:row r="4904"/>
        <x:row r="4905"/>
        <x:row r="4906"/>
        <x:row r="4907"/>
        <x:row r="4908"/>
        <x:row r="4909"/>
        <x:row r="4910"/>
        <x:row r="4911"/>
        <x:row r="4912"/>
        <x:row r="4913"/>
        <x:row r="4914"/>
        <x:row r="4915"/>
        <x:row r="4916"/>
        <x:row r="4917"/>
        <x:row r="4918"/>
        <x:row r="4919"/>
        <x:row r="4920"/>
        <x:row r="4921"/>
        <x:row r="4922"/>
        <x:row r="4923"/>
        <x:row r="4924"/>
        <x:row r="4925"/>
        <x:row r="4926"/>
        <x:row r="4927"/>
        <x:row r="4928"/>
        <x:row r="4929"/>
        <x:row r="4930"/>
        <x:row r="4931"/>
        <x:row r="4932"/>
        <x:row r="4933"/>
        <x:row r="4934"/>
        <x:row r="4935"/>
        <x:row r="4936"/>
        <x:row r="4937"/>
        <x:row r="4938"/>
        <x:row r="4939"/>
        <x:row r="4940"/>
        <x:row r="4941"/>
        <x:row r="4942"/>
        <x:row r="4943"/>
        <x:row r="4944"/>
        <x:row r="4945"/>
        <x:row r="4946"/>
        <x:row r="4947"/>
        <x:row r="4948"/>
        <x:row r="4949"/>
        <x:row r="4950"/>
        <x:row r="4951"/>
        <x:row r="4952"/>
        <x:row r="4953"/>
        <x:row r="4954"/>
        <x:row r="4955"/>
        <x:row r="4956"/>
        <x:row r="4957"/>
        <x:row r="4958"/>
        <x:row r="4959"/>
        <x:row r="4960"/>
        <x:row r="4961"/>
        <x:row r="4962"/>
        <x:row r="4963"/>
        <x:row r="4964"/>
        <x:row r="4965"/>
        <x:row r="4966"/>
        <x:row r="4967"/>
        <x:row r="4968"/>
        <x:row r="4969"/>
        <x:row r="4970"/>
        <x:row r="4971"/>
        <x:row r="4972"/>
        <x:row r="4973"/>
        <x:row r="4974"/>
        <x:row r="4975"/>
        <x:row r="4976"/>
        <x:row r="4977"/>
        <x:row r="4978"/>
        <x:row r="4979"/>
        <x:row r="4980"/>
        <x:row r="4981"/>
        <x:row r="4982"/>
        <x:row r="4983"/>
        <x:row r="4984"/>
        <x:row r="4985"/>
        <x:row r="4986"/>
        <x:row r="4987"/>
        <x:row r="4988"/>
        <x:row r="4989"/>
        <x:row r="4990"/>
        <x:row r="4991"/>
        <x:row r="4992"/>
        <x:row r="4993"/>
        <x:row r="4994"/>
        <x:row r="4995"/>
        <x:row r="4996"/>
        <x:row r="4997"/>
        <x:row r="4998"/>
        <x:row r="4999"/>
        <x:row r="5000"/>
        <x:row r="5001"/>
        <x:row r="5002"/>
        <x:row r="5003"/>
        <x:row r="5004"/>
        <x:row r="5005"/>
        <x:row r="5006"/>
        <x:row r="5007"/>
        <x:row r="5008"/>
        <x:row r="5009"/>
        <x:row r="5010"/>
        <x:row r="5011"/>
        <x:row r="5012"/>
        <x:row r="5013"/>
        <x:row r="5014"/>
        <x:row r="5015"/>
        <x:row r="5016"/>
        <x:row r="5017"/>
        <x:row r="5018"/>
        <x:row r="5019"/>
        <x:row r="5020"/>
        <x:row r="5021"/>
        <x:row r="5022"/>
        <x:row r="5023"/>
        <x:row r="5024"/>
        <x:row r="5025"/>
        <x:row r="5026"/>
        <x:row r="5027"/>
        <x:row r="5028"/>
        <x:row r="5029"/>
        <x:row r="5030"/>
        <x:row r="5031"/>
        <x:row r="5032"/>
        <x:row r="5033"/>
        <x:row r="5034"/>
        <x:row r="5035"/>
        <x:row r="5036"/>
        <x:row r="5037"/>
        <x:row r="5038"/>
        <x:row r="5039"/>
        <x:row r="5040"/>
        <x:row r="5041"/>
        <x:row r="5042"/>
        <x:row r="5043"/>
        <x:row r="5044"/>
        <x:row r="5045"/>
        <x:row r="5046"/>
        <x:row r="5047"/>
        <x:row r="5048"/>
        <x:row r="5049"/>
        <x:row r="5050"/>
        <x:row r="5051"/>
        <x:row r="5052"/>
        <x:row r="5053"/>
        <x:row r="5054"/>
        <x:row r="5055"/>
        <x:row r="5056"/>
        <x:row r="5057"/>
        <x:row r="5058"/>
        <x:row r="5059"/>
        <x:row r="5060"/>
        <x:row r="5061"/>
        <x:row r="5062"/>
        <x:row r="5063"/>
        <x:row r="5064"/>
        <x:row r="5065"/>
        <x:row r="5066"/>
        <x:row r="5067"/>
        <x:row r="5068"/>
        <x:row r="5069"/>
        <x:row r="5070"/>
        <x:row r="5071"/>
        <x:row r="5072"/>
        <x:row r="5073"/>
        <x:row r="5074"/>
        <x:row r="5075"/>
        <x:row r="5076"/>
        <x:row r="5077"/>
        <x:row r="5078"/>
        <x:row r="5079"/>
        <x:row r="5080"/>
        <x:row r="5081"/>
        <x:row r="5082"/>
        <x:row r="5083"/>
        <x:row r="5084"/>
        <x:row r="5085"/>
        <x:row r="5086"/>
        <x:row r="5087"/>
        <x:row r="5088"/>
        <x:row r="5089"/>
        <x:row r="5090"/>
        <x:row r="5091"/>
        <x:row r="5092"/>
        <x:row r="5093"/>
        <x:row r="5094"/>
        <x:row r="5095"/>
        <x:row r="5096"/>
        <x:row r="5097"/>
        <x:row r="5098"/>
        <x:row r="5099"/>
        <x:row r="5100"/>
        <x:row r="5101"/>
        <x:row r="5102"/>
        <x:row r="5103"/>
        <x:row r="5104"/>
        <x:row r="5105"/>
        <x:row r="5106"/>
        <x:row r="5107"/>
        <x:row r="5108"/>
        <x:row r="5109"/>
        <x:row r="5110"/>
        <x:row r="5111"/>
        <x:row r="5112"/>
        <x:row r="5113"/>
        <x:row r="5114"/>
        <x:row r="5115"/>
        <x:row r="5116"/>
        <x:row r="5117"/>
        <x:row r="5118"/>
        <x:row r="5119"/>
        <x:row r="5120"/>
        <x:row r="5121"/>
        <x:row r="5122"/>
        <x:row r="5123"/>
        <x:row r="5124"/>
        <x:row r="5125"/>
        <x:row r="5126"/>
        <x:row r="5127"/>
        <x:row r="5128"/>
        <x:row r="5129"/>
        <x:row r="5130"/>
        <x:row r="5131"/>
        <x:row r="5132"/>
        <x:row r="5133"/>
        <x:row r="5134"/>
        <x:row r="5135"/>
        <x:row r="5136"/>
        <x:row r="5137"/>
        <x:row r="5138"/>
        <x:row r="5139"/>
        <x:row r="5140"/>
        <x:row r="5141"/>
        <x:row r="5142"/>
        <x:row r="5143"/>
        <x:row r="5144"/>
        <x:row r="5145"/>
        <x:row r="5146"/>
        <x:row r="5147"/>
        <x:row r="5148"/>
        <x:row r="5149"/>
        <x:row r="5150"/>
        <x:row r="5151"/>
        <x:row r="5152"/>
        <x:row r="5153"/>
        <x:row r="5154"/>
        <x:row r="5155"/>
        <x:row r="5156"/>
        <x:row r="5157"/>
        <x:row r="5158"/>
        <x:row r="5159"/>
        <x:row r="5160"/>
        <x:row r="5161"/>
        <x:row r="5162"/>
        <x:row r="5163"/>
        <x:row r="5164"/>
        <x:row r="5165"/>
        <x:row r="5166"/>
        <x:row r="5167"/>
        <x:row r="5168"/>
        <x:row r="5169"/>
        <x:row r="5170"/>
        <x:row r="5171"/>
        <x:row r="5172"/>
        <x:row r="5173"/>
        <x:row r="5174"/>
        <x:row r="5175"/>
        <x:row r="5176"/>
        <x:row r="5177"/>
        <x:row r="5178"/>
        <x:row r="5179"/>
        <x:row r="5180"/>
        <x:row r="5181"/>
        <x:row r="5182"/>
        <x:row r="5183"/>
        <x:row r="5184"/>
        <x:row r="5185"/>
        <x:row r="5186"/>
        <x:row r="5187"/>
        <x:row r="5188"/>
        <x:row r="5189"/>
        <x:row r="5190"/>
        <x:row r="5191"/>
        <x:row r="5192"/>
        <x:row r="5193"/>
        <x:row r="5194"/>
        <x:row r="5195"/>
        <x:row r="5196"/>
        <x:row r="5197"/>
        <x:row r="5198"/>
        <x:row r="5199"/>
        <x:row r="5200"/>
        <x:row r="5201"/>
        <x:row r="5202"/>
        <x:row r="5203"/>
        <x:row r="5204"/>
        <x:row r="5205"/>
        <x:row r="5206"/>
        <x:row r="5207"/>
        <x:row r="5208"/>
        <x:row r="5209"/>
        <x:row r="5210"/>
        <x:row r="5211"/>
        <x:row r="5212"/>
        <x:row r="5213"/>
        <x:row r="5214"/>
        <x:row r="5215"/>
        <x:row r="5216"/>
        <x:row r="5217"/>
        <x:row r="5218"/>
        <x:row r="5219"/>
        <x:row r="5220"/>
        <x:row r="5221"/>
        <x:row r="5222"/>
        <x:row r="5223"/>
        <x:row r="5224"/>
        <x:row r="5225"/>
        <x:row r="5226"/>
        <x:row r="5227"/>
        <x:row r="5228"/>
        <x:row r="5229"/>
        <x:row r="5230"/>
        <x:row r="5231"/>
        <x:row r="5232"/>
        <x:row r="5233"/>
        <x:row r="5234"/>
        <x:row r="5235"/>
        <x:row r="5236"/>
        <x:row r="5237"/>
        <x:row r="5238"/>
        <x:row r="5239"/>
        <x:row r="5240"/>
        <x:row r="5241"/>
        <x:row r="5242"/>
        <x:row r="5243"/>
        <x:row r="5244"/>
        <x:row r="5245"/>
        <x:row r="5246"/>
        <x:row r="5247"/>
        <x:row r="5248"/>
        <x:row r="5249"/>
        <x:row r="5250"/>
        <x:row r="5251"/>
        <x:row r="5252"/>
        <x:row r="5253"/>
        <x:row r="5254"/>
        <x:row r="5255"/>
        <x:row r="5256"/>
        <x:row r="5257"/>
        <x:row r="5258"/>
        <x:row r="5259"/>
        <x:row r="5260"/>
        <x:row r="5261"/>
        <x:row r="5262"/>
        <x:row r="5263"/>
        <x:row r="5264"/>
        <x:row r="5265"/>
        <x:row r="5266"/>
        <x:row r="5267"/>
        <x:row r="5268"/>
        <x:row r="5269"/>
        <x:row r="5270"/>
        <x:row r="5271"/>
        <x:row r="5272"/>
        <x:row r="5273"/>
        <x:row r="5274"/>
        <x:row r="5275"/>
        <x:row r="5276"/>
        <x:row r="5277"/>
        <x:row r="5278"/>
        <x:row r="5279"/>
        <x:row r="5280"/>
        <x:row r="5281"/>
        <x:row r="5282"/>
        <x:row r="5283"/>
        <x:row r="5284"/>
        <x:row r="5285"/>
        <x:row r="5286"/>
        <x:row r="5287"/>
        <x:row r="5288"/>
        <x:row r="5289"/>
        <x:row r="5290"/>
        <x:row r="5291"/>
        <x:row r="5292"/>
        <x:row r="5293"/>
        <x:row r="5294"/>
        <x:row r="5295"/>
        <x:row r="5296"/>
        <x:row r="5297"/>
        <x:row r="5298"/>
        <x:row r="5299"/>
        <x:row r="5300"/>
        <x:row r="5301"/>
        <x:row r="5302"/>
        <x:row r="5303"/>
        <x:row r="5304"/>
        <x:row r="5305"/>
        <x:row r="5306"/>
        <x:row r="5307"/>
        <x:row r="5308"/>
        <x:row r="5309"/>
        <x:row r="5310"/>
        <x:row r="5311"/>
        <x:row r="5312"/>
        <x:row r="5313"/>
        <x:row r="5314"/>
        <x:row r="5315"/>
        <x:row r="5316"/>
        <x:row r="5317"/>
        <x:row r="5318"/>
        <x:row r="5319"/>
        <x:row r="5320"/>
        <x:row r="5321"/>
        <x:row r="5322"/>
        <x:row r="5323"/>
        <x:row r="5324"/>
        <x:row r="5325"/>
        <x:row r="5326"/>
        <x:row r="5327"/>
        <x:row r="5328"/>
        <x:row r="5329"/>
        <x:row r="5330"/>
        <x:row r="5331"/>
        <x:row r="5332"/>
        <x:row r="5333"/>
        <x:row r="5334"/>
        <x:row r="5335"/>
        <x:row r="5336"/>
        <x:row r="5337"/>
        <x:row r="5338"/>
        <x:row r="5339"/>
        <x:row r="5340"/>
        <x:row r="5341"/>
        <x:row r="5342"/>
        <x:row r="5343"/>
        <x:row r="5344"/>
        <x:row r="5345"/>
        <x:row r="5346"/>
        <x:row r="5347"/>
        <x:row r="5348"/>
        <x:row r="5349"/>
        <x:row r="5350"/>
        <x:row r="5351"/>
        <x:row r="5352"/>
        <x:row r="5353"/>
        <x:row r="5354"/>
        <x:row r="5355"/>
        <x:row r="5356"/>
        <x:row r="5357"/>
        <x:row r="5358"/>
        <x:row r="5359"/>
        <x:row r="5360"/>
        <x:row r="5361"/>
        <x:row r="5362"/>
        <x:row r="5363"/>
        <x:row r="5364"/>
        <x:row r="5365"/>
        <x:row r="5366"/>
        <x:row r="5367"/>
        <x:row r="5368"/>
        <x:row r="5369"/>
        <x:row r="5370"/>
        <x:row r="5371"/>
        <x:row r="5372"/>
        <x:row r="5373"/>
        <x:row r="5374"/>
        <x:row r="5375"/>
        <x:row r="5376"/>
        <x:row r="5377"/>
        <x:row r="5378"/>
        <x:row r="5379"/>
        <x:row r="5380"/>
        <x:row r="5381"/>
        <x:row r="5382"/>
        <x:row r="5383"/>
        <x:row r="5384"/>
        <x:row r="5385"/>
        <x:row r="5386"/>
        <x:row r="5387"/>
        <x:row r="5388"/>
        <x:row r="5389"/>
        <x:row r="5390"/>
        <x:row r="5391"/>
        <x:row r="5392"/>
        <x:row r="5393"/>
        <x:row r="5394"/>
        <x:row r="5395"/>
        <x:row r="5396"/>
        <x:row r="5397"/>
        <x:row r="5398"/>
        <x:row r="5399"/>
        <x:row r="5400"/>
        <x:row r="5401"/>
        <x:row r="5402"/>
        <x:row r="5403"/>
        <x:row r="5404"/>
        <x:row r="5405"/>
        <x:row r="5406"/>
        <x:row r="5407"/>
        <x:row r="5408"/>
        <x:row r="5409"/>
        <x:row r="5410"/>
        <x:row r="5411"/>
        <x:row r="5412"/>
        <x:row r="5413"/>
        <x:row r="5414"/>
        <x:row r="5415"/>
        <x:row r="5416"/>
        <x:row r="5417"/>
        <x:row r="5418"/>
        <x:row r="5419"/>
        <x:row r="5420"/>
        <x:row r="5421"/>
        <x:row r="5422"/>
        <x:row r="5423"/>
        <x:row r="5424"/>
        <x:row r="5425"/>
        <x:row r="5426"/>
        <x:row r="5427"/>
        <x:row r="5428"/>
        <x:row r="5429"/>
        <x:row r="5430"/>
        <x:row r="5431"/>
        <x:row r="5432"/>
        <x:row r="5433"/>
        <x:row r="5434"/>
        <x:row r="5435"/>
        <x:row r="5436"/>
        <x:row r="5437"/>
        <x:row r="5438"/>
        <x:row r="5439"/>
        <x:row r="5440"/>
        <x:row r="5441"/>
        <x:row r="5442"/>
        <x:row r="5443"/>
        <x:row r="5444"/>
        <x:row r="5445"/>
        <x:row r="5446"/>
        <x:row r="5447"/>
        <x:row r="5448"/>
        <x:row r="5449"/>
        <x:row r="5450"/>
        <x:row r="5451"/>
        <x:row r="5452"/>
        <x:row r="5453"/>
        <x:row r="5454"/>
        <x:row r="5455"/>
        <x:row r="5456"/>
        <x:row r="5457"/>
        <x:row r="5458"/>
        <x:row r="5459"/>
        <x:row r="5460"/>
        <x:row r="5461"/>
        <x:row r="5462"/>
        <x:row r="5463"/>
        <x:row r="5464"/>
        <x:row r="5465"/>
        <x:row r="5466"/>
        <x:row r="5467"/>
        <x:row r="5468"/>
        <x:row r="5469"/>
        <x:row r="5470"/>
        <x:row r="5471"/>
        <x:row r="5472"/>
        <x:row r="5473"/>
        <x:row r="5474"/>
        <x:row r="5475"/>
        <x:row r="5476"/>
        <x:row r="5477"/>
        <x:row r="5478"/>
        <x:row r="5479"/>
        <x:row r="5480"/>
        <x:row r="5481"/>
        <x:row r="5482"/>
        <x:row r="5483"/>
        <x:row r="5484"/>
        <x:row r="5485"/>
        <x:row r="5486"/>
        <x:row r="5487"/>
        <x:row r="5488"/>
        <x:row r="5489"/>
        <x:row r="5490"/>
        <x:row r="5491"/>
        <x:row r="5492"/>
        <x:row r="5493"/>
        <x:row r="5494"/>
        <x:row r="5495"/>
        <x:row r="5496"/>
        <x:row r="5497"/>
        <x:row r="5498"/>
        <x:row r="5499"/>
        <x:row r="5500"/>
        <x:row r="5501"/>
        <x:row r="5502"/>
        <x:row r="5503"/>
        <x:row r="5504"/>
        <x:row r="5505"/>
        <x:row r="5506"/>
        <x:row r="5507"/>
        <x:row r="5508"/>
        <x:row r="5509"/>
        <x:row r="5510"/>
        <x:row r="5511"/>
        <x:row r="5512"/>
        <x:row r="5513"/>
        <x:row r="5514"/>
        <x:row r="5515"/>
        <x:row r="5516"/>
        <x:row r="5517"/>
        <x:row r="5518"/>
        <x:row r="5519"/>
        <x:row r="5520"/>
        <x:row r="5521"/>
        <x:row r="5522"/>
        <x:row r="5523"/>
        <x:row r="5524"/>
        <x:row r="5525"/>
        <x:row r="5526"/>
        <x:row r="5527"/>
        <x:row r="5528"/>
        <x:row r="5529"/>
        <x:row r="5530"/>
        <x:row r="5531"/>
        <x:row r="5532"/>
        <x:row r="5533"/>
        <x:row r="5534"/>
        <x:row r="5535"/>
        <x:row r="5536"/>
        <x:row r="5537"/>
        <x:row r="5538"/>
        <x:row r="5539"/>
        <x:row r="5540"/>
        <x:row r="5541"/>
        <x:row r="5542"/>
        <x:row r="5543"/>
        <x:row r="5544"/>
        <x:row r="5545"/>
        <x:row r="5546"/>
        <x:row r="5547"/>
        <x:row r="5548"/>
        <x:row r="5549"/>
        <x:row r="5550"/>
        <x:row r="5551"/>
        <x:row r="5552"/>
        <x:row r="5553"/>
        <x:row r="5554"/>
        <x:row r="5555"/>
        <x:row r="5556"/>
        <x:row r="5557"/>
        <x:row r="5558"/>
        <x:row r="5559"/>
        <x:row r="5560"/>
        <x:row r="5561"/>
        <x:row r="5562"/>
        <x:row r="5563"/>
        <x:row r="5564"/>
        <x:row r="5565"/>
        <x:row r="5566"/>
        <x:row r="5567"/>
        <x:row r="5568"/>
        <x:row r="5569"/>
        <x:row r="5570"/>
        <x:row r="5571"/>
        <x:row r="5572"/>
        <x:row r="5573"/>
        <x:row r="5574"/>
        <x:row r="5575"/>
        <x:row r="5576"/>
        <x:row r="5577"/>
        <x:row r="5578"/>
        <x:row r="5579"/>
        <x:row r="5580"/>
        <x:row r="5581"/>
        <x:row r="5582"/>
        <x:row r="5583"/>
        <x:row r="5584"/>
        <x:row r="5585"/>
        <x:row r="5586"/>
        <x:row r="5587"/>
        <x:row r="5588"/>
        <x:row r="5589"/>
        <x:row r="5590"/>
        <x:row r="5591"/>
        <x:row r="5592"/>
        <x:row r="5593"/>
        <x:row r="5594"/>
        <x:row r="5595"/>
        <x:row r="5596"/>
        <x:row r="5597"/>
        <x:row r="5598"/>
        <x:row r="5599"/>
        <x:row r="5600"/>
        <x:row r="5601"/>
        <x:row r="5602"/>
        <x:row r="5603"/>
        <x:row r="5604"/>
        <x:row r="5605"/>
        <x:row r="5606"/>
        <x:row r="5607"/>
        <x:row r="5608"/>
        <x:row r="5609"/>
        <x:row r="5610"/>
        <x:row r="5611"/>
        <x:row r="5612"/>
        <x:row r="5613"/>
        <x:row r="5614"/>
        <x:row r="5615"/>
        <x:row r="5616"/>
        <x:row r="5617"/>
        <x:row r="5618"/>
        <x:row r="5619"/>
        <x:row r="5620"/>
        <x:row r="5621"/>
        <x:row r="5622"/>
        <x:row r="5623"/>
        <x:row r="5624"/>
        <x:row r="5625"/>
        <x:row r="5626"/>
        <x:row r="5627"/>
        <x:row r="5628"/>
        <x:row r="5629"/>
        <x:row r="5630"/>
        <x:row r="5631"/>
        <x:row r="5632"/>
        <x:row r="5633"/>
        <x:row r="5634"/>
        <x:row r="5635"/>
        <x:row r="5636"/>
        <x:row r="5637"/>
        <x:row r="5638"/>
        <x:row r="5639"/>
        <x:row r="5640"/>
        <x:row r="5641"/>
        <x:row r="5642"/>
        <x:row r="5643"/>
        <x:row r="5644"/>
        <x:row r="5645"/>
        <x:row r="5646"/>
        <x:row r="5647"/>
        <x:row r="5648"/>
        <x:row r="5649"/>
        <x:row r="5650"/>
        <x:row r="5651"/>
        <x:row r="5652"/>
        <x:row r="5653"/>
        <x:row r="5654"/>
        <x:row r="5655"/>
        <x:row r="5656"/>
        <x:row r="5657"/>
        <x:row r="5658"/>
        <x:row r="5659"/>
        <x:row r="5660"/>
        <x:row r="5661"/>
        <x:row r="5662"/>
        <x:row r="5663"/>
        <x:row r="5664"/>
        <x:row r="5665"/>
        <x:row r="5666"/>
        <x:row r="5667"/>
        <x:row r="5668"/>
        <x:row r="5669"/>
        <x:row r="5670"/>
        <x:row r="5671"/>
        <x:row r="5672"/>
        <x:row r="5673"/>
        <x:row r="5674"/>
        <x:row r="5675"/>
        <x:row r="5676"/>
        <x:row r="5677"/>
        <x:row r="5678"/>
        <x:row r="5679"/>
        <x:row r="5680"/>
        <x:row r="5681"/>
        <x:row r="5682"/>
        <x:row r="5683"/>
        <x:row r="5684"/>
        <x:row r="5685"/>
        <x:row r="5686"/>
        <x:row r="5687"/>
        <x:row r="5688"/>
        <x:row r="5689"/>
        <x:row r="5690"/>
        <x:row r="5691"/>
        <x:row r="5692"/>
        <x:row r="5693"/>
        <x:row r="5694"/>
        <x:row r="5695"/>
        <x:row r="5696"/>
        <x:row r="5697"/>
        <x:row r="5698"/>
        <x:row r="5699"/>
        <x:row r="5700"/>
        <x:row r="5701"/>
        <x:row r="5702"/>
        <x:row r="5703"/>
        <x:row r="5704"/>
        <x:row r="5705"/>
        <x:row r="5706"/>
        <x:row r="5707"/>
        <x:row r="5708"/>
        <x:row r="5709"/>
        <x:row r="5710"/>
        <x:row r="5711"/>
        <x:row r="5712"/>
        <x:row r="5713"/>
        <x:row r="5714"/>
        <x:row r="5715"/>
        <x:row r="5716"/>
        <x:row r="5717"/>
        <x:row r="5718"/>
        <x:row r="5719"/>
        <x:row r="5720"/>
        <x:row r="5721"/>
        <x:row r="5722"/>
        <x:row r="5723"/>
        <x:row r="5724"/>
        <x:row r="5725"/>
        <x:row r="5726"/>
        <x:row r="5727"/>
        <x:row r="5728"/>
        <x:row r="5729"/>
        <x:row r="5730"/>
        <x:row r="5731"/>
        <x:row r="5732"/>
        <x:row r="5733"/>
        <x:row r="5734"/>
        <x:row r="5735"/>
        <x:row r="5736"/>
        <x:row r="5737"/>
        <x:row r="5738"/>
        <x:row r="5739"/>
        <x:row r="5740"/>
        <x:row r="5741"/>
        <x:row r="5742"/>
        <x:row r="5743"/>
        <x:row r="5744"/>
        <x:row r="5745"/>
        <x:row r="5746"/>
        <x:row r="5747"/>
        <x:row r="5748"/>
        <x:row r="5749"/>
        <x:row r="5750"/>
        <x:row r="5751"/>
        <x:row r="5752"/>
        <x:row r="5753"/>
        <x:row r="5754"/>
        <x:row r="5755"/>
        <x:row r="5756"/>
        <x:row r="5757"/>
        <x:row r="5758"/>
        <x:row r="5759"/>
        <x:row r="5760"/>
        <x:row r="5761"/>
        <x:row r="5762"/>
        <x:row r="5763"/>
        <x:row r="5764"/>
        <x:row r="5765"/>
        <x:row r="5766"/>
        <x:row r="5767"/>
        <x:row r="5768"/>
        <x:row r="5769"/>
        <x:row r="5770"/>
        <x:row r="5771"/>
        <x:row r="5772"/>
        <x:row r="5773"/>
        <x:row r="5774"/>
        <x:row r="5775"/>
        <x:row r="5776"/>
        <x:row r="5777"/>
        <x:row r="5778"/>
        <x:row r="5779"/>
        <x:row r="5780"/>
        <x:row r="5781"/>
        <x:row r="5782"/>
        <x:row r="5783"/>
        <x:row r="5784"/>
        <x:row r="5785"/>
        <x:row r="5786"/>
        <x:row r="5787"/>
        <x:row r="5788"/>
        <x:row r="5789"/>
        <x:row r="5790"/>
        <x:row r="5791"/>
        <x:row r="5792"/>
        <x:row r="5793"/>
        <x:row r="5794"/>
        <x:row r="5795"/>
        <x:row r="5796"/>
        <x:row r="5797"/>
        <x:row r="5798"/>
        <x:row r="5799"/>
        <x:row r="5800"/>
        <x:row r="5801"/>
        <x:row r="5802"/>
        <x:row r="5803"/>
        <x:row r="5804"/>
        <x:row r="5805"/>
        <x:row r="5806"/>
        <x:row r="5807"/>
        <x:row r="5808"/>
        <x:row r="5809"/>
        <x:row r="5810"/>
        <x:row r="5811"/>
        <x:row r="5812"/>
        <x:row r="5813"/>
        <x:row r="5814"/>
        <x:row r="5815"/>
        <x:row r="5816"/>
        <x:row r="5817"/>
        <x:row r="5818"/>
        <x:row r="5819"/>
        <x:row r="5820"/>
        <x:row r="5821"/>
        <x:row r="5822"/>
        <x:row r="5823"/>
        <x:row r="5824"/>
        <x:row r="5825"/>
        <x:row r="5826"/>
        <x:row r="5827"/>
        <x:row r="5828"/>
        <x:row r="5829"/>
        <x:row r="5830"/>
        <x:row r="5831"/>
        <x:row r="5832"/>
        <x:row r="5833"/>
        <x:row r="5834"/>
        <x:row r="5835"/>
        <x:row r="5836"/>
        <x:row r="5837"/>
        <x:row r="5838"/>
        <x:row r="5839"/>
        <x:row r="5840"/>
        <x:row r="5841"/>
        <x:row r="5842"/>
        <x:row r="5843"/>
        <x:row r="5844"/>
        <x:row r="5845"/>
        <x:row r="5846"/>
        <x:row r="5847"/>
        <x:row r="5848"/>
        <x:row r="5849"/>
        <x:row r="5850"/>
        <x:row r="5851"/>
        <x:row r="5852"/>
        <x:row r="5853"/>
        <x:row r="5854"/>
        <x:row r="5855"/>
        <x:row r="5856"/>
        <x:row r="5857"/>
        <x:row r="5858"/>
        <x:row r="5859"/>
        <x:row r="5860"/>
        <x:row r="5861"/>
        <x:row r="5862"/>
        <x:row r="5863"/>
        <x:row r="5864"/>
        <x:row r="5865"/>
        <x:row r="5866"/>
        <x:row r="5867"/>
        <x:row r="5868"/>
        <x:row r="5869"/>
        <x:row r="5870"/>
        <x:row r="5871"/>
        <x:row r="5872"/>
        <x:row r="5873"/>
        <x:row r="5874"/>
        <x:row r="5875"/>
        <x:row r="5876"/>
        <x:row r="5877"/>
        <x:row r="5878"/>
        <x:row r="5879"/>
        <x:row r="5880"/>
        <x:row r="5881"/>
        <x:row r="5882"/>
        <x:row r="5883"/>
        <x:row r="5884"/>
        <x:row r="5885"/>
        <x:row r="5886"/>
        <x:row r="5887"/>
        <x:row r="5888"/>
        <x:row r="5889"/>
        <x:row r="5890"/>
        <x:row r="5891"/>
        <x:row r="5892"/>
        <x:row r="5893"/>
        <x:row r="5894"/>
        <x:row r="5895"/>
        <x:row r="5896"/>
        <x:row r="5897"/>
        <x:row r="5898"/>
        <x:row r="5899"/>
        <x:row r="5900"/>
        <x:row r="5901"/>
        <x:row r="5902"/>
        <x:row r="5903"/>
        <x:row r="5904"/>
        <x:row r="5905"/>
        <x:row r="5906"/>
        <x:row r="5907"/>
        <x:row r="5908"/>
        <x:row r="5909"/>
        <x:row r="5910"/>
        <x:row r="5911"/>
        <x:row r="5912"/>
        <x:row r="5913"/>
        <x:row r="5914"/>
        <x:row r="5915"/>
        <x:row r="5916"/>
        <x:row r="5917"/>
        <x:row r="5918"/>
        <x:row r="5919"/>
        <x:row r="5920"/>
        <x:row r="5921"/>
        <x:row r="5922"/>
        <x:row r="5923"/>
        <x:row r="5924"/>
        <x:row r="5925"/>
        <x:row r="5926"/>
        <x:row r="5927"/>
        <x:row r="5928"/>
        <x:row r="5929"/>
        <x:row r="5930"/>
        <x:row r="5931"/>
        <x:row r="5932"/>
        <x:row r="5933"/>
        <x:row r="5934"/>
        <x:row r="5935"/>
        <x:row r="5936"/>
        <x:row r="5937"/>
        <x:row r="5938"/>
        <x:row r="5939"/>
        <x:row r="5940"/>
        <x:row r="5941"/>
        <x:row r="5942"/>
        <x:row r="5943"/>
        <x:row r="5944"/>
        <x:row r="5945"/>
        <x:row r="5946"/>
        <x:row r="5947"/>
        <x:row r="5948"/>
        <x:row r="5949"/>
        <x:row r="5950"/>
        <x:row r="5951"/>
        <x:row r="5952"/>
        <x:row r="5953"/>
        <x:row r="5954"/>
        <x:row r="5955"/>
        <x:row r="5956"/>
        <x:row r="5957"/>
        <x:row r="5958"/>
        <x:row r="5959"/>
        <x:row r="5960"/>
        <x:row r="5961"/>
        <x:row r="5962"/>
        <x:row r="5963"/>
        <x:row r="5964"/>
        <x:row r="5965"/>
        <x:row r="5966"/>
        <x:row r="5967"/>
        <x:row r="5968"/>
        <x:row r="5969"/>
        <x:row r="5970"/>
        <x:row r="5971"/>
        <x:row r="5972"/>
        <x:row r="5973"/>
        <x:row r="5974"/>
        <x:row r="5975"/>
        <x:row r="5976"/>
        <x:row r="5977"/>
        <x:row r="5978"/>
        <x:row r="5979"/>
        <x:row r="5980"/>
        <x:row r="5981"/>
        <x:row r="5982"/>
        <x:row r="5983"/>
        <x:row r="5984"/>
        <x:row r="5985"/>
        <x:row r="5986"/>
        <x:row r="5987"/>
        <x:row r="5988"/>
        <x:row r="5989"/>
        <x:row r="5990"/>
        <x:row r="5991"/>
        <x:row r="5992"/>
        <x:row r="5993"/>
        <x:row r="5994"/>
        <x:row r="5995"/>
        <x:row r="5996"/>
        <x:row r="5997"/>
        <x:row r="5998"/>
        <x:row r="5999"/>
        <x:row r="6000"/>
        <x:row r="6001"/>
        <x:row r="6002"/>
        <x:row r="6003"/>
        <x:row r="6004"/>
        <x:row r="6005"/>
        <x:row r="6006"/>
        <x:row r="6007"/>
        <x:row r="6008"/>
        <x:row r="6009"/>
        <x:row r="6010"/>
        <x:row r="6011"/>
        <x:row r="6012"/>
        <x:row r="6013"/>
        <x:row r="6014"/>
        <x:row r="6015"/>
        <x:row r="6016"/>
        <x:row r="6017"/>
        <x:row r="6018"/>
        <x:row r="6019"/>
        <x:row r="6020"/>
        <x:row r="6021"/>
        <x:row r="6022"/>
        <x:row r="6023"/>
        <x:row r="6024"/>
        <x:row r="6025"/>
        <x:row r="6026"/>
        <x:row r="6027"/>
        <x:row r="6028"/>
        <x:row r="6029"/>
        <x:row r="6030"/>
        <x:row r="6031"/>
        <x:row r="6032"/>
        <x:row r="6033"/>
        <x:row r="6034"/>
        <x:row r="6035"/>
        <x:row r="6036"/>
        <x:row r="6037"/>
        <x:row r="6038"/>
        <x:row r="6039"/>
        <x:row r="6040"/>
        <x:row r="6041"/>
        <x:row r="6042"/>
        <x:row r="6043"/>
        <x:row r="6044"/>
        <x:row r="6045"/>
        <x:row r="6046"/>
        <x:row r="6047"/>
        <x:row r="6048"/>
        <x:row r="6049"/>
        <x:row r="6050"/>
        <x:row r="6051"/>
        <x:row r="6052"/>
        <x:row r="6053"/>
        <x:row r="6054"/>
        <x:row r="6055"/>
        <x:row r="6056"/>
        <x:row r="6057"/>
        <x:row r="6058"/>
        <x:row r="6059"/>
        <x:row r="6060"/>
        <x:row r="6061"/>
        <x:row r="6062"/>
        <x:row r="6063"/>
        <x:row r="6064"/>
        <x:row r="6065"/>
        <x:row r="6066"/>
        <x:row r="6067"/>
        <x:row r="6068"/>
        <x:row r="6069"/>
        <x:row r="6070"/>
        <x:row r="6071"/>
        <x:row r="6072"/>
        <x:row r="6073"/>
        <x:row r="6074"/>
        <x:row r="6075"/>
        <x:row r="6076"/>
        <x:row r="6077"/>
        <x:row r="6078"/>
        <x:row r="6079"/>
        <x:row r="6080"/>
        <x:row r="6081"/>
        <x:row r="6082"/>
        <x:row r="6083"/>
        <x:row r="6084"/>
        <x:row r="6085"/>
        <x:row r="6086"/>
        <x:row r="6087"/>
        <x:row r="6088"/>
        <x:row r="6089"/>
        <x:row r="6090"/>
        <x:row r="6091"/>
        <x:row r="6092"/>
        <x:row r="6093"/>
        <x:row r="6094"/>
        <x:row r="6095"/>
        <x:row r="6096"/>
        <x:row r="6097"/>
        <x:row r="6098"/>
        <x:row r="6099"/>
        <x:row r="6100"/>
        <x:row r="6101"/>
        <x:row r="6102"/>
        <x:row r="6103"/>
        <x:row r="6104"/>
        <x:row r="6105"/>
        <x:row r="6106"/>
        <x:row r="6107"/>
        <x:row r="6108"/>
        <x:row r="6109"/>
        <x:row r="6110"/>
        <x:row r="6111"/>
        <x:row r="6112"/>
        <x:row r="6113"/>
        <x:row r="6114"/>
        <x:row r="6115"/>
        <x:row r="6116"/>
        <x:row r="6117"/>
        <x:row r="6118"/>
        <x:row r="6119"/>
        <x:row r="6120"/>
        <x:row r="6121"/>
        <x:row r="6122"/>
        <x:row r="6123"/>
        <x:row r="6124"/>
        <x:row r="6125"/>
        <x:row r="6126"/>
        <x:row r="6127"/>
        <x:row r="6128"/>
        <x:row r="6129"/>
        <x:row r="6130"/>
        <x:row r="6131"/>
        <x:row r="6132"/>
        <x:row r="6133"/>
        <x:row r="6134"/>
        <x:row r="6135"/>
        <x:row r="6136"/>
        <x:row r="6137"/>
        <x:row r="6138"/>
        <x:row r="6139"/>
        <x:row r="6140"/>
        <x:row r="6141"/>
        <x:row r="6142"/>
        <x:row r="6143"/>
        <x:row r="6144"/>
        <x:row r="6145"/>
        <x:row r="6146"/>
        <x:row r="6147"/>
        <x:row r="6148"/>
        <x:row r="6149"/>
        <x:row r="6150"/>
        <x:row r="6151"/>
        <x:row r="6152"/>
        <x:row r="6153"/>
        <x:row r="6154"/>
        <x:row r="6155"/>
        <x:row r="6156"/>
        <x:row r="6157"/>
        <x:row r="6158"/>
        <x:row r="6159"/>
        <x:row r="6160"/>
        <x:row r="6161"/>
        <x:row r="6162"/>
        <x:row r="6163"/>
        <x:row r="6164"/>
        <x:row r="6165"/>
        <x:row r="6166"/>
        <x:row r="6167"/>
        <x:row r="6168"/>
        <x:row r="6169"/>
        <x:row r="6170"/>
        <x:row r="6171"/>
        <x:row r="6172"/>
        <x:row r="6173"/>
        <x:row r="6174"/>
        <x:row r="6175"/>
        <x:row r="6176"/>
        <x:row r="6177"/>
        <x:row r="6178"/>
        <x:row r="6179"/>
        <x:row r="6180"/>
        <x:row r="6181"/>
        <x:row r="6182"/>
        <x:row r="6183"/>
        <x:row r="6184"/>
        <x:row r="6185"/>
        <x:row r="6186"/>
        <x:row r="6187"/>
        <x:row r="6188"/>
        <x:row r="6189"/>
        <x:row r="6190"/>
        <x:row r="6191"/>
        <x:row r="6192"/>
        <x:row r="6193"/>
        <x:row r="6194"/>
        <x:row r="6195"/>
        <x:row r="6196"/>
        <x:row r="6197"/>
        <x:row r="6198"/>
        <x:row r="6199"/>
        <x:row r="6200"/>
        <x:row r="6201"/>
        <x:row r="6202"/>
        <x:row r="6203"/>
        <x:row r="6204"/>
        <x:row r="6205"/>
        <x:row r="6206"/>
        <x:row r="6207"/>
        <x:row r="6208"/>
        <x:row r="6209"/>
        <x:row r="6210"/>
        <x:row r="6211"/>
        <x:row r="6212"/>
        <x:row r="6213"/>
        <x:row r="6214"/>
        <x:row r="6215"/>
        <x:row r="6216"/>
        <x:row r="6217"/>
        <x:row r="6218"/>
        <x:row r="6219"/>
        <x:row r="6220"/>
        <x:row r="6221"/>
        <x:row r="6222"/>
        <x:row r="6223"/>
        <x:row r="6224"/>
        <x:row r="6225"/>
        <x:row r="6226"/>
        <x:row r="6227"/>
        <x:row r="6228"/>
        <x:row r="6229"/>
        <x:row r="6230"/>
        <x:row r="6231"/>
        <x:row r="6232"/>
        <x:row r="6233"/>
        <x:row r="6234"/>
        <x:row r="6235"/>
        <x:row r="6236"/>
        <x:row r="6237"/>
        <x:row r="6238"/>
        <x:row r="6239"/>
        <x:row r="6240"/>
        <x:row r="6241"/>
        <x:row r="6242"/>
        <x:row r="6243"/>
        <x:row r="6244"/>
        <x:row r="6245"/>
        <x:row r="6246"/>
        <x:row r="6247"/>
        <x:row r="6248"/>
        <x:row r="6249"/>
        <x:row r="6250"/>
        <x:row r="6251"/>
        <x:row r="6252"/>
        <x:row r="6253"/>
        <x:row r="6254"/>
        <x:row r="6255"/>
        <x:row r="6256"/>
        <x:row r="6257"/>
        <x:row r="6258"/>
        <x:row r="6259"/>
        <x:row r="6260"/>
        <x:row r="6261"/>
        <x:row r="6262"/>
        <x:row r="6263"/>
        <x:row r="6264"/>
        <x:row r="6265"/>
        <x:row r="6266"/>
        <x:row r="6267"/>
        <x:row r="6268"/>
        <x:row r="6269"/>
        <x:row r="6270"/>
        <x:row r="6271"/>
        <x:row r="6272"/>
        <x:row r="6273"/>
        <x:row r="6274"/>
        <x:row r="6275"/>
        <x:row r="6276"/>
        <x:row r="6277"/>
        <x:row r="6278"/>
        <x:row r="6279"/>
        <x:row r="6280"/>
        <x:row r="6281"/>
        <x:row r="6282"/>
        <x:row r="6283"/>
        <x:row r="6284"/>
        <x:row r="6285"/>
        <x:row r="6286"/>
        <x:row r="6287"/>
        <x:row r="6288"/>
        <x:row r="6289"/>
        <x:row r="6290"/>
        <x:row r="6291"/>
        <x:row r="6292"/>
        <x:row r="6293"/>
        <x:row r="6294"/>
        <x:row r="6295"/>
        <x:row r="6296"/>
        <x:row r="6297"/>
        <x:row r="6298"/>
        <x:row r="6299"/>
        <x:row r="6300"/>
        <x:row r="6301"/>
        <x:row r="6302"/>
        <x:row r="6303"/>
        <x:row r="6304"/>
        <x:row r="6305"/>
        <x:row r="6306"/>
        <x:row r="6307"/>
        <x:row r="6308"/>
        <x:row r="6309"/>
        <x:row r="6310"/>
        <x:row r="6311"/>
        <x:row r="6312"/>
        <x:row r="6313"/>
        <x:row r="6314"/>
        <x:row r="6315"/>
        <x:row r="6316"/>
        <x:row r="6317"/>
        <x:row r="6318"/>
        <x:row r="6319"/>
        <x:row r="6320"/>
        <x:row r="6321"/>
        <x:row r="6322"/>
        <x:row r="6323"/>
        <x:row r="6324"/>
        <x:row r="6325"/>
        <x:row r="6326"/>
        <x:row r="6327"/>
        <x:row r="6328"/>
        <x:row r="6329"/>
        <x:row r="6330"/>
        <x:row r="6331"/>
        <x:row r="6332"/>
        <x:row r="6333"/>
        <x:row r="6334"/>
        <x:row r="6335"/>
        <x:row r="6336"/>
        <x:row r="6337"/>
        <x:row r="6338"/>
        <x:row r="6339"/>
        <x:row r="6340"/>
        <x:row r="6341"/>
        <x:row r="6342"/>
        <x:row r="6343"/>
        <x:row r="6344"/>
        <x:row r="6345"/>
        <x:row r="6346"/>
        <x:row r="6347"/>
        <x:row r="6348"/>
        <x:row r="6349"/>
        <x:row r="6350"/>
        <x:row r="6351"/>
        <x:row r="6352"/>
        <x:row r="6353"/>
        <x:row r="6354"/>
        <x:row r="6355"/>
        <x:row r="6356"/>
        <x:row r="6357"/>
        <x:row r="6358"/>
        <x:row r="6359"/>
        <x:row r="6360"/>
        <x:row r="6361"/>
        <x:row r="6362"/>
        <x:row r="6363"/>
        <x:row r="6364"/>
        <x:row r="6365"/>
        <x:row r="6366"/>
        <x:row r="6367"/>
        <x:row r="6368"/>
        <x:row r="6369"/>
        <x:row r="6370"/>
        <x:row r="6371"/>
        <x:row r="6372"/>
        <x:row r="6373"/>
        <x:row r="6374"/>
        <x:row r="6375"/>
        <x:row r="6376"/>
        <x:row r="6377"/>
        <x:row r="6378"/>
        <x:row r="6379"/>
        <x:row r="6380"/>
        <x:row r="6381"/>
        <x:row r="6382"/>
        <x:row r="6383"/>
        <x:row r="6384"/>
        <x:row r="6385"/>
        <x:row r="6386"/>
        <x:row r="6387"/>
        <x:row r="6388"/>
        <x:row r="6389"/>
        <x:row r="6390"/>
        <x:row r="6391"/>
        <x:row r="6392"/>
        <x:row r="6393"/>
        <x:row r="6394"/>
        <x:row r="6395"/>
        <x:row r="6396"/>
        <x:row r="6397"/>
        <x:row r="6398"/>
        <x:row r="6399"/>
        <x:row r="6400"/>
        <x:row r="6401"/>
        <x:row r="6402"/>
        <x:row r="6403"/>
        <x:row r="6404"/>
        <x:row r="6405"/>
        <x:row r="6406"/>
        <x:row r="6407"/>
        <x:row r="6408"/>
        <x:row r="6409"/>
        <x:row r="6410"/>
        <x:row r="6411"/>
        <x:row r="6412"/>
        <x:row r="6413"/>
        <x:row r="6414"/>
        <x:row r="6415"/>
        <x:row r="6416"/>
        <x:row r="6417"/>
        <x:row r="6418"/>
        <x:row r="6419"/>
        <x:row r="6420"/>
        <x:row r="6421"/>
        <x:row r="6422"/>
        <x:row r="6423"/>
        <x:row r="6424"/>
        <x:row r="6425"/>
        <x:row r="6426"/>
        <x:row r="6427"/>
        <x:row r="6428"/>
        <x:row r="6429"/>
        <x:row r="6430"/>
        <x:row r="6431"/>
        <x:row r="6432"/>
        <x:row r="6433"/>
        <x:row r="6434"/>
        <x:row r="6435"/>
        <x:row r="6436"/>
        <x:row r="6437"/>
        <x:row r="6438"/>
        <x:row r="6439"/>
        <x:row r="6440"/>
        <x:row r="6441"/>
        <x:row r="6442"/>
        <x:row r="6443"/>
        <x:row r="6444"/>
        <x:row r="6445"/>
        <x:row r="6446"/>
        <x:row r="6447"/>
        <x:row r="6448"/>
        <x:row r="6449"/>
        <x:row r="6450"/>
        <x:row r="6451"/>
        <x:row r="6452"/>
        <x:row r="6453"/>
        <x:row r="6454"/>
        <x:row r="6455"/>
        <x:row r="6456"/>
        <x:row r="6457"/>
        <x:row r="6458"/>
        <x:row r="6459"/>
        <x:row r="6460"/>
        <x:row r="6461"/>
        <x:row r="6462"/>
        <x:row r="6463"/>
        <x:row r="6464"/>
        <x:row r="6465"/>
        <x:row r="6466"/>
        <x:row r="6467"/>
        <x:row r="6468"/>
        <x:row r="6469"/>
        <x:row r="6470"/>
        <x:row r="6471"/>
        <x:row r="6472"/>
        <x:row r="6473"/>
        <x:row r="6474"/>
        <x:row r="6475"/>
        <x:row r="6476"/>
        <x:row r="6477"/>
        <x:row r="6478"/>
        <x:row r="6479"/>
        <x:row r="6480"/>
        <x:row r="6481"/>
        <x:row r="6482"/>
        <x:row r="6483"/>
        <x:row r="6484"/>
        <x:row r="6485"/>
        <x:row r="6486"/>
        <x:row r="6487"/>
        <x:row r="6488"/>
        <x:row r="6489"/>
        <x:row r="6490"/>
        <x:row r="6491"/>
        <x:row r="6492"/>
        <x:row r="6493"/>
        <x:row r="6494"/>
        <x:row r="6495"/>
        <x:row r="6496"/>
        <x:row r="6497"/>
        <x:row r="6498"/>
        <x:row r="6499"/>
        <x:row r="6500"/>
        <x:row r="6501"/>
        <x:row r="6502"/>
        <x:row r="6503"/>
        <x:row r="6504"/>
        <x:row r="6505"/>
        <x:row r="6506"/>
        <x:row r="6507"/>
        <x:row r="6508"/>
        <x:row r="6509"/>
        <x:row r="6510"/>
        <x:row r="6511"/>
        <x:row r="6512"/>
        <x:row r="6513"/>
        <x:row r="6514"/>
        <x:row r="6515"/>
        <x:row r="6516"/>
        <x:row r="6517"/>
        <x:row r="6518"/>
        <x:row r="6519"/>
        <x:row r="6520"/>
        <x:row r="6521"/>
        <x:row r="6522"/>
        <x:row r="6523"/>
        <x:row r="6524"/>
        <x:row r="6525"/>
        <x:row r="6526"/>
        <x:row r="6527"/>
        <x:row r="6528"/>
        <x:row r="6529"/>
        <x:row r="6530"/>
        <x:row r="6531"/>
        <x:row r="6532"/>
        <x:row r="6533"/>
        <x:row r="6534"/>
        <x:row r="6535"/>
        <x:row r="6536"/>
        <x:row r="6537"/>
        <x:row r="6538"/>
        <x:row r="6539"/>
        <x:row r="6540"/>
        <x:row r="6541"/>
        <x:row r="6542"/>
        <x:row r="6543"/>
        <x:row r="6544"/>
        <x:row r="6545"/>
        <x:row r="6546"/>
        <x:row r="6547"/>
        <x:row r="6548"/>
        <x:row r="6549"/>
        <x:row r="6550"/>
        <x:row r="6551"/>
        <x:row r="6552"/>
        <x:row r="6553"/>
        <x:row r="6554"/>
        <x:row r="6555"/>
        <x:row r="6556"/>
        <x:row r="6557"/>
        <x:row r="6558"/>
        <x:row r="6559"/>
        <x:row r="6560"/>
        <x:row r="6561"/>
        <x:row r="6562"/>
        <x:row r="6563"/>
        <x:row r="6564"/>
        <x:row r="6565"/>
        <x:row r="6566"/>
        <x:row r="6567"/>
        <x:row r="6568"/>
        <x:row r="6569"/>
        <x:row r="6570"/>
        <x:row r="6571"/>
        <x:row r="6572"/>
        <x:row r="6573"/>
        <x:row r="6574"/>
        <x:row r="6575"/>
        <x:row r="6576"/>
        <x:row r="6577"/>
        <x:row r="6578"/>
        <x:row r="6579"/>
        <x:row r="6580"/>
        <x:row r="6581"/>
        <x:row r="6582"/>
        <x:row r="6583"/>
        <x:row r="6584"/>
        <x:row r="6585"/>
        <x:row r="6586"/>
        <x:row r="6587"/>
        <x:row r="6588"/>
        <x:row r="6589"/>
        <x:row r="6590"/>
        <x:row r="6591"/>
        <x:row r="6592"/>
        <x:row r="6593"/>
        <x:row r="6594"/>
        <x:row r="6595"/>
        <x:row r="6596"/>
        <x:row r="6597"/>
        <x:row r="6598"/>
        <x:row r="6599"/>
        <x:row r="6600"/>
        <x:row r="6601"/>
        <x:row r="6602"/>
        <x:row r="6603"/>
        <x:row r="6604"/>
        <x:row r="6605"/>
        <x:row r="6606"/>
        <x:row r="6607"/>
        <x:row r="6608"/>
        <x:row r="6609"/>
        <x:row r="6610"/>
        <x:row r="6611"/>
        <x:row r="6612"/>
        <x:row r="6613"/>
        <x:row r="6614"/>
        <x:row r="6615"/>
        <x:row r="6616"/>
        <x:row r="6617"/>
        <x:row r="6618"/>
        <x:row r="6619"/>
        <x:row r="6620"/>
        <x:row r="6621"/>
        <x:row r="6622"/>
        <x:row r="6623"/>
        <x:row r="6624"/>
        <x:row r="6625"/>
        <x:row r="6626"/>
        <x:row r="6627"/>
        <x:row r="6628"/>
        <x:row r="6629"/>
        <x:row r="6630"/>
        <x:row r="6631"/>
        <x:row r="6632"/>
        <x:row r="6633"/>
        <x:row r="6634"/>
        <x:row r="6635"/>
        <x:row r="6636"/>
        <x:row r="6637"/>
        <x:row r="6638"/>
        <x:row r="6639"/>
        <x:row r="6640"/>
        <x:row r="6641"/>
        <x:row r="6642"/>
        <x:row r="6643"/>
        <x:row r="6644"/>
        <x:row r="6645"/>
        <x:row r="6646"/>
        <x:row r="6647"/>
        <x:row r="6648"/>
        <x:row r="6649"/>
        <x:row r="6650"/>
        <x:row r="6651"/>
        <x:row r="6652"/>
        <x:row r="6653"/>
        <x:row r="6654"/>
        <x:row r="6655"/>
        <x:row r="6656"/>
        <x:row r="6657"/>
        <x:row r="6658"/>
        <x:row r="6659"/>
        <x:row r="6660"/>
        <x:row r="6661"/>
        <x:row r="6662"/>
        <x:row r="6663"/>
        <x:row r="6664"/>
        <x:row r="6665"/>
        <x:row r="6666"/>
        <x:row r="6667"/>
        <x:row r="6668"/>
        <x:row r="6669"/>
        <x:row r="6670"/>
        <x:row r="6671"/>
        <x:row r="6672"/>
        <x:row r="6673"/>
        <x:row r="6674"/>
        <x:row r="6675"/>
        <x:row r="6676"/>
        <x:row r="6677"/>
        <x:row r="6678"/>
        <x:row r="6679"/>
        <x:row r="6680"/>
        <x:row r="6681"/>
        <x:row r="6682"/>
        <x:row r="6683"/>
        <x:row r="6684"/>
        <x:row r="6685"/>
        <x:row r="6686"/>
        <x:row r="6687"/>
        <x:row r="6688"/>
        <x:row r="6689"/>
        <x:row r="6690"/>
        <x:row r="6691"/>
        <x:row r="6692"/>
        <x:row r="6693"/>
        <x:row r="6694"/>
        <x:row r="6695"/>
        <x:row r="6696"/>
        <x:row r="6697"/>
        <x:row r="6698"/>
        <x:row r="6699"/>
        <x:row r="6700"/>
        <x:row r="6701"/>
        <x:row r="6702"/>
        <x:row r="6703"/>
        <x:row r="6704"/>
        <x:row r="6705"/>
        <x:row r="6706"/>
        <x:row r="6707"/>
        <x:row r="6708"/>
        <x:row r="6709"/>
        <x:row r="6710"/>
        <x:row r="6711"/>
        <x:row r="6712"/>
        <x:row r="6713"/>
        <x:row r="6714"/>
        <x:row r="6715"/>
        <x:row r="6716"/>
        <x:row r="6717"/>
        <x:row r="6718"/>
        <x:row r="6719"/>
        <x:row r="6720"/>
        <x:row r="6721"/>
        <x:row r="6722"/>
        <x:row r="6723"/>
        <x:row r="6724"/>
        <x:row r="6725"/>
        <x:row r="6726"/>
        <x:row r="6727"/>
        <x:row r="6728"/>
        <x:row r="6729"/>
        <x:row r="6730"/>
        <x:row r="6731"/>
        <x:row r="6732"/>
        <x:row r="6733"/>
        <x:row r="6734"/>
        <x:row r="6735"/>
        <x:row r="6736"/>
        <x:row r="6737"/>
        <x:row r="6738"/>
        <x:row r="6739"/>
        <x:row r="6740"/>
        <x:row r="6741"/>
        <x:row r="6742"/>
        <x:row r="6743"/>
        <x:row r="6744"/>
        <x:row r="6745"/>
        <x:row r="6746"/>
        <x:row r="6747"/>
        <x:row r="6748"/>
        <x:row r="6749"/>
        <x:row r="6750"/>
        <x:row r="6751"/>
        <x:row r="6752"/>
        <x:row r="6753"/>
        <x:row r="6754"/>
        <x:row r="6755"/>
        <x:row r="6756"/>
        <x:row r="6757"/>
        <x:row r="6758"/>
        <x:row r="6759"/>
        <x:row r="6760"/>
        <x:row r="6761"/>
        <x:row r="6762"/>
        <x:row r="6763"/>
        <x:row r="6764"/>
        <x:row r="6765"/>
        <x:row r="6766"/>
        <x:row r="6767"/>
        <x:row r="6768"/>
        <x:row r="6769"/>
        <x:row r="6770"/>
        <x:row r="6771"/>
        <x:row r="6772"/>
        <x:row r="6773"/>
        <x:row r="6774"/>
        <x:row r="6775"/>
        <x:row r="6776"/>
        <x:row r="6777"/>
        <x:row r="6778"/>
        <x:row r="6779"/>
        <x:row r="6780"/>
        <x:row r="6781"/>
        <x:row r="6782"/>
        <x:row r="6783"/>
        <x:row r="6784"/>
        <x:row r="6785"/>
        <x:row r="6786"/>
        <x:row r="6787"/>
        <x:row r="6788"/>
        <x:row r="6789"/>
        <x:row r="6790"/>
        <x:row r="6791"/>
        <x:row r="6792"/>
        <x:row r="6793"/>
        <x:row r="6794"/>
        <x:row r="6795"/>
        <x:row r="6796"/>
        <x:row r="6797"/>
        <x:row r="6798"/>
        <x:row r="6799"/>
        <x:row r="6800"/>
        <x:row r="6801"/>
        <x:row r="6802"/>
        <x:row r="6803"/>
        <x:row r="6804"/>
        <x:row r="6805"/>
        <x:row r="6806"/>
        <x:row r="6807"/>
        <x:row r="6808"/>
        <x:row r="6809"/>
        <x:row r="6810"/>
        <x:row r="6811"/>
        <x:row r="6812"/>
        <x:row r="6813"/>
        <x:row r="6814"/>
        <x:row r="6815"/>
        <x:row r="6816"/>
        <x:row r="6817"/>
        <x:row r="6818"/>
        <x:row r="6819"/>
        <x:row r="6820"/>
        <x:row r="6821"/>
        <x:row r="6822"/>
        <x:row r="6823"/>
        <x:row r="6824"/>
        <x:row r="6825"/>
        <x:row r="6826"/>
        <x:row r="6827"/>
        <x:row r="6828"/>
        <x:row r="6829"/>
        <x:row r="6830"/>
        <x:row r="6831"/>
        <x:row r="6832"/>
        <x:row r="6833"/>
        <x:row r="6834"/>
        <x:row r="6835"/>
        <x:row r="6836"/>
        <x:row r="6837"/>
        <x:row r="6838"/>
        <x:row r="6839"/>
        <x:row r="6840"/>
        <x:row r="6841"/>
        <x:row r="6842"/>
        <x:row r="6843"/>
        <x:row r="6844"/>
        <x:row r="6845"/>
        <x:row r="6846"/>
        <x:row r="6847"/>
        <x:row r="6848"/>
        <x:row r="6849"/>
        <x:row r="6850"/>
        <x:row r="6851"/>
        <x:row r="6852"/>
        <x:row r="6853"/>
        <x:row r="6854"/>
        <x:row r="6855"/>
        <x:row r="6856"/>
        <x:row r="6857"/>
        <x:row r="6858"/>
        <x:row r="6859"/>
        <x:row r="6860"/>
        <x:row r="6861"/>
        <x:row r="6862"/>
        <x:row r="6863"/>
        <x:row r="6864"/>
        <x:row r="6865"/>
        <x:row r="6866"/>
        <x:row r="6867"/>
        <x:row r="6868"/>
        <x:row r="6869"/>
        <x:row r="6870"/>
        <x:row r="6871"/>
        <x:row r="6872"/>
        <x:row r="6873"/>
        <x:row r="6874"/>
        <x:row r="6875"/>
        <x:row r="6876"/>
        <x:row r="6877"/>
        <x:row r="6878"/>
        <x:row r="6879"/>
        <x:row r="6880"/>
        <x:row r="6881"/>
        <x:row r="6882"/>
        <x:row r="6883"/>
        <x:row r="6884"/>
        <x:row r="6885"/>
        <x:row r="6886"/>
        <x:row r="6887"/>
        <x:row r="6888"/>
        <x:row r="6889"/>
        <x:row r="6890"/>
        <x:row r="6891"/>
        <x:row r="6892"/>
        <x:row r="6893"/>
        <x:row r="6894"/>
        <x:row r="6895"/>
        <x:row r="6896"/>
        <x:row r="6897"/>
        <x:row r="6898"/>
        <x:row r="6899"/>
        <x:row r="6900"/>
        <x:row r="6901"/>
        <x:row r="6902"/>
        <x:row r="6903"/>
        <x:row r="6904"/>
        <x:row r="6905"/>
        <x:row r="6906"/>
        <x:row r="6907"/>
        <x:row r="6908"/>
        <x:row r="6909"/>
        <x:row r="6910"/>
        <x:row r="6911"/>
        <x:row r="6912"/>
        <x:row r="6913"/>
        <x:row r="6914"/>
        <x:row r="6915"/>
        <x:row r="6916"/>
        <x:row r="6917"/>
        <x:row r="6918"/>
        <x:row r="6919"/>
        <x:row r="6920"/>
        <x:row r="6921"/>
        <x:row r="6922"/>
        <x:row r="6923"/>
        <x:row r="6924"/>
        <x:row r="6925"/>
        <x:row r="6926"/>
        <x:row r="6927"/>
        <x:row r="6928"/>
        <x:row r="6929"/>
        <x:row r="6930"/>
        <x:row r="6931"/>
        <x:row r="6932"/>
        <x:row r="6933"/>
        <x:row r="6934"/>
        <x:row r="6935"/>
        <x:row r="6936"/>
        <x:row r="6937"/>
        <x:row r="6938"/>
        <x:row r="6939"/>
        <x:row r="6940"/>
        <x:row r="6941"/>
        <x:row r="6942"/>
        <x:row r="6943"/>
        <x:row r="6944"/>
        <x:row r="6945"/>
        <x:row r="6946"/>
        <x:row r="6947"/>
        <x:row r="6948"/>
        <x:row r="6949"/>
        <x:row r="6950"/>
        <x:row r="6951"/>
        <x:row r="6952"/>
        <x:row r="6953"/>
        <x:row r="6954"/>
        <x:row r="6955"/>
        <x:row r="6956"/>
        <x:row r="6957"/>
        <x:row r="6958"/>
        <x:row r="6959"/>
        <x:row r="6960"/>
        <x:row r="6961"/>
        <x:row r="6962"/>
        <x:row r="6963"/>
        <x:row r="6964"/>
        <x:row r="6965"/>
        <x:row r="6966"/>
        <x:row r="6967"/>
        <x:row r="6968"/>
        <x:row r="6969"/>
        <x:row r="6970"/>
        <x:row r="6971"/>
        <x:row r="6972"/>
        <x:row r="6973"/>
        <x:row r="6974"/>
        <x:row r="6975"/>
        <x:row r="6976"/>
        <x:row r="6977"/>
        <x:row r="6978"/>
        <x:row r="6979"/>
        <x:row r="6980"/>
        <x:row r="6981"/>
        <x:row r="6982"/>
        <x:row r="6983"/>
        <x:row r="6984"/>
        <x:row r="6985"/>
        <x:row r="6986"/>
        <x:row r="6987"/>
        <x:row r="6988"/>
        <x:row r="6989"/>
        <x:row r="6990"/>
        <x:row r="6991"/>
        <x:row r="6992"/>
        <x:row r="6993"/>
        <x:row r="6994"/>
        <x:row r="6995"/>
        <x:row r="6996"/>
        <x:row r="6997"/>
        <x:row r="6998"/>
        <x:row r="6999"/>
        <x:row r="7000"/>
        <x:row r="7001"/>
        <x:row r="7002"/>
        <x:row r="7003"/>
        <x:row r="7004"/>
        <x:row r="7005"/>
        <x:row r="7006"/>
        <x:row r="7007"/>
        <x:row r="7008"/>
        <x:row r="7009"/>
        <x:row r="7010"/>
        <x:row r="7011"/>
        <x:row r="7012"/>
        <x:row r="7013"/>
        <x:row r="7014"/>
        <x:row r="7015"/>
        <x:row r="7016"/>
        <x:row r="7017"/>
        <x:row r="7018"/>
        <x:row r="7019"/>
        <x:row r="7020"/>
        <x:row r="7021"/>
        <x:row r="7022"/>
        <x:row r="7023"/>
        <x:row r="7024"/>
        <x:row r="7025"/>
        <x:row r="7026"/>
        <x:row r="7027"/>
        <x:row r="7028"/>
        <x:row r="7029"/>
        <x:row r="7030"/>
        <x:row r="7031"/>
        <x:row r="7032"/>
        <x:row r="7033"/>
        <x:row r="7034"/>
        <x:row r="7035"/>
        <x:row r="7036"/>
        <x:row r="7037"/>
        <x:row r="7038"/>
        <x:row r="7039"/>
        <x:row r="7040"/>
        <x:row r="7041"/>
        <x:row r="7042"/>
        <x:row r="7043"/>
        <x:row r="7044"/>
        <x:row r="7045"/>
        <x:row r="7046"/>
        <x:row r="7047"/>
        <x:row r="7048"/>
        <x:row r="7049"/>
        <x:row r="7050"/>
        <x:row r="7051"/>
        <x:row r="7052"/>
        <x:row r="7053"/>
        <x:row r="7054"/>
        <x:row r="7055"/>
        <x:row r="7056"/>
        <x:row r="7057"/>
        <x:row r="7058"/>
        <x:row r="7059"/>
        <x:row r="7060"/>
        <x:row r="7061"/>
        <x:row r="7062"/>
        <x:row r="7063"/>
        <x:row r="7064"/>
        <x:row r="7065"/>
        <x:row r="7066"/>
        <x:row r="7067"/>
        <x:row r="7068"/>
        <x:row r="7069"/>
        <x:row r="7070"/>
        <x:row r="7071"/>
        <x:row r="7072"/>
        <x:row r="7073"/>
        <x:row r="7074"/>
        <x:row r="7075"/>
        <x:row r="7076"/>
        <x:row r="7077"/>
        <x:row r="7078"/>
        <x:row r="7079"/>
        <x:row r="7080"/>
        <x:row r="7081"/>
        <x:row r="7082"/>
        <x:row r="7083"/>
        <x:row r="7084"/>
        <x:row r="7085"/>
        <x:row r="7086"/>
        <x:row r="7087"/>
        <x:row r="7088"/>
        <x:row r="7089"/>
        <x:row r="7090"/>
        <x:row r="7091"/>
        <x:row r="7092"/>
        <x:row r="7093"/>
        <x:row r="7094"/>
        <x:row r="7095"/>
        <x:row r="7096"/>
        <x:row r="7097"/>
        <x:row r="7098"/>
        <x:row r="7099"/>
        <x:row r="7100"/>
        <x:row r="7101"/>
        <x:row r="7102"/>
        <x:row r="7103"/>
        <x:row r="7104"/>
        <x:row r="7105"/>
        <x:row r="7106"/>
        <x:row r="7107"/>
        <x:row r="7108"/>
        <x:row r="7109"/>
        <x:row r="7110"/>
        <x:row r="7111"/>
        <x:row r="7112"/>
        <x:row r="7113"/>
        <x:row r="7114"/>
        <x:row r="7115"/>
        <x:row r="7116"/>
        <x:row r="7117"/>
        <x:row r="7118"/>
        <x:row r="7119"/>
        <x:row r="7120"/>
        <x:row r="7121"/>
        <x:row r="7122"/>
        <x:row r="7123"/>
        <x:row r="7124"/>
        <x:row r="7125"/>
        <x:row r="7126"/>
        <x:row r="7127"/>
        <x:row r="7128"/>
        <x:row r="7129"/>
        <x:row r="7130"/>
        <x:row r="7131"/>
        <x:row r="7132"/>
        <x:row r="7133"/>
        <x:row r="7134"/>
        <x:row r="7135"/>
        <x:row r="7136"/>
        <x:row r="7137"/>
        <x:row r="7138"/>
        <x:row r="7139"/>
        <x:row r="7140"/>
        <x:row r="7141"/>
        <x:row r="7142"/>
        <x:row r="7143"/>
        <x:row r="7144"/>
        <x:row r="7145"/>
        <x:row r="7146"/>
        <x:row r="7147"/>
        <x:row r="7148"/>
        <x:row r="7149"/>
        <x:row r="7150"/>
        <x:row r="7151"/>
        <x:row r="7152"/>
        <x:row r="7153"/>
        <x:row r="7154"/>
        <x:row r="7155"/>
        <x:row r="7156"/>
        <x:row r="7157"/>
        <x:row r="7158"/>
        <x:row r="7159"/>
        <x:row r="7160"/>
        <x:row r="7161"/>
        <x:row r="7162"/>
        <x:row r="7163"/>
        <x:row r="7164"/>
        <x:row r="7165"/>
        <x:row r="7166"/>
        <x:row r="7167"/>
        <x:row r="7168"/>
        <x:row r="7169"/>
        <x:row r="7170"/>
        <x:row r="7171"/>
        <x:row r="7172"/>
        <x:row r="7173"/>
        <x:row r="7174"/>
        <x:row r="7175"/>
        <x:row r="7176"/>
        <x:row r="7177"/>
        <x:row r="7178"/>
        <x:row r="7179"/>
        <x:row r="7180"/>
        <x:row r="7181"/>
        <x:row r="7182"/>
        <x:row r="7183"/>
        <x:row r="7184"/>
        <x:row r="7185"/>
        <x:row r="7186"/>
        <x:row r="7187"/>
        <x:row r="7188"/>
        <x:row r="7189"/>
        <x:row r="7190"/>
        <x:row r="7191"/>
        <x:row r="7192"/>
        <x:row r="7193"/>
        <x:row r="7194"/>
        <x:row r="7195"/>
        <x:row r="7196"/>
        <x:row r="7197"/>
        <x:row r="7198"/>
        <x:row r="7199"/>
        <x:row r="7200"/>
        <x:row r="7201"/>
        <x:row r="7202"/>
        <x:row r="7203"/>
        <x:row r="7204"/>
        <x:row r="7205"/>
        <x:row r="7206"/>
        <x:row r="7207"/>
        <x:row r="7208"/>
        <x:row r="7209"/>
        <x:row r="7210"/>
        <x:row r="7211"/>
        <x:row r="7212"/>
        <x:row r="7213"/>
        <x:row r="7214"/>
        <x:row r="7215"/>
        <x:row r="7216"/>
        <x:row r="7217"/>
        <x:row r="7218"/>
        <x:row r="7219"/>
        <x:row r="7220"/>
        <x:row r="7221"/>
        <x:row r="7222"/>
        <x:row r="7223"/>
        <x:row r="7224"/>
        <x:row r="7225"/>
        <x:row r="7226"/>
        <x:row r="7227"/>
        <x:row r="7228"/>
        <x:row r="7229"/>
        <x:row r="7230"/>
        <x:row r="7231"/>
        <x:row r="7232"/>
        <x:row r="7233"/>
        <x:row r="7234"/>
        <x:row r="7235"/>
        <x:row r="7236"/>
        <x:row r="7237"/>
        <x:row r="7238"/>
        <x:row r="7239"/>
        <x:row r="7240"/>
        <x:row r="7241"/>
        <x:row r="7242"/>
        <x:row r="7243"/>
        <x:row r="7244"/>
        <x:row r="7245"/>
        <x:row r="7246"/>
        <x:row r="7247"/>
        <x:row r="7248"/>
        <x:row r="7249"/>
        <x:row r="7250"/>
        <x:row r="7251"/>
        <x:row r="7252"/>
        <x:row r="7253"/>
        <x:row r="7254"/>
        <x:row r="7255"/>
        <x:row r="7256"/>
        <x:row r="7257"/>
        <x:row r="7258"/>
        <x:row r="7259"/>
        <x:row r="7260"/>
        <x:row r="7261"/>
        <x:row r="7262"/>
        <x:row r="7263"/>
        <x:row r="7264"/>
        <x:row r="7265"/>
        <x:row r="7266"/>
        <x:row r="7267"/>
        <x:row r="7268"/>
        <x:row r="7269"/>
        <x:row r="7270"/>
        <x:row r="7271"/>
        <x:row r="7272"/>
        <x:row r="7273"/>
        <x:row r="7274"/>
        <x:row r="7275"/>
        <x:row r="7276"/>
        <x:row r="7277"/>
        <x:row r="7278"/>
        <x:row r="7279"/>
        <x:row r="7280"/>
        <x:row r="7281"/>
        <x:row r="7282"/>
        <x:row r="7283"/>
        <x:row r="7284"/>
        <x:row r="7285"/>
        <x:row r="7286"/>
        <x:row r="7287"/>
        <x:row r="7288"/>
        <x:row r="7289"/>
        <x:row r="7290"/>
        <x:row r="7291"/>
        <x:row r="7292"/>
        <x:row r="7293"/>
        <x:row r="7294"/>
        <x:row r="7295"/>
        <x:row r="7296"/>
        <x:row r="7297"/>
        <x:row r="7298"/>
        <x:row r="7299"/>
        <x:row r="7300"/>
        <x:row r="7301"/>
        <x:row r="7302"/>
        <x:row r="7303"/>
        <x:row r="7304"/>
        <x:row r="7305"/>
        <x:row r="7306"/>
        <x:row r="7307"/>
        <x:row r="7308"/>
        <x:row r="7309"/>
        <x:row r="7310"/>
        <x:row r="7311"/>
        <x:row r="7312"/>
        <x:row r="7313"/>
        <x:row r="7314"/>
        <x:row r="7315"/>
        <x:row r="7316"/>
        <x:row r="7317"/>
        <x:row r="7318"/>
        <x:row r="7319"/>
        <x:row r="7320"/>
        <x:row r="7321"/>
        <x:row r="7322"/>
        <x:row r="7323"/>
        <x:row r="7324"/>
        <x:row r="7325"/>
        <x:row r="7326"/>
        <x:row r="7327"/>
        <x:row r="7328"/>
        <x:row r="7329"/>
        <x:row r="7330"/>
        <x:row r="7331"/>
        <x:row r="7332"/>
        <x:row r="7333"/>
        <x:row r="7334"/>
        <x:row r="7335"/>
        <x:row r="7336"/>
        <x:row r="7337"/>
        <x:row r="7338"/>
        <x:row r="7339"/>
        <x:row r="7340"/>
        <x:row r="7341"/>
        <x:row r="7342"/>
        <x:row r="7343"/>
        <x:row r="7344"/>
        <x:row r="7345"/>
        <x:row r="7346"/>
        <x:row r="7347"/>
        <x:row r="7348"/>
        <x:row r="7349"/>
        <x:row r="7350"/>
        <x:row r="7351"/>
        <x:row r="7352"/>
        <x:row r="7353"/>
        <x:row r="7354"/>
        <x:row r="7355"/>
        <x:row r="7356"/>
        <x:row r="7357"/>
        <x:row r="7358"/>
        <x:row r="7359"/>
        <x:row r="7360"/>
        <x:row r="7361"/>
        <x:row r="7362"/>
        <x:row r="7363"/>
        <x:row r="7364"/>
        <x:row r="7365"/>
        <x:row r="7366"/>
        <x:row r="7367"/>
        <x:row r="7368"/>
        <x:row r="7369"/>
        <x:row r="7370"/>
        <x:row r="7371"/>
        <x:row r="7372"/>
        <x:row r="7373"/>
        <x:row r="7374"/>
        <x:row r="7375"/>
        <x:row r="7376"/>
        <x:row r="7377"/>
        <x:row r="7378"/>
        <x:row r="7379"/>
        <x:row r="7380"/>
        <x:row r="7381"/>
        <x:row r="7382"/>
        <x:row r="7383"/>
        <x:row r="7384"/>
        <x:row r="7385"/>
        <x:row r="7386"/>
        <x:row r="7387"/>
        <x:row r="7388"/>
        <x:row r="7389"/>
        <x:row r="7390"/>
        <x:row r="7391"/>
        <x:row r="7392"/>
        <x:row r="7393"/>
        <x:row r="7394"/>
        <x:row r="7395"/>
        <x:row r="7396"/>
        <x:row r="7397"/>
        <x:row r="7398"/>
        <x:row r="7399"/>
        <x:row r="7400"/>
        <x:row r="7401"/>
        <x:row r="7402"/>
        <x:row r="7403"/>
        <x:row r="7404"/>
        <x:row r="7405"/>
        <x:row r="7406"/>
        <x:row r="7407"/>
        <x:row r="7408"/>
        <x:row r="7409"/>
        <x:row r="7410"/>
        <x:row r="7411"/>
        <x:row r="7412"/>
        <x:row r="7413"/>
        <x:row r="7414"/>
        <x:row r="7415"/>
        <x:row r="7416"/>
        <x:row r="7417"/>
        <x:row r="7418"/>
        <x:row r="7419"/>
        <x:row r="7420"/>
        <x:row r="7421"/>
        <x:row r="7422"/>
        <x:row r="7423"/>
        <x:row r="7424"/>
        <x:row r="7425"/>
        <x:row r="7426"/>
        <x:row r="7427"/>
        <x:row r="7428"/>
        <x:row r="7429"/>
        <x:row r="7430"/>
        <x:row r="7431"/>
        <x:row r="7432"/>
        <x:row r="7433"/>
        <x:row r="7434"/>
        <x:row r="7435"/>
        <x:row r="7436"/>
        <x:row r="7437"/>
        <x:row r="7438"/>
        <x:row r="7439"/>
        <x:row r="7440"/>
        <x:row r="7441"/>
        <x:row r="7442"/>
        <x:row r="7443"/>
        <x:row r="7444"/>
        <x:row r="7445"/>
        <x:row r="7446"/>
        <x:row r="7447"/>
        <x:row r="7448"/>
        <x:row r="7449"/>
        <x:row r="7450"/>
        <x:row r="7451"/>
        <x:row r="7452"/>
        <x:row r="7453"/>
        <x:row r="7454"/>
        <x:row r="7455"/>
        <x:row r="7456"/>
        <x:row r="7457"/>
        <x:row r="7458"/>
        <x:row r="7459"/>
        <x:row r="7460"/>
        <x:row r="7461"/>
        <x:row r="7462"/>
        <x:row r="7463"/>
        <x:row r="7464"/>
        <x:row r="7465"/>
        <x:row r="7466"/>
        <x:row r="7467"/>
        <x:row r="7468"/>
        <x:row r="7469"/>
        <x:row r="7470"/>
        <x:row r="7471"/>
        <x:row r="7472"/>
        <x:row r="7473"/>
        <x:row r="7474"/>
        <x:row r="7475"/>
        <x:row r="7476"/>
        <x:row r="7477"/>
        <x:row r="7478"/>
        <x:row r="7479"/>
        <x:row r="7480"/>
        <x:row r="7481"/>
        <x:row r="7482"/>
        <x:row r="7483"/>
        <x:row r="7484"/>
        <x:row r="7485"/>
        <x:row r="7486"/>
        <x:row r="7487"/>
        <x:row r="7488"/>
        <x:row r="7489"/>
        <x:row r="7490"/>
        <x:row r="7491"/>
        <x:row r="7492"/>
        <x:row r="7493"/>
        <x:row r="7494"/>
        <x:row r="7495"/>
        <x:row r="7496"/>
        <x:row r="7497"/>
        <x:row r="7498"/>
        <x:row r="7499"/>
        <x:row r="7500"/>
        <x:row r="7501"/>
        <x:row r="7502"/>
        <x:row r="7503"/>
        <x:row r="7504"/>
        <x:row r="7505"/>
        <x:row r="7506"/>
        <x:row r="7507"/>
        <x:row r="7508"/>
        <x:row r="7509"/>
        <x:row r="7510"/>
        <x:row r="7511"/>
        <x:row r="7512"/>
        <x:row r="7513"/>
        <x:row r="7514"/>
        <x:row r="7515"/>
        <x:row r="7516"/>
        <x:row r="7517"/>
        <x:row r="7518"/>
        <x:row r="7519"/>
        <x:row r="7520"/>
        <x:row r="7521"/>
        <x:row r="7522"/>
        <x:row r="7523"/>
        <x:row r="7524"/>
        <x:row r="7525"/>
        <x:row r="7526"/>
        <x:row r="7527"/>
        <x:row r="7528"/>
        <x:row r="7529"/>
        <x:row r="7530"/>
        <x:row r="7531"/>
        <x:row r="7532"/>
        <x:row r="7533"/>
        <x:row r="7534"/>
        <x:row r="7535"/>
        <x:row r="7536"/>
        <x:row r="7537"/>
        <x:row r="7538"/>
        <x:row r="7539"/>
        <x:row r="7540"/>
        <x:row r="7541"/>
        <x:row r="7542"/>
        <x:row r="7543"/>
        <x:row r="7544"/>
        <x:row r="7545"/>
        <x:row r="7546"/>
        <x:row r="7547"/>
        <x:row r="7548"/>
        <x:row r="7549"/>
        <x:row r="7550"/>
        <x:row r="7551"/>
        <x:row r="7552"/>
        <x:row r="7553"/>
        <x:row r="7554"/>
        <x:row r="7555"/>
        <x:row r="7556"/>
        <x:row r="7557"/>
        <x:row r="7558"/>
        <x:row r="7559"/>
        <x:row r="7560"/>
        <x:row r="7561"/>
        <x:row r="7562"/>
        <x:row r="7563"/>
        <x:row r="7564"/>
        <x:row r="7565"/>
        <x:row r="7566"/>
        <x:row r="7567"/>
        <x:row r="7568"/>
        <x:row r="7569"/>
        <x:row r="7570"/>
        <x:row r="7571"/>
        <x:row r="7572"/>
        <x:row r="7573"/>
        <x:row r="7574"/>
        <x:row r="7575"/>
        <x:row r="7576"/>
        <x:row r="7577"/>
        <x:row r="7578"/>
        <x:row r="7579"/>
        <x:row r="7580"/>
        <x:row r="7581"/>
        <x:row r="7582"/>
        <x:row r="7583"/>
        <x:row r="7584"/>
        <x:row r="7585"/>
        <x:row r="7586"/>
        <x:row r="7587"/>
        <x:row r="7588"/>
        <x:row r="7589"/>
        <x:row r="7590"/>
        <x:row r="7591"/>
        <x:row r="7592"/>
        <x:row r="7593"/>
        <x:row r="7594"/>
        <x:row r="7595"/>
        <x:row r="7596"/>
        <x:row r="7597"/>
        <x:row r="7598"/>
        <x:row r="7599"/>
        <x:row r="7600"/>
        <x:row r="7601"/>
        <x:row r="7602"/>
        <x:row r="7603"/>
        <x:row r="7604"/>
        <x:row r="7605"/>
        <x:row r="7606"/>
        <x:row r="7607"/>
        <x:row r="7608"/>
        <x:row r="7609"/>
        <x:row r="7610"/>
        <x:row r="7611"/>
        <x:row r="7612"/>
        <x:row r="7613"/>
        <x:row r="7614"/>
        <x:row r="7615"/>
        <x:row r="7616"/>
        <x:row r="7617"/>
        <x:row r="7618"/>
        <x:row r="7619"/>
        <x:row r="7620"/>
        <x:row r="7621"/>
        <x:row r="7622"/>
        <x:row r="7623"/>
        <x:row r="7624"/>
        <x:row r="7625"/>
        <x:row r="7626"/>
        <x:row r="7627"/>
        <x:row r="7628"/>
        <x:row r="7629"/>
        <x:row r="7630"/>
        <x:row r="7631"/>
        <x:row r="7632"/>
        <x:row r="7633"/>
        <x:row r="7634"/>
        <x:row r="7635"/>
        <x:row r="7636"/>
        <x:row r="7637"/>
        <x:row r="7638"/>
        <x:row r="7639"/>
        <x:row r="7640"/>
        <x:row r="7641"/>
        <x:row r="7642"/>
        <x:row r="7643"/>
        <x:row r="7644"/>
        <x:row r="7645"/>
        <x:row r="7646"/>
        <x:row r="7647"/>
        <x:row r="7648"/>
        <x:row r="7649"/>
        <x:row r="7650"/>
        <x:row r="7651"/>
        <x:row r="7652"/>
        <x:row r="7653"/>
        <x:row r="7654"/>
        <x:row r="7655"/>
        <x:row r="7656"/>
        <x:row r="7657"/>
        <x:row r="7658"/>
        <x:row r="7659"/>
        <x:row r="7660"/>
        <x:row r="7661"/>
        <x:row r="7662"/>
        <x:row r="7663"/>
        <x:row r="7664"/>
        <x:row r="7665"/>
        <x:row r="7666"/>
        <x:row r="7667"/>
        <x:row r="7668"/>
        <x:row r="7669"/>
        <x:row r="7670"/>
        <x:row r="7671"/>
        <x:row r="7672"/>
        <x:row r="7673"/>
        <x:row r="7674"/>
        <x:row r="7675"/>
        <x:row r="7676"/>
        <x:row r="7677"/>
        <x:row r="7678"/>
        <x:row r="7679"/>
        <x:row r="7680"/>
        <x:row r="7681"/>
        <x:row r="7682"/>
        <x:row r="7683"/>
        <x:row r="7684"/>
        <x:row r="7685"/>
        <x:row r="7686"/>
        <x:row r="7687"/>
        <x:row r="7688"/>
        <x:row r="7689"/>
        <x:row r="7690"/>
        <x:row r="7691"/>
        <x:row r="7692"/>
        <x:row r="7693"/>
        <x:row r="7694"/>
        <x:row r="7695"/>
        <x:row r="7696"/>
        <x:row r="7697"/>
        <x:row r="7698"/>
        <x:row r="7699"/>
        <x:row r="7700"/>
        <x:row r="7701"/>
        <x:row r="7702"/>
        <x:row r="7703"/>
        <x:row r="7704"/>
        <x:row r="7705"/>
        <x:row r="7706"/>
        <x:row r="7707"/>
        <x:row r="7708"/>
        <x:row r="7709"/>
        <x:row r="7710"/>
        <x:row r="7711"/>
        <x:row r="7712"/>
        <x:row r="7713"/>
        <x:row r="7714"/>
        <x:row r="7715"/>
        <x:row r="7716"/>
        <x:row r="7717"/>
        <x:row r="7718"/>
        <x:row r="7719"/>
        <x:row r="7720"/>
        <x:row r="7721"/>
        <x:row r="7722"/>
        <x:row r="7723"/>
        <x:row r="7724"/>
        <x:row r="7725"/>
        <x:row r="7726"/>
        <x:row r="7727"/>
        <x:row r="7728"/>
        <x:row r="7729"/>
        <x:row r="7730"/>
        <x:row r="7731"/>
        <x:row r="7732"/>
        <x:row r="7733"/>
        <x:row r="7734"/>
        <x:row r="7735"/>
        <x:row r="7736"/>
        <x:row r="7737"/>
        <x:row r="7738"/>
        <x:row r="7739"/>
        <x:row r="7740"/>
        <x:row r="7741"/>
        <x:row r="7742"/>
        <x:row r="7743"/>
        <x:row r="7744"/>
        <x:row r="7745"/>
        <x:row r="7746"/>
        <x:row r="7747"/>
        <x:row r="7748"/>
        <x:row r="7749"/>
        <x:row r="7750"/>
        <x:row r="7751"/>
        <x:row r="7752"/>
        <x:row r="7753"/>
        <x:row r="7754"/>
        <x:row r="7755"/>
        <x:row r="7756"/>
        <x:row r="7757"/>
        <x:row r="7758"/>
        <x:row r="7759"/>
        <x:row r="7760"/>
        <x:row r="7761"/>
        <x:row r="7762"/>
        <x:row r="7763"/>
        <x:row r="7764"/>
        <x:row r="7765"/>
        <x:row r="7766"/>
        <x:row r="7767"/>
        <x:row r="7768"/>
        <x:row r="7769"/>
        <x:row r="7770"/>
        <x:row r="7771"/>
        <x:row r="7772"/>
        <x:row r="7773"/>
        <x:row r="7774"/>
        <x:row r="7775"/>
        <x:row r="7776"/>
        <x:row r="7777"/>
        <x:row r="7778"/>
        <x:row r="7779"/>
        <x:row r="7780"/>
        <x:row r="7781"/>
        <x:row r="7782"/>
        <x:row r="7783"/>
        <x:row r="7784"/>
        <x:row r="7785"/>
        <x:row r="7786"/>
        <x:row r="7787"/>
        <x:row r="7788"/>
        <x:row r="7789"/>
        <x:row r="7790"/>
        <x:row r="7791"/>
        <x:row r="7792"/>
        <x:row r="7793"/>
        <x:row r="7794"/>
        <x:row r="7795"/>
        <x:row r="7796"/>
        <x:row r="7797"/>
        <x:row r="7798"/>
        <x:row r="7799"/>
        <x:row r="7800"/>
        <x:row r="7801"/>
        <x:row r="7802"/>
        <x:row r="7803"/>
        <x:row r="7804"/>
        <x:row r="7805"/>
        <x:row r="7806"/>
        <x:row r="7807"/>
        <x:row r="7808"/>
        <x:row r="7809"/>
        <x:row r="7810"/>
        <x:row r="7811"/>
        <x:row r="7812"/>
        <x:row r="7813"/>
        <x:row r="7814"/>
        <x:row r="7815"/>
        <x:row r="7816"/>
        <x:row r="7817"/>
        <x:row r="7818"/>
        <x:row r="7819"/>
        <x:row r="7820"/>
        <x:row r="7821"/>
        <x:row r="7822"/>
        <x:row r="7823"/>
        <x:row r="7824"/>
        <x:row r="7825"/>
        <x:row r="7826"/>
        <x:row r="7827"/>
        <x:row r="7828"/>
        <x:row r="7829"/>
        <x:row r="7830"/>
        <x:row r="7831"/>
        <x:row r="7832"/>
        <x:row r="7833"/>
        <x:row r="7834"/>
        <x:row r="7835"/>
        <x:row r="7836"/>
        <x:row r="7837"/>
        <x:row r="7838"/>
        <x:row r="7839"/>
        <x:row r="7840"/>
        <x:row r="7841"/>
        <x:row r="7842"/>
        <x:row r="7843"/>
        <x:row r="7844"/>
        <x:row r="7845"/>
        <x:row r="7846"/>
        <x:row r="7847"/>
        <x:row r="7848"/>
        <x:row r="7849"/>
        <x:row r="7850"/>
        <x:row r="7851"/>
        <x:row r="7852"/>
        <x:row r="7853"/>
        <x:row r="7854"/>
        <x:row r="7855"/>
        <x:row r="7856"/>
        <x:row r="7857"/>
        <x:row r="7858"/>
        <x:row r="7859"/>
        <x:row r="7860"/>
        <x:row r="7861"/>
        <x:row r="7862"/>
        <x:row r="7863"/>
        <x:row r="7864"/>
        <x:row r="7865"/>
        <x:row r="7866"/>
        <x:row r="7867"/>
        <x:row r="7868"/>
        <x:row r="7869"/>
        <x:row r="7870"/>
        <x:row r="7871"/>
        <x:row r="7872"/>
        <x:row r="7873"/>
        <x:row r="7874"/>
        <x:row r="7875"/>
        <x:row r="7876"/>
        <x:row r="7877"/>
        <x:row r="7878"/>
        <x:row r="7879"/>
        <x:row r="7880"/>
        <x:row r="7881"/>
        <x:row r="7882"/>
        <x:row r="7883"/>
        <x:row r="7884"/>
        <x:row r="7885"/>
        <x:row r="7886"/>
        <x:row r="7887"/>
        <x:row r="7888"/>
        <x:row r="7889"/>
        <x:row r="7890"/>
        <x:row r="7891"/>
        <x:row r="7892"/>
        <x:row r="7893"/>
        <x:row r="7894"/>
        <x:row r="7895"/>
        <x:row r="7896"/>
        <x:row r="7897"/>
        <x:row r="7898"/>
        <x:row r="7899"/>
        <x:row r="7900"/>
        <x:row r="7901"/>
        <x:row r="7902"/>
        <x:row r="7903"/>
        <x:row r="7904"/>
        <x:row r="7905"/>
        <x:row r="7906"/>
        <x:row r="7907"/>
        <x:row r="7908"/>
        <x:row r="7909"/>
        <x:row r="7910"/>
        <x:row r="7911"/>
        <x:row r="7912"/>
        <x:row r="7913"/>
        <x:row r="7914"/>
        <x:row r="7915"/>
        <x:row r="7916"/>
        <x:row r="7917"/>
        <x:row r="7918"/>
        <x:row r="7919"/>
        <x:row r="7920"/>
        <x:row r="7921"/>
        <x:row r="7922"/>
        <x:row r="7923"/>
        <x:row r="7924"/>
        <x:row r="7925"/>
        <x:row r="7926"/>
        <x:row r="7927"/>
        <x:row r="7928"/>
        <x:row r="7929"/>
        <x:row r="7930"/>
        <x:row r="7931"/>
        <x:row r="7932"/>
        <x:row r="7933"/>
        <x:row r="7934"/>
        <x:row r="7935"/>
        <x:row r="7936"/>
        <x:row r="7937"/>
        <x:row r="7938"/>
        <x:row r="7939"/>
        <x:row r="7940"/>
        <x:row r="7941"/>
        <x:row r="7942"/>
        <x:row r="7943"/>
        <x:row r="7944"/>
        <x:row r="7945"/>
        <x:row r="7946"/>
        <x:row r="7947"/>
        <x:row r="7948"/>
        <x:row r="7949"/>
        <x:row r="7950"/>
        <x:row r="7951"/>
        <x:row r="7952"/>
        <x:row r="7953"/>
        <x:row r="7954"/>
        <x:row r="7955"/>
        <x:row r="7956"/>
        <x:row r="7957"/>
        <x:row r="7958"/>
        <x:row r="7959"/>
        <x:row r="7960"/>
        <x:row r="7961"/>
        <x:row r="7962"/>
        <x:row r="7963"/>
        <x:row r="7964"/>
        <x:row r="7965"/>
        <x:row r="7966"/>
        <x:row r="7967"/>
        <x:row r="7968"/>
        <x:row r="7969"/>
        <x:row r="7970"/>
        <x:row r="7971"/>
        <x:row r="7972"/>
        <x:row r="7973"/>
        <x:row r="7974"/>
        <x:row r="7975"/>
        <x:row r="7976"/>
        <x:row r="7977"/>
        <x:row r="7978"/>
        <x:row r="7979"/>
        <x:row r="7980"/>
        <x:row r="7981"/>
        <x:row r="7982"/>
        <x:row r="7983"/>
        <x:row r="7984"/>
        <x:row r="7985"/>
        <x:row r="7986"/>
        <x:row r="7987"/>
        <x:row r="7988"/>
        <x:row r="7989"/>
        <x:row r="7990"/>
        <x:row r="7991"/>
        <x:row r="7992"/>
        <x:row r="7993"/>
        <x:row r="7994"/>
        <x:row r="7995"/>
        <x:row r="7996"/>
        <x:row r="7997"/>
        <x:row r="7998"/>
        <x:row r="7999"/>
        <x:row r="8000"/>
        <x:row r="8001"/>
        <x:row r="8002"/>
        <x:row r="8003"/>
        <x:row r="8004"/>
        <x:row r="8005"/>
        <x:row r="8006"/>
        <x:row r="8007"/>
        <x:row r="8008"/>
        <x:row r="8009"/>
        <x:row r="8010"/>
        <x:row r="8011"/>
        <x:row r="8012"/>
        <x:row r="8013"/>
        <x:row r="8014"/>
        <x:row r="8015"/>
        <x:row r="8016"/>
        <x:row r="8017"/>
        <x:row r="8018"/>
        <x:row r="8019"/>
        <x:row r="8020"/>
        <x:row r="8021"/>
        <x:row r="8022"/>
        <x:row r="8023"/>
        <x:row r="8024"/>
        <x:row r="8025"/>
        <x:row r="8026"/>
        <x:row r="8027"/>
        <x:row r="8028"/>
        <x:row r="8029"/>
        <x:row r="8030"/>
        <x:row r="8031"/>
        <x:row r="8032"/>
        <x:row r="8033"/>
        <x:row r="8034"/>
        <x:row r="8035"/>
        <x:row r="8036"/>
        <x:row r="8037"/>
        <x:row r="8038"/>
        <x:row r="8039"/>
        <x:row r="8040"/>
        <x:row r="8041"/>
        <x:row r="8042"/>
        <x:row r="8043"/>
        <x:row r="8044"/>
        <x:row r="8045"/>
        <x:row r="8046"/>
        <x:row r="8047"/>
        <x:row r="8048"/>
        <x:row r="8049"/>
        <x:row r="8050"/>
        <x:row r="8051"/>
        <x:row r="8052"/>
        <x:row r="8053"/>
        <x:row r="8054"/>
        <x:row r="8055"/>
        <x:row r="8056"/>
        <x:row r="8057"/>
        <x:row r="8058"/>
        <x:row r="8059"/>
        <x:row r="8060"/>
        <x:row r="8061"/>
        <x:row r="8062"/>
        <x:row r="8063"/>
        <x:row r="8064"/>
        <x:row r="8065"/>
        <x:row r="8066"/>
        <x:row r="8067"/>
        <x:row r="8068"/>
        <x:row r="8069"/>
        <x:row r="8070"/>
        <x:row r="8071"/>
        <x:row r="8072"/>
        <x:row r="8073"/>
        <x:row r="8074"/>
        <x:row r="8075"/>
        <x:row r="8076"/>
        <x:row r="8077"/>
        <x:row r="8078"/>
        <x:row r="8079"/>
        <x:row r="8080"/>
        <x:row r="8081"/>
        <x:row r="8082"/>
        <x:row r="8083"/>
        <x:row r="8084"/>
        <x:row r="8085"/>
        <x:row r="8086"/>
        <x:row r="8087"/>
        <x:row r="8088"/>
        <x:row r="8089"/>
        <x:row r="8090"/>
        <x:row r="8091"/>
        <x:row r="8092"/>
        <x:row r="8093"/>
        <x:row r="8094"/>
        <x:row r="8095"/>
        <x:row r="8096"/>
        <x:row r="8097"/>
        <x:row r="8098"/>
        <x:row r="8099"/>
        <x:row r="8100"/>
        <x:row r="8101"/>
        <x:row r="8102"/>
        <x:row r="8103"/>
        <x:row r="8104"/>
        <x:row r="8105"/>
        <x:row r="8106"/>
        <x:row r="8107"/>
        <x:row r="8108"/>
        <x:row r="8109"/>
        <x:row r="8110"/>
        <x:row r="8111"/>
        <x:row r="8112"/>
        <x:row r="8113"/>
        <x:row r="8114"/>
        <x:row r="8115"/>
        <x:row r="8116"/>
        <x:row r="8117"/>
        <x:row r="8118"/>
        <x:row r="8119"/>
        <x:row r="8120"/>
        <x:row r="8121"/>
        <x:row r="8122"/>
        <x:row r="8123"/>
        <x:row r="8124"/>
        <x:row r="8125"/>
        <x:row r="8126"/>
        <x:row r="8127"/>
        <x:row r="8128"/>
        <x:row r="8129"/>
        <x:row r="8130"/>
        <x:row r="8131"/>
        <x:row r="8132"/>
        <x:row r="8133"/>
        <x:row r="8134"/>
        <x:row r="8135"/>
        <x:row r="8136"/>
        <x:row r="8137"/>
        <x:row r="8138"/>
        <x:row r="8139"/>
        <x:row r="8140"/>
        <x:row r="8141"/>
        <x:row r="8142"/>
        <x:row r="8143"/>
        <x:row r="8144"/>
        <x:row r="8145"/>
        <x:row r="8146"/>
        <x:row r="8147"/>
        <x:row r="8148"/>
        <x:row r="8149"/>
        <x:row r="8150"/>
        <x:row r="8151"/>
        <x:row r="8152"/>
        <x:row r="8153"/>
        <x:row r="8154"/>
        <x:row r="8155"/>
        <x:row r="8156"/>
        <x:row r="8157"/>
        <x:row r="8158"/>
        <x:row r="8159"/>
        <x:row r="8160"/>
        <x:row r="8161"/>
        <x:row r="8162"/>
        <x:row r="8163"/>
        <x:row r="8164"/>
        <x:row r="8165"/>
        <x:row r="8166"/>
        <x:row r="8167"/>
        <x:row r="8168"/>
        <x:row r="8169"/>
        <x:row r="8170"/>
        <x:row r="8171"/>
        <x:row r="8172"/>
        <x:row r="8173"/>
        <x:row r="8174"/>
        <x:row r="8175"/>
        <x:row r="8176"/>
        <x:row r="8177"/>
        <x:row r="8178"/>
        <x:row r="8179"/>
        <x:row r="8180"/>
        <x:row r="8181"/>
        <x:row r="8182"/>
        <x:row r="8183"/>
        <x:row r="8184"/>
        <x:row r="8185"/>
        <x:row r="8186"/>
        <x:row r="8187"/>
        <x:row r="8188"/>
        <x:row r="8189"/>
        <x:row r="8190"/>
        <x:row r="8191"/>
        <x:row r="8192"/>
        <x:row r="8193"/>
        <x:row r="8194"/>
        <x:row r="8195"/>
        <x:row r="8196"/>
        <x:row r="8197"/>
        <x:row r="8198"/>
        <x:row r="8199"/>
        <x:row r="8200"/>
        <x:row r="8201"/>
        <x:row r="8202"/>
        <x:row r="8203"/>
        <x:row r="8204"/>
        <x:row r="8205"/>
        <x:row r="8206"/>
        <x:row r="8207"/>
        <x:row r="8208"/>
        <x:row r="8209"/>
        <x:row r="8210"/>
        <x:row r="8211"/>
        <x:row r="8212"/>
        <x:row r="8213"/>
        <x:row r="8214"/>
        <x:row r="8215"/>
        <x:row r="8216"/>
        <x:row r="8217"/>
        <x:row r="8218"/>
        <x:row r="8219"/>
        <x:row r="8220"/>
        <x:row r="8221"/>
        <x:row r="8222"/>
        <x:row r="8223"/>
        <x:row r="8224"/>
        <x:row r="8225"/>
        <x:row r="8226"/>
        <x:row r="8227"/>
        <x:row r="8228"/>
        <x:row r="8229"/>
        <x:row r="8230"/>
        <x:row r="8231"/>
        <x:row r="8232"/>
        <x:row r="8233"/>
        <x:row r="8234"/>
        <x:row r="8235"/>
        <x:row r="8236"/>
        <x:row r="8237"/>
        <x:row r="8238"/>
        <x:row r="8239"/>
        <x:row r="8240"/>
        <x:row r="8241"/>
        <x:row r="8242"/>
        <x:row r="8243"/>
        <x:row r="8244"/>
        <x:row r="8245"/>
        <x:row r="8246"/>
        <x:row r="8247"/>
        <x:row r="8248"/>
        <x:row r="8249"/>
        <x:row r="8250"/>
        <x:row r="8251"/>
        <x:row r="8252"/>
        <x:row r="8253"/>
        <x:row r="8254"/>
        <x:row r="8255"/>
        <x:row r="8256"/>
        <x:row r="8257"/>
        <x:row r="8258"/>
        <x:row r="8259"/>
        <x:row r="8260"/>
        <x:row r="8261"/>
        <x:row r="8262"/>
        <x:row r="8263"/>
        <x:row r="8264"/>
        <x:row r="8265"/>
        <x:row r="8266"/>
        <x:row r="8267"/>
        <x:row r="8268"/>
        <x:row r="8269"/>
        <x:row r="8270"/>
        <x:row r="8271"/>
        <x:row r="8272"/>
        <x:row r="8273"/>
        <x:row r="8274"/>
        <x:row r="8275"/>
        <x:row r="8276"/>
        <x:row r="8277"/>
        <x:row r="8278"/>
        <x:row r="8279"/>
        <x:row r="8280"/>
        <x:row r="8281"/>
        <x:row r="8282"/>
        <x:row r="8283"/>
        <x:row r="8284"/>
        <x:row r="8285"/>
        <x:row r="8286"/>
        <x:row r="8287"/>
        <x:row r="8288"/>
        <x:row r="8289"/>
        <x:row r="8290"/>
        <x:row r="8291"/>
        <x:row r="8292"/>
        <x:row r="8293"/>
        <x:row r="8294"/>
        <x:row r="8295"/>
        <x:row r="8296"/>
        <x:row r="8297"/>
        <x:row r="8298"/>
        <x:row r="8299"/>
        <x:row r="8300"/>
        <x:row r="8301"/>
        <x:row r="8302"/>
        <x:row r="8303"/>
        <x:row r="8304"/>
        <x:row r="8305"/>
        <x:row r="8306"/>
        <x:row r="8307"/>
        <x:row r="8308"/>
        <x:row r="8309"/>
        <x:row r="8310"/>
        <x:row r="8311"/>
        <x:row r="8312"/>
        <x:row r="8313"/>
        <x:row r="8314"/>
        <x:row r="8315"/>
        <x:row r="8316"/>
        <x:row r="8317"/>
        <x:row r="8318"/>
        <x:row r="8319"/>
        <x:row r="8320"/>
        <x:row r="8321"/>
        <x:row r="8322"/>
        <x:row r="8323"/>
        <x:row r="8324"/>
        <x:row r="8325"/>
        <x:row r="8326"/>
        <x:row r="8327"/>
        <x:row r="8328"/>
        <x:row r="8329"/>
        <x:row r="8330"/>
        <x:row r="8331"/>
        <x:row r="8332"/>
        <x:row r="8333"/>
        <x:row r="8334"/>
        <x:row r="8335"/>
        <x:row r="8336"/>
        <x:row r="8337"/>
        <x:row r="8338"/>
        <x:row r="8339"/>
        <x:row r="8340"/>
        <x:row r="8341"/>
        <x:row r="8342"/>
        <x:row r="8343"/>
        <x:row r="8344"/>
        <x:row r="8345"/>
        <x:row r="8346"/>
        <x:row r="8347"/>
        <x:row r="8348"/>
        <x:row r="8349"/>
        <x:row r="8350"/>
        <x:row r="8351"/>
        <x:row r="8352"/>
        <x:row r="8353"/>
        <x:row r="8354"/>
        <x:row r="8355"/>
        <x:row r="8356"/>
        <x:row r="8357"/>
        <x:row r="8358"/>
        <x:row r="8359"/>
        <x:row r="8360"/>
        <x:row r="8361"/>
        <x:row r="8362"/>
        <x:row r="8363"/>
        <x:row r="8364"/>
        <x:row r="8365"/>
        <x:row r="8366"/>
        <x:row r="8367"/>
        <x:row r="8368"/>
        <x:row r="8369"/>
        <x:row r="8370"/>
        <x:row r="8371"/>
        <x:row r="8372"/>
        <x:row r="8373"/>
        <x:row r="8374"/>
        <x:row r="8375"/>
        <x:row r="8376"/>
        <x:row r="8377"/>
        <x:row r="8378"/>
        <x:row r="8379"/>
        <x:row r="8380"/>
        <x:row r="8381"/>
        <x:row r="8382"/>
        <x:row r="8383"/>
        <x:row r="8384"/>
        <x:row r="8385"/>
        <x:row r="8386"/>
        <x:row r="8387"/>
        <x:row r="8388"/>
        <x:row r="8389"/>
        <x:row r="8390"/>
        <x:row r="8391"/>
        <x:row r="8392"/>
        <x:row r="8393"/>
        <x:row r="8394"/>
        <x:row r="8395"/>
        <x:row r="8396"/>
        <x:row r="8397"/>
        <x:row r="8398"/>
        <x:row r="8399"/>
        <x:row r="8400"/>
        <x:row r="8401"/>
        <x:row r="8402"/>
        <x:row r="8403"/>
        <x:row r="8404"/>
        <x:row r="8405"/>
        <x:row r="8406"/>
        <x:row r="8407"/>
        <x:row r="8408"/>
        <x:row r="8409"/>
        <x:row r="8410"/>
        <x:row r="8411"/>
        <x:row r="8412"/>
        <x:row r="8413"/>
        <x:row r="8414"/>
        <x:row r="8415"/>
        <x:row r="8416"/>
        <x:row r="8417"/>
        <x:row r="8418"/>
        <x:row r="8419"/>
        <x:row r="8420"/>
        <x:row r="8421"/>
        <x:row r="8422"/>
        <x:row r="8423"/>
        <x:row r="8424"/>
        <x:row r="8425"/>
        <x:row r="8426"/>
        <x:row r="8427"/>
        <x:row r="8428"/>
        <x:row r="8429"/>
        <x:row r="8430"/>
        <x:row r="8431"/>
        <x:row r="8432"/>
        <x:row r="8433"/>
        <x:row r="8434"/>
        <x:row r="8435"/>
        <x:row r="8436"/>
        <x:row r="8437"/>
        <x:row r="8438"/>
        <x:row r="8439"/>
        <x:row r="8440"/>
        <x:row r="8441"/>
        <x:row r="8442"/>
        <x:row r="8443"/>
        <x:row r="8444"/>
        <x:row r="8445"/>
        <x:row r="8446"/>
        <x:row r="8447"/>
        <x:row r="8448"/>
        <x:row r="8449"/>
        <x:row r="8450"/>
        <x:row r="8451"/>
        <x:row r="8452"/>
        <x:row r="8453"/>
        <x:row r="8454"/>
        <x:row r="8455"/>
        <x:row r="8456"/>
        <x:row r="8457"/>
        <x:row r="8458"/>
        <x:row r="8459"/>
        <x:row r="8460"/>
        <x:row r="8461"/>
        <x:row r="8462"/>
        <x:row r="8463"/>
        <x:row r="8464"/>
        <x:row r="8465"/>
        <x:row r="8466"/>
        <x:row r="8467"/>
        <x:row r="8468"/>
        <x:row r="8469"/>
        <x:row r="8470"/>
        <x:row r="8471"/>
        <x:row r="8472"/>
        <x:row r="8473"/>
        <x:row r="8474"/>
        <x:row r="8475"/>
        <x:row r="8476"/>
        <x:row r="8477"/>
        <x:row r="8478"/>
        <x:row r="8479"/>
        <x:row r="8480"/>
        <x:row r="8481"/>
        <x:row r="8482"/>
        <x:row r="8483"/>
        <x:row r="8484"/>
        <x:row r="8485"/>
        <x:row r="8486"/>
        <x:row r="8487"/>
        <x:row r="8488"/>
        <x:row r="8489"/>
        <x:row r="8490"/>
        <x:row r="8491"/>
        <x:row r="8492"/>
        <x:row r="8493"/>
        <x:row r="8494"/>
        <x:row r="8495"/>
        <x:row r="8496"/>
        <x:row r="8497"/>
        <x:row r="8498"/>
        <x:row r="8499"/>
        <x:row r="8500"/>
        <x:row r="8501"/>
        <x:row r="8502"/>
        <x:row r="8503"/>
        <x:row r="8504"/>
        <x:row r="8505"/>
        <x:row r="8506"/>
        <x:row r="8507"/>
        <x:row r="8508"/>
        <x:row r="8509"/>
        <x:row r="8510"/>
        <x:row r="8511"/>
        <x:row r="8512"/>
        <x:row r="8513"/>
        <x:row r="8514"/>
        <x:row r="8515"/>
        <x:row r="8516"/>
        <x:row r="8517"/>
        <x:row r="8518"/>
        <x:row r="8519"/>
        <x:row r="8520"/>
        <x:row r="8521"/>
        <x:row r="8522"/>
        <x:row r="8523"/>
        <x:row r="8524"/>
        <x:row r="8525"/>
        <x:row r="8526"/>
        <x:row r="8527"/>
        <x:row r="8528"/>
        <x:row r="8529"/>
        <x:row r="8530"/>
        <x:row r="8531"/>
        <x:row r="8532"/>
        <x:row r="8533"/>
        <x:row r="8534"/>
        <x:row r="8535"/>
        <x:row r="8536"/>
        <x:row r="8537"/>
        <x:row r="8538"/>
        <x:row r="8539"/>
        <x:row r="8540"/>
        <x:row r="8541"/>
        <x:row r="8542"/>
        <x:row r="8543"/>
        <x:row r="8544"/>
        <x:row r="8545"/>
        <x:row r="8546"/>
        <x:row r="8547"/>
        <x:row r="8548"/>
        <x:row r="8549"/>
        <x:row r="8550"/>
        <x:row r="8551"/>
        <x:row r="8552"/>
        <x:row r="8553"/>
        <x:row r="8554"/>
        <x:row r="8555"/>
        <x:row r="8556"/>
        <x:row r="8557"/>
        <x:row r="8558"/>
        <x:row r="8559"/>
        <x:row r="8560"/>
        <x:row r="8561"/>
        <x:row r="8562"/>
        <x:row r="8563"/>
        <x:row r="8564"/>
        <x:row r="8565"/>
        <x:row r="8566"/>
        <x:row r="8567"/>
        <x:row r="8568"/>
        <x:row r="8569"/>
        <x:row r="8570"/>
        <x:row r="8571"/>
        <x:row r="8572"/>
        <x:row r="8573"/>
        <x:row r="8574"/>
        <x:row r="8575"/>
        <x:row r="8576"/>
        <x:row r="8577"/>
        <x:row r="8578"/>
        <x:row r="8579"/>
        <x:row r="8580"/>
        <x:row r="8581"/>
        <x:row r="8582"/>
        <x:row r="8583"/>
        <x:row r="8584"/>
        <x:row r="8585"/>
        <x:row r="8586"/>
        <x:row r="8587"/>
        <x:row r="8588"/>
        <x:row r="8589"/>
        <x:row r="8590"/>
        <x:row r="8591"/>
        <x:row r="8592"/>
        <x:row r="8593"/>
        <x:row r="8594"/>
        <x:row r="8595"/>
        <x:row r="8596"/>
        <x:row r="8597"/>
        <x:row r="8598"/>
        <x:row r="8599"/>
        <x:row r="8600"/>
        <x:row r="8601"/>
        <x:row r="8602"/>
        <x:row r="8603"/>
        <x:row r="8604"/>
        <x:row r="8605"/>
        <x:row r="8606"/>
        <x:row r="8607"/>
        <x:row r="8608"/>
        <x:row r="8609"/>
        <x:row r="8610"/>
        <x:row r="8611"/>
        <x:row r="8612"/>
        <x:row r="8613"/>
        <x:row r="8614"/>
        <x:row r="8615"/>
        <x:row r="8616"/>
        <x:row r="8617"/>
        <x:row r="8618"/>
        <x:row r="8619"/>
        <x:row r="8620"/>
        <x:row r="8621"/>
        <x:row r="8622"/>
        <x:row r="8623"/>
        <x:row r="8624"/>
        <x:row r="8625"/>
        <x:row r="8626"/>
        <x:row r="8627"/>
        <x:row r="8628"/>
        <x:row r="8629"/>
        <x:row r="8630"/>
        <x:row r="8631"/>
        <x:row r="8632"/>
        <x:row r="8633"/>
        <x:row r="8634"/>
        <x:row r="8635"/>
        <x:row r="8636"/>
        <x:row r="8637"/>
        <x:row r="8638"/>
        <x:row r="8639"/>
        <x:row r="8640"/>
        <x:row r="8641"/>
        <x:row r="8642"/>
        <x:row r="8643"/>
        <x:row r="8644"/>
        <x:row r="8645"/>
        <x:row r="8646"/>
        <x:row r="8647"/>
        <x:row r="8648"/>
        <x:row r="8649"/>
        <x:row r="8650"/>
        <x:row r="8651"/>
        <x:row r="8652"/>
        <x:row r="8653"/>
        <x:row r="8654"/>
        <x:row r="8655"/>
        <x:row r="8656"/>
        <x:row r="8657"/>
        <x:row r="8658"/>
        <x:row r="8659"/>
        <x:row r="8660"/>
        <x:row r="8661"/>
        <x:row r="8662"/>
        <x:row r="8663"/>
        <x:row r="8664"/>
        <x:row r="8665"/>
        <x:row r="8666"/>
        <x:row r="8667"/>
        <x:row r="8668"/>
        <x:row r="8669"/>
        <x:row r="8670"/>
        <x:row r="8671"/>
        <x:row r="8672"/>
        <x:row r="8673"/>
        <x:row r="8674"/>
        <x:row r="8675"/>
        <x:row r="8676"/>
        <x:row r="8677"/>
        <x:row r="8678"/>
        <x:row r="8679"/>
        <x:row r="8680"/>
        <x:row r="8681"/>
        <x:row r="8682"/>
        <x:row r="8683"/>
        <x:row r="8684"/>
        <x:row r="8685"/>
        <x:row r="8686"/>
        <x:row r="8687"/>
        <x:row r="8688"/>
        <x:row r="8689"/>
        <x:row r="8690"/>
        <x:row r="8691"/>
        <x:row r="8692"/>
        <x:row r="8693"/>
        <x:row r="8694"/>
        <x:row r="8695"/>
        <x:row r="8696"/>
        <x:row r="8697"/>
        <x:row r="8698"/>
        <x:row r="8699"/>
        <x:row r="8700"/>
        <x:row r="8701"/>
        <x:row r="8702"/>
        <x:row r="8703"/>
        <x:row r="8704"/>
        <x:row r="8705"/>
        <x:row r="8706"/>
        <x:row r="8707"/>
        <x:row r="8708"/>
        <x:row r="8709"/>
        <x:row r="8710"/>
        <x:row r="8711"/>
        <x:row r="8712"/>
        <x:row r="8713"/>
        <x:row r="8714"/>
        <x:row r="8715"/>
        <x:row r="8716"/>
        <x:row r="8717"/>
        <x:row r="8718"/>
        <x:row r="8719"/>
        <x:row r="8720"/>
        <x:row r="8721"/>
        <x:row r="8722"/>
        <x:row r="8723"/>
        <x:row r="8724"/>
        <x:row r="8725"/>
        <x:row r="8726"/>
        <x:row r="8727"/>
        <x:row r="8728"/>
        <x:row r="8729"/>
        <x:row r="8730"/>
        <x:row r="8731"/>
        <x:row r="8732"/>
        <x:row r="8733"/>
        <x:row r="8734"/>
        <x:row r="8735"/>
        <x:row r="8736"/>
        <x:row r="8737"/>
        <x:row r="8738"/>
        <x:row r="8739"/>
        <x:row r="8740"/>
        <x:row r="8741"/>
        <x:row r="8742"/>
        <x:row r="8743"/>
        <x:row r="8744"/>
        <x:row r="8745"/>
        <x:row r="8746"/>
        <x:row r="8747"/>
        <x:row r="8748"/>
        <x:row r="8749"/>
        <x:row r="8750"/>
        <x:row r="8751"/>
        <x:row r="8752"/>
        <x:row r="8753"/>
        <x:row r="8754"/>
        <x:row r="8755"/>
        <x:row r="8756"/>
        <x:row r="8757"/>
        <x:row r="8758"/>
        <x:row r="8759"/>
        <x:row r="8760"/>
        <x:row r="8761"/>
        <x:row r="8762"/>
        <x:row r="8763"/>
        <x:row r="8764"/>
        <x:row r="8765"/>
        <x:row r="8766"/>
        <x:row r="8767"/>
        <x:row r="8768"/>
        <x:row r="8769"/>
        <x:row r="8770"/>
        <x:row r="8771"/>
        <x:row r="8772"/>
        <x:row r="8773"/>
        <x:row r="8774"/>
        <x:row r="8775"/>
        <x:row r="8776"/>
        <x:row r="8777"/>
        <x:row r="8778"/>
        <x:row r="8779"/>
        <x:row r="8780"/>
        <x:row r="8781"/>
        <x:row r="8782"/>
        <x:row r="8783"/>
        <x:row r="8784"/>
        <x:row r="8785"/>
        <x:row r="8786"/>
        <x:row r="8787"/>
        <x:row r="8788"/>
        <x:row r="8789"/>
        <x:row r="8790"/>
        <x:row r="8791"/>
        <x:row r="8792"/>
        <x:row r="8793"/>
        <x:row r="8794"/>
        <x:row r="8795"/>
        <x:row r="8796"/>
        <x:row r="8797"/>
        <x:row r="8798"/>
        <x:row r="8799"/>
        <x:row r="8800"/>
        <x:row r="8801"/>
        <x:row r="8802"/>
        <x:row r="8803"/>
        <x:row r="8804"/>
        <x:row r="8805"/>
        <x:row r="8806"/>
        <x:row r="8807"/>
        <x:row r="8808"/>
        <x:row r="8809"/>
        <x:row r="8810"/>
        <x:row r="8811"/>
        <x:row r="8812"/>
        <x:row r="8813"/>
        <x:row r="8814"/>
        <x:row r="8815"/>
        <x:row r="8816"/>
        <x:row r="8817"/>
        <x:row r="8818"/>
        <x:row r="8819"/>
        <x:row r="8820"/>
        <x:row r="8821"/>
        <x:row r="8822"/>
        <x:row r="8823"/>
        <x:row r="8824"/>
        <x:row r="8825"/>
        <x:row r="8826"/>
        <x:row r="8827"/>
        <x:row r="8828"/>
        <x:row r="8829"/>
        <x:row r="8830"/>
        <x:row r="8831"/>
        <x:row r="8832"/>
        <x:row r="8833"/>
        <x:row r="8834"/>
        <x:row r="8835"/>
        <x:row r="8836"/>
        <x:row r="8837"/>
        <x:row r="8838"/>
        <x:row r="8839"/>
        <x:row r="8840"/>
        <x:row r="8841"/>
        <x:row r="8842"/>
        <x:row r="8843"/>
        <x:row r="8844"/>
        <x:row r="8845"/>
        <x:row r="8846"/>
        <x:row r="8847"/>
        <x:row r="8848"/>
        <x:row r="8849"/>
        <x:row r="8850"/>
        <x:row r="8851"/>
        <x:row r="8852"/>
        <x:row r="8853"/>
        <x:row r="8854"/>
        <x:row r="8855"/>
        <x:row r="8856"/>
        <x:row r="8857"/>
        <x:row r="8858"/>
        <x:row r="8859"/>
        <x:row r="8860"/>
        <x:row r="8861"/>
        <x:row r="8862"/>
        <x:row r="8863"/>
        <x:row r="8864"/>
        <x:row r="8865"/>
        <x:row r="8866"/>
        <x:row r="8867"/>
        <x:row r="8868"/>
        <x:row r="8869"/>
        <x:row r="8870"/>
        <x:row r="8871"/>
        <x:row r="8872"/>
        <x:row r="8873"/>
        <x:row r="8874"/>
        <x:row r="8875"/>
        <x:row r="8876"/>
        <x:row r="8877"/>
        <x:row r="8878"/>
        <x:row r="8879"/>
        <x:row r="8880"/>
        <x:row r="8881"/>
        <x:row r="8882"/>
        <x:row r="8883"/>
        <x:row r="8884"/>
        <x:row r="8885"/>
        <x:row r="8886"/>
        <x:row r="8887"/>
        <x:row r="8888"/>
        <x:row r="8889"/>
        <x:row r="8890"/>
        <x:row r="8891"/>
        <x:row r="8892"/>
        <x:row r="8893"/>
        <x:row r="8894"/>
        <x:row r="8895"/>
        <x:row r="8896"/>
        <x:row r="8897"/>
        <x:row r="8898"/>
        <x:row r="8899"/>
        <x:row r="8900"/>
        <x:row r="8901"/>
        <x:row r="8902"/>
        <x:row r="8903"/>
        <x:row r="8904"/>
        <x:row r="8905"/>
        <x:row r="8906"/>
        <x:row r="8907"/>
        <x:row r="8908"/>
        <x:row r="8909"/>
        <x:row r="8910"/>
        <x:row r="8911"/>
        <x:row r="8912"/>
        <x:row r="8913"/>
        <x:row r="8914"/>
        <x:row r="8915"/>
        <x:row r="8916"/>
        <x:row r="8917"/>
        <x:row r="8918"/>
        <x:row r="8919"/>
        <x:row r="8920"/>
        <x:row r="8921"/>
        <x:row r="8922"/>
        <x:row r="8923"/>
        <x:row r="8924"/>
        <x:row r="8925"/>
        <x:row r="8926"/>
        <x:row r="8927"/>
        <x:row r="8928"/>
        <x:row r="8929"/>
        <x:row r="8930"/>
        <x:row r="8931"/>
        <x:row r="8932"/>
        <x:row r="8933"/>
        <x:row r="8934"/>
        <x:row r="8935"/>
        <x:row r="8936"/>
        <x:row r="8937"/>
        <x:row r="8938"/>
        <x:row r="8939"/>
        <x:row r="8940"/>
        <x:row r="8941"/>
        <x:row r="8942"/>
        <x:row r="8943"/>
        <x:row r="8944"/>
        <x:row r="8945"/>
        <x:row r="8946"/>
        <x:row r="8947"/>
        <x:row r="8948"/>
        <x:row r="8949"/>
        <x:row r="8950"/>
        <x:row r="8951"/>
        <x:row r="8952"/>
        <x:row r="8953"/>
        <x:row r="8954"/>
        <x:row r="8955"/>
        <x:row r="8956"/>
        <x:row r="8957"/>
        <x:row r="8958"/>
        <x:row r="8959"/>
        <x:row r="8960"/>
        <x:row r="8961"/>
        <x:row r="8962"/>
        <x:row r="8963"/>
        <x:row r="8964"/>
        <x:row r="8965"/>
        <x:row r="8966"/>
        <x:row r="8967"/>
        <x:row r="8968"/>
        <x:row r="8969"/>
        <x:row r="8970"/>
        <x:row r="8971"/>
        <x:row r="8972"/>
        <x:row r="8973"/>
        <x:row r="8974"/>
        <x:row r="8975"/>
        <x:row r="8976"/>
        <x:row r="8977"/>
        <x:row r="8978"/>
        <x:row r="8979"/>
        <x:row r="8980"/>
        <x:row r="8981"/>
        <x:row r="8982"/>
        <x:row r="8983"/>
        <x:row r="8984"/>
        <x:row r="8985"/>
        <x:row r="8986"/>
        <x:row r="8987"/>
        <x:row r="8988"/>
        <x:row r="8989"/>
        <x:row r="8990"/>
        <x:row r="8991"/>
        <x:row r="8992"/>
        <x:row r="8993"/>
        <x:row r="8994"/>
        <x:row r="8995"/>
        <x:row r="8996"/>
        <x:row r="8997"/>
        <x:row r="8998"/>
        <x:row r="8999"/>
        <x:row r="9000"/>
        <x:row r="9001"/>
        <x:row r="9002"/>
        <x:row r="9003"/>
        <x:row r="9004"/>
        <x:row r="9005"/>
        <x:row r="9006"/>
        <x:row r="9007"/>
        <x:row r="9008"/>
        <x:row r="9009"/>
        <x:row r="9010"/>
        <x:row r="9011"/>
        <x:row r="9012"/>
        <x:row r="9013"/>
        <x:row r="9014"/>
        <x:row r="9015"/>
        <x:row r="9016"/>
        <x:row r="9017"/>
        <x:row r="9018"/>
        <x:row r="9019"/>
        <x:row r="9020"/>
        <x:row r="9021"/>
        <x:row r="9022"/>
        <x:row r="9023"/>
        <x:row r="9024"/>
        <x:row r="9025"/>
        <x:row r="9026"/>
        <x:row r="9027"/>
        <x:row r="9028"/>
        <x:row r="9029"/>
        <x:row r="9030"/>
        <x:row r="9031"/>
        <x:row r="9032"/>
        <x:row r="9033"/>
        <x:row r="9034"/>
        <x:row r="9035"/>
        <x:row r="9036"/>
        <x:row r="9037"/>
        <x:row r="9038"/>
        <x:row r="9039"/>
        <x:row r="9040"/>
        <x:row r="9041"/>
        <x:row r="9042"/>
        <x:row r="9043"/>
        <x:row r="9044"/>
        <x:row r="9045"/>
        <x:row r="9046"/>
        <x:row r="9047"/>
        <x:row r="9048"/>
        <x:row r="9049"/>
        <x:row r="9050"/>
        <x:row r="9051"/>
        <x:row r="9052"/>
        <x:row r="9053"/>
        <x:row r="9054"/>
        <x:row r="9055"/>
        <x:row r="9056"/>
        <x:row r="9057"/>
        <x:row r="9058"/>
        <x:row r="9059"/>
        <x:row r="9060"/>
        <x:row r="9061"/>
        <x:row r="9062"/>
        <x:row r="9063"/>
        <x:row r="9064"/>
        <x:row r="9065"/>
        <x:row r="9066"/>
        <x:row r="9067"/>
        <x:row r="9068"/>
        <x:row r="9069"/>
        <x:row r="9070"/>
        <x:row r="9071"/>
        <x:row r="9072"/>
        <x:row r="9073"/>
        <x:row r="9074"/>
        <x:row r="9075"/>
        <x:row r="9076"/>
        <x:row r="9077"/>
        <x:row r="9078"/>
        <x:row r="9079"/>
        <x:row r="9080"/>
        <x:row r="9081"/>
        <x:row r="9082"/>
        <x:row r="9083"/>
        <x:row r="9084"/>
        <x:row r="9085"/>
        <x:row r="9086"/>
        <x:row r="9087"/>
        <x:row r="9088"/>
        <x:row r="9089"/>
        <x:row r="9090"/>
        <x:row r="9091"/>
        <x:row r="9092"/>
        <x:row r="9093"/>
        <x:row r="9094"/>
        <x:row r="9095"/>
        <x:row r="9096"/>
        <x:row r="9097"/>
        <x:row r="9098"/>
        <x:row r="9099"/>
        <x:row r="9100"/>
        <x:row r="9101"/>
        <x:row r="9102"/>
        <x:row r="9103"/>
        <x:row r="9104"/>
        <x:row r="9105"/>
        <x:row r="9106"/>
        <x:row r="9107"/>
        <x:row r="9108"/>
        <x:row r="9109"/>
        <x:row r="9110"/>
        <x:row r="9111"/>
        <x:row r="9112"/>
        <x:row r="9113"/>
        <x:row r="9114"/>
        <x:row r="9115"/>
        <x:row r="9116"/>
        <x:row r="9117"/>
        <x:row r="9118"/>
        <x:row r="9119"/>
        <x:row r="9120"/>
        <x:row r="9121"/>
        <x:row r="9122"/>
        <x:row r="9123"/>
        <x:row r="9124"/>
        <x:row r="9125"/>
        <x:row r="9126"/>
        <x:row r="9127"/>
        <x:row r="9128"/>
        <x:row r="9129"/>
        <x:row r="9130"/>
        <x:row r="9131"/>
        <x:row r="9132"/>
        <x:row r="9133"/>
        <x:row r="9134"/>
        <x:row r="9135"/>
        <x:row r="9136"/>
        <x:row r="9137"/>
        <x:row r="9138"/>
        <x:row r="9139"/>
        <x:row r="9140"/>
        <x:row r="9141"/>
        <x:row r="9142"/>
        <x:row r="9143"/>
        <x:row r="9144"/>
        <x:row r="9145"/>
        <x:row r="9146"/>
        <x:row r="9147"/>
        <x:row r="9148"/>
        <x:row r="9149"/>
        <x:row r="9150"/>
        <x:row r="9151"/>
        <x:row r="9152"/>
        <x:row r="9153"/>
        <x:row r="9154"/>
        <x:row r="9155"/>
        <x:row r="9156"/>
        <x:row r="9157"/>
        <x:row r="9158"/>
        <x:row r="9159"/>
        <x:row r="9160"/>
        <x:row r="9161"/>
        <x:row r="9162"/>
        <x:row r="9163"/>
        <x:row r="9164"/>
        <x:row r="9165"/>
        <x:row r="9166"/>
        <x:row r="9167"/>
        <x:row r="9168"/>
        <x:row r="9169"/>
        <x:row r="9170"/>
        <x:row r="9171"/>
        <x:row r="9172"/>
        <x:row r="9173"/>
        <x:row r="9174"/>
        <x:row r="9175"/>
        <x:row r="9176"/>
        <x:row r="9177"/>
        <x:row r="9178"/>
        <x:row r="9179"/>
        <x:row r="9180"/>
        <x:row r="9181"/>
        <x:row r="9182"/>
        <x:row r="9183"/>
        <x:row r="9184"/>
        <x:row r="9185"/>
        <x:row r="9186"/>
        <x:row r="9187"/>
        <x:row r="9188"/>
        <x:row r="9189"/>
        <x:row r="9190"/>
        <x:row r="9191"/>
        <x:row r="9192"/>
        <x:row r="9193"/>
        <x:row r="9194"/>
        <x:row r="9195"/>
        <x:row r="9196"/>
        <x:row r="9197"/>
        <x:row r="9198"/>
        <x:row r="9199"/>
        <x:row r="9200"/>
        <x:row r="9201"/>
        <x:row r="9202"/>
        <x:row r="9203"/>
        <x:row r="9204"/>
        <x:row r="9205"/>
        <x:row r="9206"/>
        <x:row r="9207"/>
        <x:row r="9208"/>
        <x:row r="9209"/>
        <x:row r="9210"/>
        <x:row r="9211"/>
        <x:row r="9212"/>
        <x:row r="9213"/>
        <x:row r="9214"/>
        <x:row r="9215"/>
        <x:row r="9216"/>
        <x:row r="9217"/>
        <x:row r="9218"/>
        <x:row r="9219"/>
        <x:row r="9220"/>
        <x:row r="9221"/>
        <x:row r="9222"/>
        <x:row r="9223"/>
        <x:row r="9224"/>
        <x:row r="9225"/>
        <x:row r="9226"/>
        <x:row r="9227"/>
        <x:row r="9228"/>
        <x:row r="9229"/>
        <x:row r="9230"/>
        <x:row r="9231"/>
        <x:row r="9232"/>
        <x:row r="9233"/>
        <x:row r="9234"/>
        <x:row r="9235"/>
        <x:row r="9236"/>
        <x:row r="9237"/>
        <x:row r="9238"/>
        <x:row r="9239"/>
        <x:row r="9240"/>
        <x:row r="9241"/>
        <x:row r="9242"/>
        <x:row r="9243"/>
        <x:row r="9244"/>
        <x:row r="9245"/>
        <x:row r="9246"/>
        <x:row r="9247"/>
        <x:row r="9248"/>
        <x:row r="9249"/>
        <x:row r="9250"/>
        <x:row r="9251"/>
        <x:row r="9252"/>
        <x:row r="9253"/>
        <x:row r="9254"/>
        <x:row r="9255"/>
        <x:row r="9256"/>
        <x:row r="9257"/>
        <x:row r="9258"/>
        <x:row r="9259"/>
        <x:row r="9260"/>
        <x:row r="9261"/>
        <x:row r="9262"/>
        <x:row r="9263"/>
        <x:row r="9264"/>
        <x:row r="9265"/>
        <x:row r="9266"/>
        <x:row r="9267"/>
        <x:row r="9268"/>
        <x:row r="9269"/>
        <x:row r="9270"/>
        <x:row r="9271"/>
        <x:row r="9272"/>
        <x:row r="9273"/>
        <x:row r="9274"/>
        <x:row r="9275"/>
        <x:row r="9276"/>
        <x:row r="9277"/>
        <x:row r="9278"/>
        <x:row r="9279"/>
        <x:row r="9280"/>
        <x:row r="9281"/>
        <x:row r="9282"/>
        <x:row r="9283"/>
        <x:row r="9284"/>
        <x:row r="9285"/>
        <x:row r="9286"/>
        <x:row r="9287"/>
        <x:row r="9288"/>
        <x:row r="9289"/>
        <x:row r="9290"/>
        <x:row r="9291"/>
        <x:row r="9292"/>
        <x:row r="9293"/>
        <x:row r="9294"/>
        <x:row r="9295"/>
        <x:row r="9296"/>
        <x:row r="9297"/>
        <x:row r="9298"/>
        <x:row r="9299"/>
        <x:row r="9300"/>
        <x:row r="9301"/>
        <x:row r="9302"/>
        <x:row r="9303"/>
        <x:row r="9304"/>
        <x:row r="9305"/>
        <x:row r="9306"/>
        <x:row r="9307"/>
        <x:row r="9308"/>
        <x:row r="9309"/>
        <x:row r="9310"/>
        <x:row r="9311"/>
        <x:row r="9312"/>
        <x:row r="9313"/>
        <x:row r="9314"/>
        <x:row r="9315"/>
        <x:row r="9316"/>
        <x:row r="9317"/>
        <x:row r="9318"/>
        <x:row r="9319"/>
        <x:row r="9320"/>
        <x:row r="9321"/>
        <x:row r="9322"/>
        <x:row r="9323"/>
        <x:row r="9324"/>
        <x:row r="9325"/>
        <x:row r="9326"/>
        <x:row r="9327"/>
        <x:row r="9328"/>
        <x:row r="9329"/>
        <x:row r="9330"/>
        <x:row r="9331"/>
        <x:row r="9332"/>
        <x:row r="9333"/>
        <x:row r="9334"/>
        <x:row r="9335"/>
        <x:row r="9336"/>
        <x:row r="9337"/>
        <x:row r="9338"/>
        <x:row r="9339"/>
        <x:row r="9340"/>
        <x:row r="9341"/>
        <x:row r="9342"/>
        <x:row r="9343"/>
        <x:row r="9344"/>
        <x:row r="9345"/>
        <x:row r="9346"/>
        <x:row r="9347"/>
        <x:row r="9348"/>
        <x:row r="9349"/>
        <x:row r="9350"/>
        <x:row r="9351"/>
        <x:row r="9352"/>
        <x:row r="9353"/>
        <x:row r="9354"/>
        <x:row r="9355"/>
        <x:row r="9356"/>
        <x:row r="9357"/>
        <x:row r="9358"/>
        <x:row r="9359"/>
        <x:row r="9360"/>
        <x:row r="9361"/>
        <x:row r="9362"/>
        <x:row r="9363"/>
        <x:row r="9364"/>
        <x:row r="9365"/>
        <x:row r="9366"/>
        <x:row r="9367"/>
        <x:row r="9368"/>
        <x:row r="9369"/>
        <x:row r="9370"/>
        <x:row r="9371"/>
        <x:row r="9372"/>
        <x:row r="9373"/>
        <x:row r="9374"/>
        <x:row r="9375"/>
        <x:row r="9376"/>
        <x:row r="9377"/>
        <x:row r="9378"/>
        <x:row r="9379"/>
        <x:row r="9380"/>
        <x:row r="9381"/>
        <x:row r="9382"/>
        <x:row r="9383"/>
        <x:row r="9384"/>
        <x:row r="9385"/>
        <x:row r="9386"/>
        <x:row r="9387"/>
        <x:row r="9388"/>
        <x:row r="9389"/>
        <x:row r="9390"/>
        <x:row r="9391"/>
        <x:row r="9392"/>
        <x:row r="9393"/>
        <x:row r="9394"/>
        <x:row r="9395"/>
        <x:row r="9396"/>
        <x:row r="9397"/>
        <x:row r="9398"/>
        <x:row r="9399"/>
        <x:row r="9400"/>
        <x:row r="9401"/>
        <x:row r="9402"/>
        <x:row r="9403"/>
        <x:row r="9404"/>
        <x:row r="9405"/>
        <x:row r="9406"/>
        <x:row r="9407"/>
        <x:row r="9408"/>
        <x:row r="9409"/>
        <x:row r="9410"/>
        <x:row r="9411"/>
        <x:row r="9412"/>
        <x:row r="9413"/>
        <x:row r="9414"/>
        <x:row r="9415"/>
        <x:row r="9416"/>
        <x:row r="9417"/>
        <x:row r="9418"/>
        <x:row r="9419"/>
        <x:row r="9420"/>
        <x:row r="9421"/>
        <x:row r="9422"/>
        <x:row r="9423"/>
        <x:row r="9424"/>
        <x:row r="9425"/>
        <x:row r="9426"/>
        <x:row r="9427"/>
        <x:row r="9428"/>
        <x:row r="9429"/>
        <x:row r="9430"/>
        <x:row r="9431"/>
        <x:row r="9432"/>
        <x:row r="9433"/>
        <x:row r="9434"/>
        <x:row r="9435"/>
        <x:row r="9436"/>
        <x:row r="9437"/>
        <x:row r="9438"/>
        <x:row r="9439"/>
        <x:row r="9440"/>
        <x:row r="9441"/>
        <x:row r="9442"/>
        <x:row r="9443"/>
        <x:row r="9444"/>
        <x:row r="9445"/>
        <x:row r="9446"/>
        <x:row r="9447"/>
        <x:row r="9448"/>
        <x:row r="9449"/>
        <x:row r="9450"/>
        <x:row r="9451"/>
        <x:row r="9452"/>
        <x:row r="9453"/>
        <x:row r="9454"/>
        <x:row r="9455"/>
        <x:row r="9456"/>
        <x:row r="9457"/>
        <x:row r="9458"/>
        <x:row r="9459"/>
        <x:row r="9460"/>
        <x:row r="9461"/>
        <x:row r="9462"/>
        <x:row r="9463"/>
        <x:row r="9464"/>
        <x:row r="9465"/>
        <x:row r="9466"/>
        <x:row r="9467"/>
        <x:row r="9468"/>
        <x:row r="9469"/>
        <x:row r="9470"/>
        <x:row r="9471"/>
        <x:row r="9472"/>
        <x:row r="9473"/>
        <x:row r="9474"/>
        <x:row r="9475"/>
        <x:row r="9476"/>
        <x:row r="9477"/>
        <x:row r="9478"/>
        <x:row r="9479"/>
        <x:row r="9480"/>
        <x:row r="9481"/>
        <x:row r="9482"/>
        <x:row r="9483"/>
        <x:row r="9484"/>
        <x:row r="9485"/>
        <x:row r="9486"/>
        <x:row r="9487"/>
        <x:row r="9488"/>
        <x:row r="9489"/>
        <x:row r="9490"/>
        <x:row r="9491"/>
        <x:row r="9492"/>
        <x:row r="9493"/>
        <x:row r="9494"/>
        <x:row r="9495"/>
        <x:row r="9496"/>
        <x:row r="9497"/>
        <x:row r="9498"/>
        <x:row r="9499"/>
        <x:row r="9500"/>
        <x:row r="9501"/>
        <x:row r="9502"/>
        <x:row r="9503"/>
        <x:row r="9504"/>
        <x:row r="9505"/>
        <x:row r="9506"/>
        <x:row r="9507"/>
        <x:row r="9508"/>
        <x:row r="9509"/>
        <x:row r="9510"/>
        <x:row r="9511"/>
        <x:row r="9512"/>
        <x:row r="9513"/>
        <x:row r="9514"/>
        <x:row r="9515"/>
        <x:row r="9516"/>
        <x:row r="9517"/>
        <x:row r="9518"/>
        <x:row r="9519"/>
        <x:row r="9520"/>
        <x:row r="9521"/>
        <x:row r="9522"/>
        <x:row r="9523"/>
        <x:row r="9524"/>
        <x:row r="9525"/>
        <x:row r="9526"/>
        <x:row r="9527"/>
        <x:row r="9528"/>
        <x:row r="9529"/>
        <x:row r="9530"/>
        <x:row r="9531"/>
        <x:row r="9532"/>
        <x:row r="9533"/>
        <x:row r="9534"/>
        <x:row r="9535"/>
        <x:row r="9536"/>
        <x:row r="9537"/>
        <x:row r="9538"/>
        <x:row r="9539"/>
        <x:row r="9540"/>
        <x:row r="9541"/>
        <x:row r="9542"/>
        <x:row r="9543"/>
        <x:row r="9544"/>
        <x:row r="9545"/>
        <x:row r="9546"/>
        <x:row r="9547"/>
        <x:row r="9548"/>
        <x:row r="9549"/>
        <x:row r="9550"/>
        <x:row r="9551"/>
        <x:row r="9552"/>
        <x:row r="9553"/>
        <x:row r="9554"/>
        <x:row r="9555"/>
        <x:row r="9556"/>
        <x:row r="9557"/>
        <x:row r="9558"/>
        <x:row r="9559"/>
        <x:row r="9560"/>
        <x:row r="9561"/>
        <x:row r="9562"/>
        <x:row r="9563"/>
        <x:row r="9564"/>
        <x:row r="9565"/>
        <x:row r="9566"/>
        <x:row r="9567"/>
        <x:row r="9568"/>
        <x:row r="9569"/>
        <x:row r="9570"/>
        <x:row r="9571"/>
        <x:row r="9572"/>
        <x:row r="9573"/>
        <x:row r="9574"/>
        <x:row r="9575"/>
        <x:row r="9576"/>
        <x:row r="9577"/>
        <x:row r="9578"/>
        <x:row r="9579"/>
        <x:row r="9580"/>
        <x:row r="9581"/>
        <x:row r="9582"/>
        <x:row r="9583"/>
        <x:row r="9584"/>
        <x:row r="9585"/>
        <x:row r="9586"/>
        <x:row r="9587"/>
        <x:row r="9588"/>
        <x:row r="9589"/>
        <x:row r="9590"/>
        <x:row r="9591"/>
        <x:row r="9592"/>
        <x:row r="9593"/>
        <x:row r="9594"/>
        <x:row r="9595"/>
        <x:row r="9596"/>
        <x:row r="9597"/>
        <x:row r="9598"/>
        <x:row r="9599"/>
        <x:row r="9600"/>
        <x:row r="9601"/>
        <x:row r="9602"/>
        <x:row r="9603"/>
        <x:row r="9604"/>
        <x:row r="9605"/>
        <x:row r="9606"/>
        <x:row r="9607"/>
        <x:row r="9608"/>
        <x:row r="9609"/>
        <x:row r="9610"/>
        <x:row r="9611"/>
        <x:row r="9612"/>
        <x:row r="9613"/>
        <x:row r="9614"/>
        <x:row r="9615"/>
        <x:row r="9616"/>
        <x:row r="9617"/>
        <x:row r="9618"/>
        <x:row r="9619"/>
        <x:row r="9620"/>
        <x:row r="9621"/>
        <x:row r="9622"/>
        <x:row r="9623"/>
        <x:row r="9624"/>
        <x:row r="9625"/>
        <x:row r="9626"/>
        <x:row r="9627"/>
        <x:row r="9628"/>
        <x:row r="9629"/>
        <x:row r="9630"/>
        <x:row r="9631"/>
        <x:row r="9632"/>
        <x:row r="9633"/>
        <x:row r="9634"/>
        <x:row r="9635"/>
        <x:row r="9636"/>
        <x:row r="9637"/>
        <x:row r="9638"/>
        <x:row r="9639"/>
        <x:row r="9640"/>
        <x:row r="9641"/>
        <x:row r="9642"/>
        <x:row r="9643"/>
        <x:row r="9644"/>
        <x:row r="9645"/>
        <x:row r="9646"/>
        <x:row r="9647"/>
        <x:row r="9648"/>
        <x:row r="9649"/>
        <x:row r="9650"/>
        <x:row r="9651"/>
        <x:row r="9652"/>
        <x:row r="9653"/>
        <x:row r="9654"/>
        <x:row r="9655"/>
        <x:row r="9656"/>
        <x:row r="9657"/>
        <x:row r="9658"/>
        <x:row r="9659"/>
        <x:row r="9660"/>
        <x:row r="9661"/>
        <x:row r="9662"/>
        <x:row r="9663"/>
        <x:row r="9664"/>
        <x:row r="9665"/>
        <x:row r="9666"/>
        <x:row r="9667"/>
        <x:row r="9668"/>
        <x:row r="9669"/>
        <x:row r="9670"/>
        <x:row r="9671"/>
        <x:row r="9672"/>
        <x:row r="9673"/>
        <x:row r="9674"/>
        <x:row r="9675"/>
        <x:row r="9676"/>
        <x:row r="9677"/>
        <x:row r="9678"/>
        <x:row r="9679"/>
        <x:row r="9680"/>
        <x:row r="9681"/>
        <x:row r="9682"/>
        <x:row r="9683"/>
        <x:row r="9684"/>
        <x:row r="9685"/>
        <x:row r="9686"/>
        <x:row r="9687"/>
        <x:row r="9688"/>
        <x:row r="9689"/>
        <x:row r="9690"/>
        <x:row r="9691"/>
        <x:row r="9692"/>
        <x:row r="9693"/>
        <x:row r="9694"/>
        <x:row r="9695"/>
        <x:row r="9696"/>
        <x:row r="9697"/>
        <x:row r="9698"/>
        <x:row r="9699"/>
        <x:row r="9700"/>
        <x:row r="9701"/>
        <x:row r="9702"/>
        <x:row r="9703"/>
        <x:row r="9704"/>
        <x:row r="9705"/>
        <x:row r="9706"/>
        <x:row r="9707"/>
        <x:row r="9708"/>
        <x:row r="9709"/>
        <x:row r="9710"/>
        <x:row r="9711"/>
        <x:row r="9712"/>
        <x:row r="9713"/>
        <x:row r="9714"/>
        <x:row r="9715"/>
        <x:row r="9716"/>
        <x:row r="9717"/>
        <x:row r="9718"/>
        <x:row r="9719"/>
        <x:row r="9720"/>
        <x:row r="9721"/>
        <x:row r="9722"/>
        <x:row r="9723"/>
        <x:row r="9724"/>
        <x:row r="9725"/>
        <x:row r="9726"/>
        <x:row r="9727"/>
        <x:row r="9728"/>
        <x:row r="9729"/>
        <x:row r="9730"/>
        <x:row r="9731"/>
        <x:row r="9732"/>
        <x:row r="9733"/>
        <x:row r="9734"/>
        <x:row r="9735"/>
        <x:row r="9736"/>
        <x:row r="9737"/>
        <x:row r="9738"/>
        <x:row r="9739"/>
        <x:row r="9740"/>
        <x:row r="9741"/>
        <x:row r="9742"/>
        <x:row r="9743"/>
        <x:row r="9744"/>
        <x:row r="9745"/>
        <x:row r="9746"/>
        <x:row r="9747"/>
        <x:row r="9748"/>
        <x:row r="9749"/>
        <x:row r="9750"/>
        <x:row r="9751"/>
        <x:row r="9752"/>
        <x:row r="9753"/>
        <x:row r="9754"/>
        <x:row r="9755"/>
        <x:row r="9756"/>
        <x:row r="9757"/>
        <x:row r="9758"/>
        <x:row r="9759"/>
        <x:row r="9760"/>
        <x:row r="9761"/>
        <x:row r="9762"/>
        <x:row r="9763"/>
        <x:row r="9764"/>
        <x:row r="9765"/>
        <x:row r="9766"/>
        <x:row r="9767"/>
        <x:row r="9768"/>
        <x:row r="9769"/>
        <x:row r="9770"/>
        <x:row r="9771"/>
        <x:row r="9772"/>
        <x:row r="9773"/>
        <x:row r="9774"/>
        <x:row r="9775"/>
        <x:row r="9776"/>
        <x:row r="9777"/>
        <x:row r="9778"/>
        <x:row r="9779"/>
        <x:row r="9780"/>
        <x:row r="9781"/>
        <x:row r="9782"/>
        <x:row r="9783"/>
        <x:row r="9784"/>
        <x:row r="9785"/>
        <x:row r="9786"/>
        <x:row r="9787"/>
        <x:row r="9788"/>
        <x:row r="9789"/>
        <x:row r="9790"/>
        <x:row r="9791"/>
        <x:row r="9792"/>
        <x:row r="9793"/>
        <x:row r="9794"/>
        <x:row r="9795"/>
        <x:row r="9796"/>
        <x:row r="9797"/>
        <x:row r="9798"/>
        <x:row r="9799"/>
        <x:row r="9800"/>
        <x:row r="9801"/>
        <x:row r="9802"/>
        <x:row r="9803"/>
        <x:row r="9804"/>
        <x:row r="9805"/>
        <x:row r="9806"/>
        <x:row r="9807"/>
        <x:row r="9808"/>
        <x:row r="9809"/>
        <x:row r="9810"/>
        <x:row r="9811"/>
        <x:row r="9812"/>
        <x:row r="9813"/>
        <x:row r="9814"/>
        <x:row r="9815"/>
        <x:row r="9816"/>
        <x:row r="9817"/>
        <x:row r="9818"/>
        <x:row r="9819"/>
        <x:row r="9820"/>
        <x:row r="9821"/>
        <x:row r="9822"/>
        <x:row r="9823"/>
        <x:row r="9824"/>
        <x:row r="9825"/>
        <x:row r="9826"/>
        <x:row r="9827"/>
        <x:row r="9828"/>
        <x:row r="9829"/>
        <x:row r="9830"/>
        <x:row r="9831"/>
        <x:row r="9832"/>
        <x:row r="9833"/>
        <x:row r="9834"/>
        <x:row r="9835"/>
        <x:row r="9836"/>
        <x:row r="9837"/>
        <x:row r="9838"/>
        <x:row r="9839"/>
        <x:row r="9840"/>
        <x:row r="9841"/>
        <x:row r="9842"/>
        <x:row r="9843"/>
        <x:row r="9844"/>
        <x:row r="9845"/>
        <x:row r="9846"/>
        <x:row r="9847"/>
        <x:row r="9848"/>
        <x:row r="9849"/>
        <x:row r="9850"/>
        <x:row r="9851"/>
        <x:row r="9852"/>
        <x:row r="9853"/>
        <x:row r="9854"/>
        <x:row r="9855"/>
        <x:row r="9856"/>
        <x:row r="9857"/>
        <x:row r="9858"/>
        <x:row r="9859"/>
        <x:row r="9860"/>
        <x:row r="9861"/>
        <x:row r="9862"/>
        <x:row r="9863"/>
        <x:row r="9864"/>
        <x:row r="9865"/>
        <x:row r="9866"/>
        <x:row r="9867"/>
        <x:row r="9868"/>
        <x:row r="9869"/>
        <x:row r="9870"/>
        <x:row r="9871"/>
        <x:row r="9872"/>
        <x:row r="9873"/>
        <x:row r="9874"/>
        <x:row r="9875"/>
        <x:row r="9876"/>
        <x:row r="9877"/>
        <x:row r="9878"/>
        <x:row r="9879"/>
        <x:row r="9880"/>
        <x:row r="9881"/>
        <x:row r="9882"/>
        <x:row r="9883"/>
        <x:row r="9884"/>
        <x:row r="9885"/>
        <x:row r="9886"/>
        <x:row r="9887"/>
        <x:row r="9888"/>
        <x:row r="9889"/>
        <x:row r="9890"/>
        <x:row r="9891"/>
        <x:row r="9892"/>
        <x:row r="9893"/>
        <x:row r="9894"/>
        <x:row r="9895"/>
        <x:row r="9896"/>
        <x:row r="9897"/>
        <x:row r="9898"/>
        <x:row r="9899"/>
        <x:row r="9900"/>
        <x:row r="9901"/>
        <x:row r="9902"/>
        <x:row r="9903"/>
        <x:row r="9904"/>
        <x:row r="9905"/>
        <x:row r="9906"/>
      </x:sheetData>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support.CapIQPro@spglobal.com" TargetMode="External" /><Relationship Id="rId2" Type="http://schemas.openxmlformats.org/officeDocument/2006/relationships/drawing" Target="../drawings/drawing0.xml"  /><Relationship Id="rId3" Type="http://schemas.openxmlformats.org/officeDocument/2006/relationships/vmlDrawing" Target="../drawings/vmlDrawing1.vml"  /></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  /></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  /></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  /></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  /></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  /></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  /></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  /></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  /></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6"/>
  <x:sheetViews>
    <x:sheetView topLeftCell="A1" zoomScaleNormal="100" zoomScaleSheetLayoutView="75" workbookViewId="0">
      <x:selection activeCell="A1" activeCellId="0" sqref="A1:A1"/>
    </x:sheetView>
  </x:sheetViews>
  <x:sheetFormatPr defaultColWidth="8.88671875" defaultRowHeight="11.25"/>
  <x:sheetData>
    <x:row r="1" spans="1:1">
      <x:c r="A1" s="1" t="s">
        <x:v>693</x:v>
      </x:c>
    </x:row>
    <x:row r="2" spans="1:1">
      <x:c r="A2" s="1" t="s">
        <x:v>2245</x:v>
      </x:c>
    </x:row>
    <x:row r="3" spans="1:1">
      <x:c r="A3" s="1" t="s">
        <x:v>794</x:v>
      </x:c>
    </x:row>
    <x:row r="4" spans="1:1">
      <x:c r="A4" s="1" t="s">
        <x:v>2637</x:v>
      </x:c>
    </x:row>
    <x:row r="5" spans="1:1">
      <x:c r="A5" s="1" t="s">
        <x:v>692</x:v>
      </x:c>
    </x:row>
    <x:row r="6" spans="1:1">
      <x:c r="A6" s="1" t="s">
        <x:v>1316</x:v>
      </x:c>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pageSetUpPr autoPageBreaks="1" fitToPage="1"/>
  </x:sheetPr>
  <x:dimension ref="B2:X117"/>
  <x:sheetViews>
    <x:sheetView showGridLines="0" tabSelected="1" topLeftCell="A1" zoomScaleNormal="100" zoomScaleSheetLayoutView="75" workbookViewId="0">
      <x:selection activeCell="A1" activeCellId="0" sqref="A1:A1"/>
    </x:sheetView>
  </x:sheetViews>
  <x:sheetFormatPr defaultColWidth="8.88671875" defaultRowHeight="10.800000000000001"/>
  <x:cols>
    <x:col min="1" max="1" width="2.1640625" style="1" customWidth="1"/>
    <x:col min="2" max="2" width="41.33203125" style="1" customWidth="1"/>
    <x:col min="3" max="3" width="25.6640625" style="1" hidden="1" customWidth="1" outlineLevel="1"/>
    <x:col min="4" max="4" width="18.6640625" style="1" hidden="1" customWidth="1" outlineLevel="1"/>
    <x:col min="5" max="5" width="17.83203125" style="4" bestFit="1" customWidth="1" collapsed="1"/>
    <x:col min="6" max="8" width="16.33203125" style="1" customWidth="1"/>
    <x:col min="9" max="9" width="19.83203125" style="1" bestFit="1" customWidth="1"/>
    <x:col min="10" max="10" width="16.33203125" style="1" customWidth="1"/>
    <x:col min="11" max="13" width="16.33203125" style="1" hidden="1" customWidth="1" outlineLevel="1"/>
    <x:col min="14" max="14" width="16.33203125" style="1" customWidth="1" collapsed="1"/>
    <x:col min="15" max="16" width="16.33203125" style="1" customWidth="1"/>
    <x:col min="19" max="19" width="9.33203125" style="1" hidden="1" customWidth="1" outlineLevel="1"/>
    <x:col min="20" max="20" width="17.83203125" style="1" hidden="1" customWidth="1" outlineLevel="1"/>
    <x:col min="21" max="21" width="24.33203125" style="1" hidden="1" customWidth="1" outlineLevel="1"/>
    <x:col min="22" max="22" width="8.1640625" style="1" hidden="1" customWidth="1" outlineLevel="1"/>
    <x:col min="23" max="23" width="19.33203125" style="1" hidden="1" customWidth="1" outlineLevel="1"/>
    <x:col min="24" max="24" width="22.1640625" style="1" hidden="1" customWidth="1" outlineLevel="1"/>
    <x:col min="25" max="25" width="16.83203125" style="1" bestFit="1" customWidth="1" collapsed="1"/>
    <x:col min="26" max="26" width="22.1640625" style="1" bestFit="1" customWidth="1"/>
  </x:cols>
  <x:sheetData>
    <x:row r="2" spans="2:19" ht="45" customHeight="1">
      <x:c r="B2" s="6"/>
      <x:c r="C2" s="6"/>
      <x:c r="D2" s="6"/>
      <x:c r="E2" s="26"/>
      <x:c r="F2" s="109" t="s">
        <x:v>2372</x:v>
      </x:c>
      <x:c r="G2" s="6"/>
      <x:c r="H2" s="9"/>
      <x:c r="I2" s="9"/>
      <x:c r="J2" s="6"/>
      <x:c r="K2" s="6"/>
      <x:c r="L2" s="6"/>
      <x:c r="M2" s="6"/>
      <x:c r="N2" s="6"/>
      <x:c r="O2" s="6"/>
      <x:c r="P2" s="6"/>
      <x:c r="Q2" s="6"/>
      <x:c r="R2" s="18"/>
      <x:c r="S2" s="18"/>
    </x:row>
    <x:row r="3" spans="2:13" ht="11.949999999999999">
      <x:c r="B3" s="7" t="s">
        <x:v>1236</x:v>
      </x:c>
      <x:c r="C3" s="7"/>
      <x:c r="H3" s="8" t="s">
        <x:v>1235</x:v>
      </x:c>
      <x:c r="I3" s="8"/>
      <x:c r="J3" s="5"/>
      <x:c r="K3" s="5"/>
      <x:c r="L3" s="5"/>
      <x:c r="M3" s="5"/>
    </x:row>
    <x:row r="4" spans="2:13">
      <x:c r="B4" s="107" t="s">
        <x:v>37</x:v>
      </x:c>
      <x:c r="H4" s="192" t="s">
        <x:v>110</x:v>
      </x:c>
      <x:c r="I4" s="192"/>
      <x:c r="J4" s="5"/>
      <x:c r="K4" s="5"/>
      <x:c r="L4" s="5"/>
      <x:c r="M4" s="5"/>
    </x:row>
    <x:row r="5" spans="2:15">
      <x:c r="B5" s="107" t="s">
        <x:v>96</x:v>
      </x:c>
      <x:c r="H5" s="193" t="s">
        <x:v>1890</x:v>
      </x:c>
      <x:c r="I5" s="228" t="s">
        <x:v>1160</x:v>
      </x:c>
      <x:c r="O5" s="169"/>
    </x:row>
    <x:row r="6" spans="2:15">
      <x:c r="B6" s="107" t="s">
        <x:v>446</x:v>
      </x:c>
      <x:c r="H6" s="108"/>
      <x:c r="I6" s="108"/>
      <x:c r="J6" s="169"/>
      <x:c r="K6" s="169"/>
      <x:c r="L6" s="169"/>
      <x:c r="M6" s="169"/>
      <x:c r="O6" s="169"/>
    </x:row>
    <x:row r="8" spans="2:2" ht="11.949999999999999">
      <x:c r="B8" s="7" t="s">
        <x:v>2083</x:v>
      </x:c>
    </x:row>
    <x:row r="9" spans="2:9" ht="11.949999999999999">
      <x:c r="B9" s="16" t="s">
        <x:v>132</x:v>
      </x:c>
      <x:c r="F9" s="106" t="s">
        <x:v>1102</x:v>
      </x:c>
      <x:c r="H9" s="173" t="s">
        <x:v>1234</x:v>
      </x:c>
      <x:c r="I9" s="173"/>
    </x:row>
    <x:row r="10" spans="2:9" ht="11.25" customHeight="1">
      <x:c r="B10" s="167" t="s">
        <x:v>144</x:v>
      </x:c>
      <x:c r="C10" s="7"/>
      <x:c r="H10" s="174" t="s">
        <x:v>386</x:v>
      </x:c>
      <x:c r="I10" s="174"/>
    </x:row>
    <x:row r="11" spans="2:20">
      <x:c r="B11" s="17" t="s">
        <x:v>348</x:v>
      </x:c>
      <x:c r="F11" s="106" t="s">
        <x:v>813</x:v>
      </x:c>
      <x:c r="H11" s="174" t="s">
        <x:v>426</x:v>
      </x:c>
      <x:c r="I11" s="174"/>
      <x:c r="T11" s="1" t="str">
        <x:f>IF($F$11="FY0","Fiscal Year Ended,","Fiscal Quarter Ended,")</x:f>
        <x:v>Fiscal Year Ended,</x:v>
      </x:c>
    </x:row>
    <x:row r="12" spans="2:9" ht="11.25" customHeight="1">
      <x:c r="B12" s="167" t="s">
        <x:v>1513</x:v>
      </x:c>
      <x:c r="H12" s="174" t="s">
        <x:v>447</x:v>
      </x:c>
      <x:c r="I12" s="174"/>
    </x:row>
    <x:row r="13" spans="2:23" ht="11.25" customHeight="1">
      <x:c r="B13" s="167"/>
      <x:c r="T13" s="184" t="s">
        <x:v>2051</x:v>
      </x:c>
      <x:c r="U13" s="185" t="s">
        <x:v>1891</x:v>
      </x:c>
      <x:c r="V13" s="185" t="s">
        <x:v>1238</x:v>
      </x:c>
      <x:c r="W13" s="186" t="s">
        <x:v>1889</x:v>
      </x:c>
    </x:row>
    <x:row r="14" spans="2:2" ht="3.75" customHeight="1">
      <x:c r="B14" s="167"/>
    </x:row>
    <x:row r="15" spans="2:23" ht="11.25" customHeight="1">
      <x:c r="B15" s="17" t="s">
        <x:v>1161</x:v>
      </x:c>
      <x:c r="F15" s="179">
        <x:v>46059</x:v>
      </x:c>
      <x:c r="T15" s="1" t="s">
        <x:v>1240</x:v>
      </x:c>
      <x:c r="U15" s="1" t="s">
        <x:v>813</x:v>
      </x:c>
      <x:c r="V15" s="1" t="s">
        <x:v>1892</x:v>
      </x:c>
      <x:c r="W15" s="1" t="s">
        <x:v>1893</x:v>
      </x:c>
    </x:row>
    <x:row r="16" spans="2:23" ht="11.25" customHeight="1">
      <x:c r="B16" s="180"/>
      <x:c r="T16" s="1" t="s">
        <x:v>2084</x:v>
      </x:c>
      <x:c r="U16" s="1" t="s">
        <x:v>817</x:v>
      </x:c>
      <x:c r="V16" s="1" t="s">
        <x:v>1901</x:v>
      </x:c>
      <x:c r="W16" s="1" t="s">
        <x:v>1888</x:v>
      </x:c>
    </x:row>
    <x:row r="17" spans="6:22" ht="11.25" customHeight="1">
      <x:c r="F17" s="280" t="s">
        <x:v>1239</x:v>
      </x:c>
      <x:c r="G17" s="280"/>
      <x:c r="H17" s="170" t="s">
        <x:v>1237</x:v>
      </x:c>
      <x:c r="I17" s="170" t="s">
        <x:v>638</x:v>
      </x:c>
      <x:c r="T17" s="1" t="s">
        <x:v>618</x:v>
      </x:c>
      <x:c r="U17" s="1" t="s">
        <x:v>811</x:v>
      </x:c>
      <x:c r="V17" s="1" t="s">
        <x:v>1894</x:v>
      </x:c>
    </x:row>
    <x:row r="18" spans="2:9" ht="11.25" customHeight="1">
      <x:c r="B18" s="17" t="s">
        <x:v>434</x:v>
      </x:c>
      <x:c r="D18" s="4"/>
      <x:c r="F18" s="275" t="s">
        <x:v>1241</x:v>
      </x:c>
      <x:c r="G18" s="276"/>
      <x:c r="H18" s="106" t="s">
        <x:v>1242</x:v>
      </x:c>
      <x:c r="I18" s="106" t="s">
        <x:v>1101</x:v>
      </x:c>
    </x:row>
    <x:row r="19" spans="8:15" ht="11.25" customHeight="1">
      <x:c r="H19" s="3"/>
      <x:c r="I19" s="3"/>
      <x:c r="J19" s="4"/>
      <x:c r="K19" s="4"/>
      <x:c r="L19" s="4"/>
      <x:c r="M19" s="4"/>
      <x:c r="N19" s="4"/>
      <x:c r="O19" s="4"/>
    </x:row>
    <x:row r="20" spans="2:15">
      <x:c r="B20" s="1" t="s">
        <x:v>1162</x:v>
      </x:c>
      <x:c r="H20" s="3"/>
      <x:c r="I20" s="3"/>
      <x:c r="J20" s="4"/>
      <x:c r="K20" s="4"/>
      <x:c r="L20" s="4"/>
      <x:c r="M20" s="4"/>
      <x:c r="N20" s="4"/>
      <x:c r="O20" s="4"/>
    </x:row>
    <x:row r="21" spans="2:17">
      <x:c r="B21" s="19"/>
      <x:c r="C21" s="19"/>
      <x:c r="D21" s="19"/>
      <x:c r="E21" s="21"/>
      <x:c r="F21" s="19"/>
      <x:c r="G21" s="19"/>
      <x:c r="H21" s="20"/>
      <x:c r="I21" s="20"/>
      <x:c r="J21" s="21"/>
      <x:c r="K21" s="21"/>
      <x:c r="L21" s="21"/>
      <x:c r="M21" s="21"/>
      <x:c r="N21" s="21"/>
      <x:c r="O21" s="21"/>
      <x:c r="P21" s="19"/>
      <x:c r="Q21" s="19"/>
    </x:row>
    <x:row r="22" spans="8:15">
      <x:c r="H22" s="3"/>
      <x:c r="I22" s="3"/>
      <x:c r="J22" s="4"/>
      <x:c r="K22" s="4"/>
      <x:c r="L22" s="4"/>
      <x:c r="M22" s="4"/>
      <x:c r="N22" s="4"/>
      <x:c r="O22" s="4"/>
    </x:row>
    <x:row r="23" spans="5:13">
      <x:c r="E23" s="1"/>
      <x:c r="J23" s="175"/>
      <x:c r="K23" s="175"/>
      <x:c r="L23" s="175"/>
      <x:c r="M23" s="175"/>
    </x:row>
    <x:row r="24" spans="8:16" hidden="1" outlineLevel="1">
      <x:c r="H24" s="3"/>
      <x:c r="I24" s="3"/>
      <x:c r="J24" s="4"/>
      <x:c r="K24" s="4"/>
      <x:c r="L24" s="4"/>
      <x:c r="M24" s="4"/>
      <x:c r="N24" s="4"/>
      <x:c r="O24" s="4"/>
      <x:c r="P24" s="4"/>
    </x:row>
    <x:row r="25" spans="2:16" hidden="1" outlineLevel="1">
      <x:c r="B25" s="56" t="s">
        <x:v>1435</x:v>
      </x:c>
      <x:c r="C25" s="56"/>
      <x:c r="D25" s="56"/>
      <x:c r="E25" s="58" t="str">
        <x:f>$F$9</x:f>
        <x:v>NYSE:IBM</x:v>
      </x:c>
      <x:c r="F25" s="58" t="str">
        <x:f t="shared" ref="F25:P25" si="0">$F$9</x:f>
        <x:v>NYSE:IBM</x:v>
      </x:c>
      <x:c r="G25" s="58" t="str">
        <x:f t="shared" si="0"/>
        <x:v>NYSE:IBM</x:v>
      </x:c>
      <x:c r="H25" s="58" t="str">
        <x:f t="shared" si="0"/>
        <x:v>NYSE:IBM</x:v>
      </x:c>
      <x:c r="I25" s="58" t="str">
        <x:f t="shared" si="0"/>
        <x:v>NYSE:IBM</x:v>
      </x:c>
      <x:c r="J25" s="58" t="str">
        <x:f t="shared" si="0"/>
        <x:v>NYSE:IBM</x:v>
      </x:c>
      <x:c r="K25" s="58" t="str">
        <x:f t="shared" si="0"/>
        <x:v>NYSE:IBM</x:v>
      </x:c>
      <x:c r="L25" s="58" t="str">
        <x:f t="shared" si="0"/>
        <x:v>NYSE:IBM</x:v>
      </x:c>
      <x:c r="M25" s="58" t="str">
        <x:f t="shared" si="0"/>
        <x:v>NYSE:IBM</x:v>
      </x:c>
      <x:c r="N25" s="58" t="str">
        <x:f t="shared" si="0"/>
        <x:v>NYSE:IBM</x:v>
      </x:c>
      <x:c r="O25" s="58" t="str">
        <x:f t="shared" si="0"/>
        <x:v>NYSE:IBM</x:v>
      </x:c>
      <x:c r="P25" s="58" t="str">
        <x:f t="shared" si="0"/>
        <x:v>NYSE:IBM</x:v>
      </x:c>
    </x:row>
    <x:row r="26" spans="2:16" hidden="1" outlineLevel="1">
      <x:c r="B26" s="56" t="s">
        <x:v>1435</x:v>
      </x:c>
      <x:c r="C26" s="60"/>
      <x:c r="D26" s="60"/>
      <x:c r="E26" s="58" t="str">
        <x:f t="shared" ref="E26:F26" si="1">LEFT(F26,LEN(F26)-1)&amp;RIGHT(F26,1)+1</x:f>
        <x:v>FY-4</x:v>
      </x:c>
      <x:c r="F26" s="58" t="str">
        <x:f t="shared" si="1"/>
        <x:v>FY-3</x:v>
      </x:c>
      <x:c r="G26" s="58" t="str">
        <x:f>LEFT(H26,LEN(H26)-1)&amp;RIGHT(H26,1)+1</x:f>
        <x:v>FY-2</x:v>
      </x:c>
      <x:c r="H26" s="58" t="str">
        <x:f>VLOOKUP($F$11,FormatTable,2,FALSE)</x:f>
        <x:v>FY-1</x:v>
      </x:c>
      <x:c r="I26" s="58" t="str">
        <x:f>$F$11</x:f>
        <x:v>FY0</x:v>
      </x:c>
      <x:c r="J26" s="58" t="s">
        <x:v>811</x:v>
      </x:c>
      <x:c r="K26" s="58" t="str">
        <x:f>IF($F$11="LTM","FY0",IF(MID($F$11,2,1)="Q",LEFT($F$11,1)&amp;"Q-3",$F$11))</x:f>
        <x:v>FY0</x:v>
      </x:c>
      <x:c r="L26" s="58" t="str">
        <x:f>IF(K26="FY0","",LEFT(K26,3)&amp;RIGHT(K26,1)-1)</x:f>
        <x:v/>
      </x:c>
      <x:c r="M26" s="58" t="str">
        <x:f>IF(K26="FY0","",LEFT(L26,3)&amp;RIGHT(L26,1)-1)</x:f>
        <x:v/>
      </x:c>
      <x:c r="N26" s="58" t="str">
        <x:f>IF($F$11="LTM","FY+1",VLOOKUP($F$11,FormatTable,3,FALSE))</x:f>
        <x:v>FY+1</x:v>
      </x:c>
      <x:c r="O26" s="58" t="str">
        <x:f>LEFT(N26,3)&amp;RIGHT(N26,1)+1</x:f>
        <x:v>FY+2</x:v>
      </x:c>
      <x:c r="P26" s="58" t="str">
        <x:f>LEFT(O26,3)&amp;RIGHT(O26,1)+1</x:f>
        <x:v>FY+3</x:v>
      </x:c>
    </x:row>
    <x:row r="27" spans="3:16" hidden="1" outlineLevel="1">
      <x:c r="C27" s="60"/>
      <x:c r="D27" s="60"/>
      <x:c r="E27" s="181">
        <x:f>IF($F$15="","",$F$15)</x:f>
        <x:v>46059</x:v>
      </x:c>
      <x:c r="F27" s="181">
        <x:f t="shared" ref="F27:P27" si="2">IF($F$15="","",$F$15)</x:f>
        <x:v>46059</x:v>
      </x:c>
      <x:c r="G27" s="181">
        <x:f t="shared" si="2"/>
        <x:v>46059</x:v>
      </x:c>
      <x:c r="H27" s="181">
        <x:f t="shared" si="2"/>
        <x:v>46059</x:v>
      </x:c>
      <x:c r="I27" s="181">
        <x:f t="shared" si="2"/>
        <x:v>46059</x:v>
      </x:c>
      <x:c r="J27" s="181">
        <x:f t="shared" si="2"/>
        <x:v>46059</x:v>
      </x:c>
      <x:c r="K27" s="181">
        <x:f t="shared" si="2"/>
        <x:v>46059</x:v>
      </x:c>
      <x:c r="L27" s="181">
        <x:f t="shared" si="2"/>
        <x:v>46059</x:v>
      </x:c>
      <x:c r="M27" s="181">
        <x:f t="shared" si="2"/>
        <x:v>46059</x:v>
      </x:c>
      <x:c r="N27" s="181">
        <x:f t="shared" si="2"/>
        <x:v>46059</x:v>
      </x:c>
      <x:c r="O27" s="181">
        <x:f t="shared" si="2"/>
        <x:v>46059</x:v>
      </x:c>
      <x:c r="P27" s="181">
        <x:f t="shared" si="2"/>
        <x:v>46059</x:v>
      </x:c>
    </x:row>
    <x:row r="28" spans="3:16" ht="11.25" hidden="1" customHeight="1" outlineLevel="1">
      <x:c r="C28" s="60" t="s">
        <x:v>2085</x:v>
      </x:c>
      <x:c r="D28" s="60" t="s">
        <x:v>2080</x:v>
      </x:c>
      <x:c r="E28" s="23">
        <x:v>44561</x:v>
      </x:c>
      <x:c r="F28" s="23">
        <x:v>44926</x:v>
      </x:c>
      <x:c r="G28" s="23">
        <x:v>45291</x:v>
      </x:c>
      <x:c r="H28" s="23">
        <x:v>45657</x:v>
      </x:c>
      <x:c r="I28" s="23">
        <x:v>46022</x:v>
      </x:c>
      <x:c r="J28" s="23">
        <x:v>46022</x:v>
      </x:c>
      <x:c r="K28" s="23"/>
      <x:c r="L28" s="23"/>
      <x:c r="M28" s="23"/>
      <x:c r="N28" s="23">
        <x:v>46387</x:v>
      </x:c>
      <x:c r="O28" s="23">
        <x:v>46752</x:v>
      </x:c>
      <x:c r="P28" s="23">
        <x:v>47118</x:v>
      </x:c>
    </x:row>
    <x:row r="29" spans="3:17" ht="11.25" customHeight="1" collapsed="1">
      <x:c r="C29" s="60"/>
      <x:c r="D29" s="60"/>
      <x:c r="E29" s="262" t="str">
        <x:f>$T$11</x:f>
        <x:v>Fiscal Year Ended,</x:v>
      </x:c>
      <x:c r="F29" s="261"/>
      <x:c r="G29" s="261"/>
      <x:c r="H29" s="261"/>
      <x:c r="I29" s="261"/>
      <x:c r="J29" s="15"/>
      <x:c r="K29" s="15"/>
      <x:c r="N29" s="22"/>
      <x:c r="O29" s="22"/>
      <x:c r="P29" s="195" t="s">
        <x:v>1558</x:v>
      </x:c>
      <x:c r="Q29" s="4"/>
    </x:row>
    <x:row r="30" spans="2:16" ht="15" customHeight="1">
      <x:c r="B30" s="105" t="s">
        <x:v>2078</x:v>
      </x:c>
      <x:c r="C30" s="60"/>
      <x:c r="D30" s="60"/>
      <x:c r="E30" s="277" t="s">
        <x:v>1887</x:v>
      </x:c>
      <x:c r="F30" s="278"/>
      <x:c r="G30" s="278"/>
      <x:c r="H30" s="278"/>
      <x:c r="I30" s="278"/>
      <x:c r="J30" s="231" t="s">
        <x:v>811</x:v>
      </x:c>
      <x:c r="K30" s="227"/>
      <x:c r="L30" s="187"/>
      <x:c r="M30" s="187"/>
      <x:c r="N30" s="277" t="s">
        <x:v>1246</x:v>
      </x:c>
      <x:c r="O30" s="278"/>
      <x:c r="P30" s="279"/>
    </x:row>
    <x:row r="31" spans="2:16" ht="18.75" customHeight="1">
      <x:c r="B31" s="28" t="s">
        <x:v>2079</x:v>
      </x:c>
      <x:c r="C31" s="60"/>
      <x:c r="D31" s="60"/>
      <x:c r="E31" s="43">
        <x:f t="shared" ref="E31:J31" si="3">IF(E28="","",E28)</x:f>
        <x:v>44561</x:v>
      </x:c>
      <x:c r="F31" s="43">
        <x:f t="shared" si="3"/>
        <x:v>44926</x:v>
      </x:c>
      <x:c r="G31" s="43">
        <x:f t="shared" si="3"/>
        <x:v>45291</x:v>
      </x:c>
      <x:c r="H31" s="43">
        <x:f t="shared" si="3"/>
        <x:v>45657</x:v>
      </x:c>
      <x:c r="I31" s="43">
        <x:f t="shared" si="3"/>
        <x:v>46022</x:v>
      </x:c>
      <x:c r="J31" s="43">
        <x:f t="shared" si="3"/>
        <x:v>46022</x:v>
      </x:c>
      <x:c r="K31" s="43"/>
      <x:c r="L31" s="43"/>
      <x:c r="M31" s="43"/>
      <x:c r="N31" s="43">
        <x:f>IF(N28="","",N28)</x:f>
        <x:v>46387</x:v>
      </x:c>
      <x:c r="O31" s="43">
        <x:f>IF(O28="","",O28)</x:f>
        <x:v>46752</x:v>
      </x:c>
      <x:c r="P31" s="43">
        <x:f>IF(P28="","",P28)</x:f>
        <x:v>47118</x:v>
      </x:c>
    </x:row>
    <x:row r="32" spans="3:16" ht="11.25" customHeight="1">
      <x:c r="C32" s="60"/>
      <x:c r="D32" s="60"/>
      <x:c r="E32" s="15"/>
      <x:c r="F32" s="15"/>
      <x:c r="G32" s="15"/>
      <x:c r="H32" s="15"/>
      <x:c r="I32" s="15"/>
      <x:c r="J32" s="15"/>
      <x:c r="K32" s="15"/>
      <x:c r="N32" s="22"/>
      <x:c r="O32" s="22"/>
      <x:c r="P32" s="22"/>
    </x:row>
    <x:row r="33" spans="2:16" ht="11.25" customHeight="1">
      <x:c r="B33" s="2" t="s">
        <x:v>2086</x:v>
      </x:c>
      <x:c r="C33" s="60" t="s">
        <x:v>2077</x:v>
      </x:c>
      <x:c r="D33" s="60" t="s">
        <x:v>1244</x:v>
      </x:c>
      <x:c r="E33" s="80">
        <x:v>57351</x:v>
      </x:c>
      <x:c r="F33" s="80">
        <x:v>60530</x:v>
      </x:c>
      <x:c r="G33" s="80">
        <x:v>61860</x:v>
      </x:c>
      <x:c r="H33" s="80">
        <x:v>62753</x:v>
      </x:c>
      <x:c r="I33" s="80">
        <x:v>67535</x:v>
      </x:c>
      <x:c r="J33" s="80">
        <x:v>67535</x:v>
      </x:c>
      <x:c r="K33" s="80"/>
      <x:c r="L33" s="80"/>
      <x:c r="M33" s="80"/>
      <x:c r="N33" s="80">
        <x:v>71183.311590000012</x:v>
      </x:c>
      <x:c r="O33" s="80">
        <x:v>74255.148920000007</x:v>
      </x:c>
      <x:c r="P33" s="80">
        <x:v>78520.452040000004</x:v>
      </x:c>
    </x:row>
    <x:row r="34" spans="2:16" ht="11.25" customHeight="1">
      <x:c r="B34" s="1" t="s">
        <x:v>737</x:v>
      </x:c>
      <x:c r="C34" s="60" t="s">
        <x:v>1546</x:v>
      </x:c>
      <x:c r="D34" s="60"/>
      <x:c r="E34" s="44">
        <x:v>3.9359999999999999</x:v>
      </x:c>
      <x:c r="F34" s="44">
        <x:v>5.5430000000000001</x:v>
      </x:c>
      <x:c r="G34" s="44">
        <x:v>2.1970000000000001</x:v>
      </x:c>
      <x:c r="H34" s="44">
        <x:v>1.444</x:v>
      </x:c>
      <x:c r="I34" s="44">
        <x:v>7.6200000000000001</x:v>
      </x:c>
      <x:c r="J34" s="44">
        <x:v>7.6200000000000001</x:v>
      </x:c>
      <x:c r="K34" s="44"/>
      <x:c r="L34" s="44"/>
      <x:c r="M34" s="44"/>
      <x:c r="N34" s="96" t="str">
        <x:f>IFERROR((N33/K33-1)*100,"-")</x:f>
        <x:v>-</x:v>
      </x:c>
      <x:c r="O34" s="96">
        <x:f>IFERROR(IF($L$26="",(O33/N33-1)*100,(O33/L33-1)*100),"-")</x:f>
        <x:v>4.3153897470984415</x:v>
      </x:c>
      <x:c r="P34" s="96">
        <x:f>IFERROR(IF($M$26="",(P33/O33-1)*100,(P33/M33-1)*100),"-")</x:f>
        <x:v>5.7441176565348862</x:v>
      </x:c>
    </x:row>
    <x:row r="35" spans="3:16" ht="11.25" customHeight="1">
      <x:c r="C35" s="60"/>
      <x:c r="D35" s="60"/>
      <x:c r="E35" s="15"/>
      <x:c r="F35" s="15"/>
      <x:c r="G35" s="15"/>
      <x:c r="H35" s="15"/>
      <x:c r="I35" s="15"/>
      <x:c r="J35" s="15"/>
      <x:c r="K35" s="15"/>
      <x:c r="L35" s="4"/>
      <x:c r="M35" s="4"/>
      <x:c r="N35" s="4"/>
      <x:c r="O35" s="4"/>
      <x:c r="P35" s="4"/>
    </x:row>
    <x:row r="36" spans="2:16" ht="11.25" customHeight="1">
      <x:c r="B36" s="2" t="s">
        <x:v>2082</x:v>
      </x:c>
      <x:c r="C36" s="60" t="s">
        <x:v>1899</x:v>
      </x:c>
      <x:c r="D36" s="60"/>
      <x:c r="E36" s="80">
        <x:v>31486</x:v>
      </x:c>
      <x:c r="F36" s="80">
        <x:v>32688</x:v>
      </x:c>
      <x:c r="G36" s="80">
        <x:v>34300</x:v>
      </x:c>
      <x:c r="H36" s="80">
        <x:v>35552</x:v>
      </x:c>
      <x:c r="I36" s="80">
        <x:v>39297</x:v>
      </x:c>
      <x:c r="J36" s="80">
        <x:v>39297</x:v>
      </x:c>
      <x:c r="K36" s="80"/>
      <x:c r="L36" s="80"/>
      <x:c r="M36" s="80"/>
      <x:c r="N36" s="80">
        <x:f>IFERROR((N33*N37)/100,"-")</x:f>
        <x:v>42803.400813799562</x:v>
      </x:c>
      <x:c r="O36" s="80">
        <x:f>IFERROR((O33*O37)/100,"-")</x:f>
        <x:v>44966.579148761026</x:v>
      </x:c>
      <x:c r="P36" s="80">
        <x:f>IFERROR((P33*P37)/100,"-")</x:f>
        <x:v>47873.974573104431</x:v>
      </x:c>
    </x:row>
    <x:row r="37" spans="2:16" ht="11.25" customHeight="1">
      <x:c r="B37" s="1" t="s">
        <x:v>1247</x:v>
      </x:c>
      <x:c r="C37" s="60"/>
      <x:c r="D37" s="60" t="s">
        <x:v>645</x:v>
      </x:c>
      <x:c r="E37" s="96">
        <x:f t="shared" ref="E37:J37" si="4">IFERROR((E36/E33)*100,"-")</x:f>
        <x:v>54.900524838276574</x:v>
      </x:c>
      <x:c r="F37" s="96">
        <x:f t="shared" si="4"/>
        <x:v>54.002973732033702</x:v>
      </x:c>
      <x:c r="G37" s="44">
        <x:f t="shared" si="4"/>
        <x:v>55.447785321694141</x:v>
      </x:c>
      <x:c r="H37" s="44">
        <x:f t="shared" si="4"/>
        <x:v>56.653865153857183</x:v>
      </x:c>
      <x:c r="I37" s="44">
        <x:f t="shared" si="4"/>
        <x:v>58.187606426297478</x:v>
      </x:c>
      <x:c r="J37" s="44">
        <x:f t="shared" si="4"/>
        <x:v>58.187606426297478</x:v>
      </x:c>
      <x:c r="K37" s="44"/>
      <x:c r="L37" s="44"/>
      <x:c r="M37" s="44"/>
      <x:c r="N37" s="44">
        <x:v>60.131230000000002</x:v>
      </x:c>
      <x:c r="O37" s="44">
        <x:v>60.556849999999997</x:v>
      </x:c>
      <x:c r="P37" s="44">
        <x:v>60.97007</x:v>
      </x:c>
    </x:row>
    <x:row r="38" spans="3:16" ht="11.25" customHeight="1">
      <x:c r="C38" s="60"/>
      <x:c r="D38" s="60"/>
      <x:c r="F38" s="4"/>
      <x:c r="G38" s="4"/>
      <x:c r="H38" s="4"/>
      <x:c r="I38" s="4"/>
      <x:c r="J38" s="4"/>
      <x:c r="K38" s="4"/>
      <x:c r="L38" s="4"/>
      <x:c r="M38" s="4"/>
      <x:c r="N38" s="4"/>
      <x:c r="O38" s="4"/>
      <x:c r="P38" s="4"/>
    </x:row>
    <x:row r="39" spans="2:16" ht="11.25" customHeight="1">
      <x:c r="B39" s="2" t="s">
        <x:v>1902</x:v>
      </x:c>
      <x:c r="C39" s="60" t="s">
        <x:v>1245</x:v>
      </x:c>
      <x:c r="D39" s="60" t="s">
        <x:v>2081</x:v>
      </x:c>
      <x:c r="E39" s="80">
        <x:v>11309</x:v>
      </x:c>
      <x:c r="F39" s="80">
        <x:v>10775</x:v>
      </x:c>
      <x:c r="G39" s="80">
        <x:v>12739</x:v>
      </x:c>
      <x:c r="H39" s="80">
        <x:v>12886</x:v>
      </x:c>
      <x:c r="I39" s="80">
        <x:v>16778</x:v>
      </x:c>
      <x:c r="J39" s="80">
        <x:v>16778</x:v>
      </x:c>
      <x:c r="K39" s="80"/>
      <x:c r="L39" s="80"/>
      <x:c r="M39" s="80"/>
      <x:c r="N39" s="80">
        <x:v>20021.773129999998</x:v>
      </x:c>
      <x:c r="O39" s="80">
        <x:v>21757.95232</x:v>
      </x:c>
      <x:c r="P39" s="80">
        <x:v>23077.191780000001</x:v>
      </x:c>
    </x:row>
    <x:row r="40" spans="2:16" ht="11.25" customHeight="1">
      <x:c r="B40" s="1" t="s">
        <x:v>1247</x:v>
      </x:c>
      <x:c r="C40" s="60"/>
      <x:c r="D40" s="60"/>
      <x:c r="E40" s="96">
        <x:f t="shared" ref="E40:J40" si="5">IFERROR((E39/E33)*100,"-")</x:f>
        <x:v>19.718923819985701</x:v>
      </x:c>
      <x:c r="F40" s="96">
        <x:f t="shared" si="5"/>
        <x:v>17.801090368412357</x:v>
      </x:c>
      <x:c r="G40" s="44">
        <x:f t="shared" si="5"/>
        <x:v>20.593275137407048</x:v>
      </x:c>
      <x:c r="H40" s="44">
        <x:f t="shared" si="5"/>
        <x:v>20.534476439373417</x:v>
      </x:c>
      <x:c r="I40" s="44">
        <x:f t="shared" si="5"/>
        <x:v>24.843414525801435</x:v>
      </x:c>
      <x:c r="J40" s="44">
        <x:f t="shared" si="5"/>
        <x:v>24.843414525801435</x:v>
      </x:c>
      <x:c r="K40" s="44"/>
      <x:c r="L40" s="44"/>
      <x:c r="M40" s="44"/>
      <x:c r="N40" s="44">
        <x:f>IFERROR((N39/N33)*100,"-")</x:f>
        <x:v>28.127060518511616</x:v>
      </x:c>
      <x:c r="O40" s="44">
        <x:f>IFERROR((O39/O33)*100,"-")</x:f>
        <x:v>29.301607547028535</x:v>
      </x:c>
      <x:c r="P40" s="44">
        <x:f>IFERROR((P39/P33)*100,"-")</x:f>
        <x:v>29.390039385208816</x:v>
      </x:c>
    </x:row>
    <x:row r="41" spans="3:16" ht="11.25" customHeight="1">
      <x:c r="C41" s="60"/>
      <x:c r="D41" s="60"/>
      <x:c r="F41" s="4"/>
      <x:c r="G41" s="4"/>
      <x:c r="H41" s="4"/>
      <x:c r="I41" s="4"/>
      <x:c r="J41" s="4"/>
      <x:c r="K41" s="4"/>
      <x:c r="L41" s="4"/>
      <x:c r="M41" s="4"/>
      <x:c r="N41" s="4"/>
      <x:c r="O41" s="4"/>
      <x:c r="P41" s="4"/>
    </x:row>
    <x:row r="42" spans="2:16" ht="11.25" customHeight="1">
      <x:c r="B42" s="2" t="s">
        <x:v>1895</x:v>
      </x:c>
      <x:c r="C42" s="60" t="s">
        <x:v>1896</x:v>
      </x:c>
      <x:c r="D42" s="60" t="s">
        <x:v>1243</x:v>
      </x:c>
      <x:c r="E42" s="80">
        <x:v>5583</x:v>
      </x:c>
      <x:c r="F42" s="80">
        <x:v>7521</x:v>
      </x:c>
      <x:c r="G42" s="80">
        <x:v>9903</x:v>
      </x:c>
      <x:c r="H42" s="80">
        <x:v>9788</x:v>
      </x:c>
      <x:c r="I42" s="80">
        <x:v>11757</x:v>
      </x:c>
      <x:c r="J42" s="80">
        <x:v>11757</x:v>
      </x:c>
      <x:c r="K42" s="80"/>
      <x:c r="L42" s="80"/>
      <x:c r="M42" s="80"/>
      <x:c r="N42" s="80">
        <x:v>14570.78297</x:v>
      </x:c>
      <x:c r="O42" s="80">
        <x:v>15780.738429999999</x:v>
      </x:c>
      <x:c r="P42" s="80">
        <x:v>17466.89127</x:v>
      </x:c>
    </x:row>
    <x:row r="43" spans="2:16" ht="11.25" customHeight="1">
      <x:c r="B43" s="1" t="s">
        <x:v>1247</x:v>
      </x:c>
      <x:c r="C43" s="60"/>
      <x:c r="D43" s="60"/>
      <x:c r="E43" s="44">
        <x:f t="shared" ref="E43:J43" si="6">IFERROR((E42/E33)*100,"-")</x:f>
        <x:v>9.7347910236961859</x:v>
      </x:c>
      <x:c r="F43" s="44">
        <x:f t="shared" si="6"/>
        <x:v>12.425243680819428</x:v>
      </x:c>
      <x:c r="G43" s="44">
        <x:f t="shared" si="6"/>
        <x:v>16.008729388942776</x:v>
      </x:c>
      <x:c r="H43" s="44">
        <x:f t="shared" si="6"/>
        <x:v>15.59766066960942</x:v>
      </x:c>
      <x:c r="I43" s="44">
        <x:f t="shared" si="6"/>
        <x:v>17.408751017990671</x:v>
      </x:c>
      <x:c r="J43" s="44">
        <x:f t="shared" si="6"/>
        <x:v>17.408751017990671</x:v>
      </x:c>
      <x:c r="K43" s="44"/>
      <x:c r="L43" s="44"/>
      <x:c r="M43" s="44"/>
      <x:c r="N43" s="44">
        <x:f>IFERROR((N42/N33)*100,"-")</x:f>
        <x:v>20.469380595727912</x:v>
      </x:c>
      <x:c r="O43" s="44">
        <x:f>IFERROR((O42/O33)*100,"-")</x:f>
        <x:v>21.252046032527165</x:v>
      </x:c>
      <x:c r="P43" s="44">
        <x:f>IFERROR((P42/P33)*100,"-")</x:f>
        <x:v>22.245021285794419</x:v>
      </x:c>
    </x:row>
    <x:row r="44" spans="3:16" ht="11.25" customHeight="1">
      <x:c r="C44" s="60"/>
      <x:c r="D44" s="60"/>
      <x:c r="F44" s="4"/>
      <x:c r="G44" s="4"/>
      <x:c r="H44" s="4"/>
      <x:c r="I44" s="4"/>
      <x:c r="J44" s="4"/>
      <x:c r="K44" s="4"/>
      <x:c r="L44" s="4"/>
      <x:c r="M44" s="4"/>
      <x:c r="N44" s="4"/>
      <x:c r="O44" s="4"/>
      <x:c r="P44" s="4"/>
    </x:row>
    <x:row r="45" spans="2:16" ht="11.25" customHeight="1">
      <x:c r="B45" s="2" t="s">
        <x:v>1551</x:v>
      </x:c>
      <x:c r="C45" s="60" t="s">
        <x:v>2394</x:v>
      </x:c>
      <x:c r="D45" s="60"/>
      <x:c r="E45" s="80">
        <x:v>4713</x:v>
      </x:c>
      <x:c r="F45" s="80">
        <x:v>1782</x:v>
      </x:c>
      <x:c r="G45" s="80">
        <x:v>7514</x:v>
      </x:c>
      <x:c r="H45" s="80">
        <x:v>6015</x:v>
      </x:c>
      <x:c r="I45" s="80">
        <x:v>10571</x:v>
      </x:c>
      <x:c r="J45" s="80">
        <x:v>10571</x:v>
      </x:c>
      <x:c r="K45" s="80"/>
      <x:c r="L45" s="80"/>
      <x:c r="M45" s="80"/>
      <x:c r="N45" s="80"/>
      <x:c r="O45" s="80"/>
      <x:c r="P45" s="80"/>
    </x:row>
    <x:row r="46" spans="2:16" ht="11.25" customHeight="1">
      <x:c r="B46" s="1" t="s">
        <x:v>1247</x:v>
      </x:c>
      <x:c r="C46" s="60"/>
      <x:c r="D46" s="60"/>
      <x:c r="E46" s="44">
        <x:f t="shared" ref="E46:J46" si="7">IFERROR((E45/E33)*100,"-")</x:f>
        <x:v>8.2178166030234863</x:v>
      </x:c>
      <x:c r="F46" s="44">
        <x:f t="shared" si="7"/>
        <x:v>2.9439947133652735</x:v>
      </x:c>
      <x:c r="G46" s="44">
        <x:f t="shared" si="7"/>
        <x:v>12.146783058519237</x:v>
      </x:c>
      <x:c r="H46" s="44">
        <x:f t="shared" si="7"/>
        <x:v>9.5851991139865831</x:v>
      </x:c>
      <x:c r="I46" s="44">
        <x:f t="shared" si="7"/>
        <x:v>15.652624565040348</x:v>
      </x:c>
      <x:c r="J46" s="44">
        <x:f t="shared" si="7"/>
        <x:v>15.652624565040348</x:v>
      </x:c>
      <x:c r="K46" s="44"/>
      <x:c r="L46" s="44"/>
      <x:c r="M46" s="44"/>
      <x:c r="N46" s="24"/>
      <x:c r="O46" s="24"/>
      <x:c r="P46" s="24"/>
    </x:row>
    <x:row r="47" spans="3:16" ht="11.25" customHeight="1">
      <x:c r="C47" s="60"/>
      <x:c r="D47" s="60"/>
      <x:c r="F47" s="4"/>
      <x:c r="G47" s="4"/>
      <x:c r="H47" s="4"/>
      <x:c r="I47" s="4"/>
      <x:c r="J47" s="4"/>
      <x:c r="K47" s="4"/>
      <x:c r="L47" s="4"/>
      <x:c r="M47" s="4"/>
      <x:c r="N47" s="4"/>
      <x:c r="O47" s="4"/>
      <x:c r="P47" s="4"/>
    </x:row>
    <x:row r="48" spans="2:16" ht="11.25" customHeight="1">
      <x:c r="B48" s="2" t="s">
        <x:v>1251</x:v>
      </x:c>
      <x:c r="C48" s="60" t="s">
        <x:v>1250</x:v>
      </x:c>
      <x:c r="D48" s="60" t="s">
        <x:v>1248</x:v>
      </x:c>
      <x:c r="E48" s="80">
        <x:v>5743</x:v>
      </x:c>
      <x:c r="F48" s="80">
        <x:v>1639</x:v>
      </x:c>
      <x:c r="G48" s="80">
        <x:v>7502</x:v>
      </x:c>
      <x:c r="H48" s="80">
        <x:v>6023</x:v>
      </x:c>
      <x:c r="I48" s="80">
        <x:v>10593</x:v>
      </x:c>
      <x:c r="J48" s="80">
        <x:v>10593</x:v>
      </x:c>
      <x:c r="K48" s="80"/>
      <x:c r="L48" s="80"/>
      <x:c r="M48" s="80"/>
      <x:c r="N48" s="80">
        <x:v>11882.818509999999</x:v>
      </x:c>
      <x:c r="O48" s="80">
        <x:v>13011.74979</x:v>
      </x:c>
      <x:c r="P48" s="80">
        <x:v>14167.435810000001</x:v>
      </x:c>
    </x:row>
    <x:row r="49" spans="2:16" ht="11.25" customHeight="1">
      <x:c r="B49" s="1" t="s">
        <x:v>1247</x:v>
      </x:c>
      <x:c r="C49" s="60"/>
      <x:c r="D49" s="60"/>
      <x:c r="E49" s="44">
        <x:f t="shared" ref="E49:J49" si="8">IFERROR((E48/E33)*100,"-")</x:f>
        <x:v>10.013774825199212</x:v>
      </x:c>
      <x:c r="F49" s="44">
        <x:f t="shared" si="8"/>
        <x:v>2.7077482240211466</x:v>
      </x:c>
      <x:c r="G49" s="44">
        <x:f t="shared" si="8"/>
        <x:v>12.127384416424183</x:v>
      </x:c>
      <x:c r="H49" s="44">
        <x:f t="shared" si="8"/>
        <x:v>9.5979475084856514</x:v>
      </x:c>
      <x:c r="I49" s="44">
        <x:f t="shared" si="8"/>
        <x:v>15.685200266528469</x:v>
      </x:c>
      <x:c r="J49" s="44">
        <x:f t="shared" si="8"/>
        <x:v>15.685200266528469</x:v>
      </x:c>
      <x:c r="K49" s="44"/>
      <x:c r="L49" s="44"/>
      <x:c r="M49" s="44"/>
      <x:c r="N49" s="44">
        <x:f>IFERROR((N48/N33)*100,"-")</x:f>
        <x:v>16.693264537118448</x:v>
      </x:c>
      <x:c r="O49" s="44">
        <x:f>IFERROR((O48/O33)*100,"-")</x:f>
        <x:v>17.523026994422192</x:v>
      </x:c>
      <x:c r="P49" s="44">
        <x:f>IFERROR((P48/P33)*100,"-")</x:f>
        <x:v>18.042988090265712</x:v>
      </x:c>
    </x:row>
    <x:row r="50" spans="3:16" ht="11.25" customHeight="1">
      <x:c r="C50" s="60"/>
      <x:c r="D50" s="60"/>
      <x:c r="F50" s="4"/>
      <x:c r="G50" s="4"/>
      <x:c r="H50" s="4"/>
      <x:c r="I50" s="4"/>
      <x:c r="J50" s="4"/>
      <x:c r="K50" s="4"/>
      <x:c r="L50" s="4"/>
      <x:c r="M50" s="4"/>
      <x:c r="N50" s="4"/>
      <x:c r="O50" s="4"/>
      <x:c r="P50" s="4"/>
    </x:row>
    <x:row r="51" spans="2:16" ht="11.25" customHeight="1">
      <x:c r="B51" s="2" t="s">
        <x:v>1163</x:v>
      </x:c>
      <x:c r="C51" s="60" t="s">
        <x:v>1549</x:v>
      </x:c>
      <x:c r="D51" s="60" t="s">
        <x:v>1249</x:v>
      </x:c>
      <x:c r="E51" s="44">
        <x:v>5.21</x:v>
      </x:c>
      <x:c r="F51" s="44">
        <x:v>1.95</x:v>
      </x:c>
      <x:c r="G51" s="44">
        <x:v>8.1500000000000004</x:v>
      </x:c>
      <x:c r="H51" s="44">
        <x:v>6.4199999999999999</x:v>
      </x:c>
      <x:c r="I51" s="44">
        <x:v>11.140000000000001</x:v>
      </x:c>
      <x:c r="J51" s="44">
        <x:v>11.140000000000001</x:v>
      </x:c>
      <x:c r="K51" s="44"/>
      <x:c r="L51" s="44"/>
      <x:c r="M51" s="44"/>
      <x:c r="N51" s="44">
        <x:v>12.414249999999999</x:v>
      </x:c>
      <x:c r="O51" s="44">
        <x:v>13.41699</x:v>
      </x:c>
      <x:c r="P51" s="44">
        <x:v>14.74635</x:v>
      </x:c>
    </x:row>
    <x:row r="52" spans="2:16" ht="11.25" customHeight="1">
      <x:c r="B52" s="1" t="s">
        <x:v>118</x:v>
      </x:c>
      <x:c r="C52" s="60" t="s">
        <x:v>2392</x:v>
      </x:c>
      <x:c r="D52" s="60"/>
      <x:c r="E52" s="44">
        <x:v>18.856999999999999</x:v>
      </x:c>
      <x:c r="F52" s="44">
        <x:v>-62.572000000000003</x:v>
      </x:c>
      <x:c r="G52" s="44" t="s">
        <x:v>821</x:v>
      </x:c>
      <x:c r="H52" s="44">
        <x:v>-21.227</x:v>
      </x:c>
      <x:c r="I52" s="44">
        <x:v>73.519999999999996</x:v>
      </x:c>
      <x:c r="J52" s="44">
        <x:v>73.519999999999996</x:v>
      </x:c>
      <x:c r="K52" s="44"/>
      <x:c r="L52" s="44"/>
      <x:c r="M52" s="44"/>
      <x:c r="N52" s="44" t="str">
        <x:f>IFERROR((N51/K51-1)*100,"-")</x:f>
        <x:v>-</x:v>
      </x:c>
      <x:c r="O52" s="44">
        <x:f>IFERROR(IF($L$26="",(O51/N51-1)*100,(O51/L51-1)*100),"-")</x:f>
        <x:v>8.0773304871418095</x:v>
      </x:c>
      <x:c r="P52" s="44">
        <x:f>IFERROR(IF($M$26="",(P51/O51-1)*100,(P51/M51-1)*100),"-")</x:f>
        <x:v>9.9080345144477278</x:v>
      </x:c>
    </x:row>
    <x:row r="53" spans="3:4">
      <x:c r="C53" s="60"/>
      <x:c r="D53" s="60"/>
    </x:row>
    <x:row r="54" spans="3:4" hidden="1" outlineLevel="1">
      <x:c r="C54" s="60"/>
      <x:c r="D54" s="60"/>
    </x:row>
    <x:row r="55" spans="2:5" hidden="1" outlineLevel="1">
      <x:c r="B55" s="56"/>
      <x:c r="C55" s="60"/>
      <x:c r="D55" s="60"/>
      <x:c r="E55" s="110"/>
    </x:row>
    <x:row r="56" spans="2:5" collapsed="1">
      <x:c r="B56" s="139" t="s">
        <x:v>2089</x:v>
      </x:c>
      <x:c r="C56" s="140"/>
      <x:c r="D56" s="140"/>
      <x:c r="E56" s="21"/>
    </x:row>
    <x:row r="57" spans="2:9">
      <x:c r="B57" s="3" t="s">
        <x:v>2106</x:v>
      </x:c>
      <x:c r="C57" s="60"/>
      <x:c r="D57" s="171"/>
      <x:c r="E57" s="102">
        <x:v>289.88999999999999</x:v>
      </x:c>
      <x:c r="F57" s="4"/>
      <x:c r="G57" s="172"/>
      <x:c r="H57" s="172"/>
      <x:c r="I57" s="172"/>
    </x:row>
    <x:row r="58" spans="2:7">
      <x:c r="B58" s="3" t="s">
        <x:v>2400</x:v>
      </x:c>
      <x:c r="C58" s="60"/>
      <x:c r="D58" s="171"/>
      <x:c r="E58" s="29">
        <x:v>934735206</x:v>
      </x:c>
      <x:c r="F58" s="4"/>
      <x:c r="G58" s="4"/>
    </x:row>
    <x:row r="59" spans="2:7">
      <x:c r="B59" s="25" t="s">
        <x:v>2091</x:v>
      </x:c>
      <x:c r="C59" s="60"/>
      <x:c r="D59" s="60"/>
      <x:c r="E59" s="141">
        <x:f>IFERROR('Pension-OPEB'!$AB$103,"-")</x:f>
        <x:v>1000000</x:v>
      </x:c>
      <x:c r="G59" s="4"/>
    </x:row>
    <x:row r="60" spans="2:7">
      <x:c r="B60" s="14" t="s">
        <x:v>2389</x:v>
      </x:c>
      <x:c r="C60" s="60"/>
      <x:c r="D60" s="60"/>
      <x:c r="E60" s="97">
        <x:f>IFERROR(E57*(E58/E59),"NA")</x:f>
        <x:v>270970.38886733999</x:v>
      </x:c>
      <x:c r="G60" s="4"/>
    </x:row>
    <x:row r="61" spans="2:7" ht="9" hidden="1" customHeight="1" outlineLevel="1">
      <x:c r="B61" s="14"/>
      <x:c r="C61" s="60"/>
      <x:c r="D61" s="60"/>
      <x:c r="E61" s="30"/>
      <x:c r="G61" s="4"/>
    </x:row>
    <x:row r="62" spans="2:24" hidden="1" outlineLevel="1">
      <x:c r="B62" s="56" t="s">
        <x:v>1435</x:v>
      </x:c>
      <x:c r="C62" s="60"/>
      <x:c r="D62" s="60"/>
      <x:c r="E62" s="110" t="str">
        <x:f>$F$9</x:f>
        <x:v>NYSE:IBM</x:v>
      </x:c>
      <x:c r="G62" s="4"/>
      <x:c r="T62" s="182"/>
      <x:c r="U62" s="4"/>
      <x:c r="V62" s="4"/>
      <x:c r="W62" s="22"/>
      <x:c r="X62" s="183"/>
    </x:row>
    <x:row r="63" spans="3:7" hidden="1" outlineLevel="1">
      <x:c r="C63" s="60"/>
      <x:c r="D63" s="60"/>
      <x:c r="E63" s="110" t="s">
        <x:v>811</x:v>
      </x:c>
      <x:c r="G63" s="4"/>
    </x:row>
    <x:row r="64" spans="3:7" hidden="1" outlineLevel="1">
      <x:c r="C64" s="60"/>
      <x:c r="D64" s="60"/>
      <x:c r="E64" s="81">
        <x:f>$F$15</x:f>
        <x:v>46059</x:v>
      </x:c>
      <x:c r="G64" s="4"/>
    </x:row>
    <x:row r="65" spans="2:21" collapsed="1">
      <x:c r="B65" s="13" t="s">
        <x:v>1165</x:v>
      </x:c>
      <x:c r="C65" s="60" t="s">
        <x:v>619</x:v>
      </x:c>
      <x:c r="D65" s="60"/>
      <x:c r="E65" s="80">
        <x:v>14417</x:v>
      </x:c>
      <x:c r="F65" s="15"/>
      <x:c r="G65" s="15"/>
      <x:c r="H65" s="15"/>
      <x:c r="I65" s="15"/>
      <x:c r="J65" s="15"/>
      <x:c r="K65" s="15"/>
      <x:c r="L65" s="15"/>
      <x:c r="M65" s="15"/>
      <x:c r="U65" s="3"/>
    </x:row>
    <x:row r="66" spans="2:21">
      <x:c r="B66" s="13" t="s">
        <x:v>2103</x:v>
      </x:c>
      <x:c r="C66" s="60" t="s">
        <x:v>2094</x:v>
      </x:c>
      <x:c r="D66" s="60"/>
      <x:c r="E66" s="80">
        <x:v>64607</x:v>
      </x:c>
      <x:c r="F66" s="15"/>
      <x:c r="G66" s="15"/>
      <x:c r="H66" s="15"/>
      <x:c r="I66" s="15"/>
      <x:c r="J66" s="15"/>
      <x:c r="K66" s="15"/>
      <x:c r="L66" s="15"/>
      <x:c r="M66" s="15"/>
      <x:c r="U66" s="4"/>
    </x:row>
    <x:row r="67" spans="2:21">
      <x:c r="B67" s="13" t="s">
        <x:v>1561</x:v>
      </x:c>
      <x:c r="C67" s="60" t="s">
        <x:v>2395</x:v>
      </x:c>
      <x:c r="D67" s="60"/>
      <x:c r="E67" s="80" t="s">
        <x:v>818</x:v>
      </x:c>
      <x:c r="F67" s="15"/>
      <x:c r="G67" s="15"/>
      <x:c r="H67" s="15"/>
      <x:c r="I67" s="15"/>
      <x:c r="J67" s="15"/>
      <x:c r="K67" s="15"/>
      <x:c r="L67" s="15"/>
      <x:c r="M67" s="15"/>
      <x:c r="U67" s="4"/>
    </x:row>
    <x:row r="68" spans="2:21">
      <x:c r="B68" s="13" t="s">
        <x:v>1537</x:v>
      </x:c>
      <x:c r="C68" s="60" t="s">
        <x:v>1602</x:v>
      </x:c>
      <x:c r="D68" s="60"/>
      <x:c r="E68" s="80">
        <x:v>93</x:v>
      </x:c>
      <x:c r="F68" s="15"/>
      <x:c r="G68" s="15"/>
      <x:c r="H68" s="15"/>
      <x:c r="I68" s="15"/>
      <x:c r="J68" s="15"/>
      <x:c r="K68" s="15"/>
      <x:c r="L68" s="15"/>
      <x:c r="M68" s="15"/>
      <x:c r="U68" s="4"/>
    </x:row>
    <x:row r="69" spans="2:5">
      <x:c r="B69" s="11" t="s">
        <x:v>1164</x:v>
      </x:c>
      <x:c r="C69" s="60"/>
      <x:c r="D69" s="60"/>
      <x:c r="E69" s="142">
        <x:f>IFERROR(IF(COUNT(E60,E65:E68)=0,"NA",SUM(E60,-E65,E66:E68)),"NA")</x:f>
        <x:v>321253.38886733999</x:v>
      </x:c>
    </x:row>
    <x:row r="70" spans="3:5">
      <x:c r="C70" s="60"/>
      <x:c r="D70" s="60"/>
      <x:c r="E70" s="27"/>
    </x:row>
    <x:row r="71" spans="2:13">
      <x:c r="B71" s="1" t="s">
        <x:v>640</x:v>
      </x:c>
      <x:c r="C71" s="60" t="s">
        <x:v>2401</x:v>
      </x:c>
      <x:c r="D71" s="60"/>
      <x:c r="E71" s="80">
        <x:v>32648</x:v>
      </x:c>
      <x:c r="F71" s="15"/>
      <x:c r="G71" s="15"/>
      <x:c r="H71" s="15"/>
      <x:c r="I71" s="15"/>
      <x:c r="J71" s="15"/>
      <x:c r="K71" s="15"/>
      <x:c r="L71" s="15"/>
      <x:c r="M71" s="15"/>
    </x:row>
    <x:row r="72" spans="2:5">
      <x:c r="B72" s="13" t="s">
        <x:v>1561</x:v>
      </x:c>
      <x:c r="C72" s="60"/>
      <x:c r="D72" s="60"/>
      <x:c r="E72" s="80" t="str">
        <x:f>E67</x:f>
        <x:v>NA</x:v>
      </x:c>
    </x:row>
    <x:row r="73" spans="2:5">
      <x:c r="B73" s="10" t="s">
        <x:v>1537</x:v>
      </x:c>
      <x:c r="C73" s="60"/>
      <x:c r="D73" s="60"/>
      <x:c r="E73" s="80">
        <x:f>E68</x:f>
        <x:v>93</x:v>
      </x:c>
    </x:row>
    <x:row r="74" spans="2:5">
      <x:c r="B74" s="10" t="s">
        <x:v>2103</x:v>
      </x:c>
      <x:c r="C74" s="60"/>
      <x:c r="D74" s="60"/>
      <x:c r="E74" s="80">
        <x:f>E66</x:f>
        <x:v>64607</x:v>
      </x:c>
    </x:row>
    <x:row r="75" spans="2:5" ht="11.550000000000001">
      <x:c r="B75" s="12" t="s">
        <x:v>2105</x:v>
      </x:c>
      <x:c r="C75" s="60"/>
      <x:c r="D75" s="60"/>
      <x:c r="E75" s="143">
        <x:f>IFERROR(IF(COUNT(E71:E74)=0,"NA",SUM(E71:E74)),"NA")</x:f>
        <x:v>97348</x:v>
      </x:c>
    </x:row>
    <x:row r="76" spans="3:4" ht="2.4500000000000002" customHeight="1">
      <x:c r="C76" s="45"/>
      <x:c r="D76" s="45"/>
    </x:row>
    <x:row r="77" spans="2:2" hidden="1" outlineLevel="1">
      <x:c r="B77" s="42" t="s">
        <x:v>1253</x:v>
      </x:c>
    </x:row>
    <x:row r="78" spans="2:8" hidden="1" outlineLevel="1">
      <x:c r="B78" s="39"/>
      <x:c r="C78" s="40"/>
      <x:c r="D78" s="41"/>
      <x:c r="E78" s="201" t="s">
        <x:v>2388</x:v>
      </x:c>
      <x:c r="F78" s="201" t="s">
        <x:v>2099</x:v>
      </x:c>
      <x:c r="G78" s="201" t="s">
        <x:v>2093</x:v>
      </x:c>
      <x:c r="H78" s="201" t="s">
        <x:v>2104</x:v>
      </x:c>
    </x:row>
    <x:row r="79" spans="2:9" hidden="1" outlineLevel="1">
      <x:c r="B79" s="33" t="s">
        <x:v>1255</x:v>
      </x:c>
      <x:c r="C79" s="35"/>
      <x:c r="D79" s="36"/>
      <x:c r="E79" s="98">
        <x:f>IF(ISTEXT(E60),NA(),E60)</x:f>
        <x:v>270970.38886733999</x:v>
      </x:c>
      <x:c r="F79" s="99"/>
      <x:c r="G79" s="100"/>
      <x:c r="H79" s="99"/>
      <x:c r="I79" s="229"/>
    </x:row>
    <x:row r="80" spans="2:9" hidden="1" outlineLevel="1">
      <x:c r="B80" s="34" t="s">
        <x:v>796</x:v>
      </x:c>
      <x:c r="C80" s="37"/>
      <x:c r="D80" s="38"/>
      <x:c r="E80" s="98">
        <x:f>IF(ISTEXT(E60),NA(),E60)</x:f>
        <x:v>270970.38886733999</x:v>
      </x:c>
      <x:c r="F80" s="99">
        <x:f>IFERROR(G81-E65,NA())</x:f>
        <x:v>50283</x:v>
      </x:c>
      <x:c r="G80" s="100"/>
      <x:c r="H80" s="99"/>
      <x:c r="I80" s="229"/>
    </x:row>
    <x:row r="81" spans="2:9" ht="11.25" hidden="1" customHeight="1" outlineLevel="1">
      <x:c r="B81" s="34" t="s">
        <x:v>2090</x:v>
      </x:c>
      <x:c r="C81" s="37"/>
      <x:c r="D81" s="38"/>
      <x:c r="E81" s="98"/>
      <x:c r="F81" s="99"/>
      <x:c r="G81" s="100">
        <x:f>IF(COUNT(E66:E68)=0,NA(),SUM(E66:E68))</x:f>
        <x:v>64700</x:v>
      </x:c>
      <x:c r="H81" s="99">
        <x:f>IF(ISTEXT(E71),NA(),E71)</x:f>
        <x:v>32648</x:v>
      </x:c>
      <x:c r="I81" s="229"/>
    </x:row>
    <x:row r="82" spans="5:9" ht="11.25" customHeight="1" collapsed="1">
      <x:c r="E82" s="32"/>
      <x:c r="F82" s="31"/>
      <x:c r="G82" s="31"/>
      <x:c r="H82" s="31"/>
      <x:c r="I82" s="31"/>
    </x:row>
    <x:row r="83" ht="11.25" customHeight="1"/>
    <x:row r="96" spans="14:15">
      <x:c r="N96" s="25"/>
      <x:c r="O96" s="25"/>
    </x:row>
    <x:row r="97" spans="14:15">
      <x:c r="N97" s="25"/>
      <x:c r="O97" s="25"/>
    </x:row>
    <x:row r="98" spans="14:15">
      <x:c r="N98" s="25"/>
      <x:c r="O98" s="25"/>
    </x:row>
    <x:row r="99" spans="14:15">
      <x:c r="N99" s="25"/>
      <x:c r="O99" s="25"/>
    </x:row>
    <x:row r="100" spans="2:15">
      <x:c r="B100" s="25" t="s">
        <x:v>111</x:v>
      </x:c>
      <x:c r="J100" s="25"/>
      <x:c r="K100" s="25"/>
      <x:c r="L100" s="25"/>
      <x:c r="M100" s="25"/>
      <x:c r="N100" s="25"/>
      <x:c r="O100" s="25"/>
    </x:row>
    <x:row r="101" spans="2:15">
      <x:c r="B101" s="25" t="s">
        <x:v>380</x:v>
      </x:c>
      <x:c r="J101" s="25"/>
      <x:c r="K101" s="25"/>
      <x:c r="L101" s="25"/>
      <x:c r="M101" s="25"/>
      <x:c r="N101" s="25"/>
      <x:c r="O101" s="25"/>
    </x:row>
    <x:row r="102" spans="2:15">
      <x:c r="B102" s="25" t="s">
        <x:v>133</x:v>
      </x:c>
      <x:c r="J102" s="25"/>
      <x:c r="K102" s="25"/>
      <x:c r="L102" s="25"/>
      <x:c r="M102" s="25"/>
      <x:c r="N102" s="25"/>
      <x:c r="O102" s="25"/>
    </x:row>
    <x:row r="103" spans="2:15">
      <x:c r="B103" s="25" t="s">
        <x:v>48</x:v>
      </x:c>
      <x:c r="J103" s="25"/>
      <x:c r="K103" s="25"/>
      <x:c r="L103" s="25"/>
      <x:c r="M103" s="25"/>
      <x:c r="N103" s="25"/>
      <x:c r="O103" s="25"/>
    </x:row>
    <x:row r="105" spans="2:2" hidden="1" outlineLevel="1">
      <x:c r="B105" s="1" t="str">
        <x:f>"Financial Data "&amp;'Pension-OPEB'!$AC$18</x:f>
        <x:v>Financial Data ($M)</x:v>
      </x:c>
    </x:row>
    <x:row r="106" spans="2:10" hidden="1" outlineLevel="1">
      <x:c r="B106" s="56" t="s">
        <x:v>1435</x:v>
      </x:c>
      <x:c r="C106" s="60"/>
      <x:c r="D106" s="60"/>
      <x:c r="E106" s="58" t="str">
        <x:f t="shared" ref="E106:J106" si="9">$F$9</x:f>
        <x:v>NYSE:IBM</x:v>
      </x:c>
      <x:c r="F106" s="58" t="str">
        <x:f t="shared" si="9"/>
        <x:v>NYSE:IBM</x:v>
      </x:c>
      <x:c r="G106" s="58" t="str">
        <x:f t="shared" si="9"/>
        <x:v>NYSE:IBM</x:v>
      </x:c>
      <x:c r="H106" s="58" t="str">
        <x:f t="shared" si="9"/>
        <x:v>NYSE:IBM</x:v>
      </x:c>
      <x:c r="I106" s="58" t="str">
        <x:f t="shared" si="9"/>
        <x:v>NYSE:IBM</x:v>
      </x:c>
      <x:c r="J106" s="58" t="str">
        <x:f t="shared" si="9"/>
        <x:v>NYSE:IBM</x:v>
      </x:c>
    </x:row>
    <x:row r="107" spans="2:10" hidden="1" outlineLevel="1">
      <x:c r="B107" s="56" t="s">
        <x:v>1435</x:v>
      </x:c>
      <x:c r="C107" s="60"/>
      <x:c r="D107" s="60"/>
      <x:c r="E107" s="58" t="s">
        <x:v>811</x:v>
      </x:c>
      <x:c r="F107" s="58" t="s">
        <x:v>811</x:v>
      </x:c>
      <x:c r="G107" s="58" t="s">
        <x:v>809</x:v>
      </x:c>
      <x:c r="H107" s="58" t="str">
        <x:f>N26</x:f>
        <x:v>FY+1</x:v>
      </x:c>
      <x:c r="I107" s="58" t="str">
        <x:f t="shared" ref="I107:J107" si="10">O26</x:f>
        <x:v>FY+2</x:v>
      </x:c>
      <x:c r="J107" s="58" t="str">
        <x:f t="shared" si="10"/>
        <x:v>FY+3</x:v>
      </x:c>
    </x:row>
    <x:row r="108" spans="2:10" hidden="1" outlineLevel="1">
      <x:c r="B108" s="56"/>
      <x:c r="C108" s="60"/>
      <x:c r="D108" s="60"/>
      <x:c r="E108" s="181">
        <x:f>$I$28</x:f>
        <x:v>46022</x:v>
      </x:c>
      <x:c r="F108" s="181">
        <x:f>$J$28</x:f>
        <x:v>46022</x:v>
      </x:c>
      <x:c r="G108" s="181">
        <x:f>IF($F$15="","",WORKDAY($F$15+1,-1))</x:f>
        <x:v>46059</x:v>
      </x:c>
      <x:c r="H108" s="181">
        <x:f>IF($F$15="","",WORKDAY($F$15+1,-1))</x:f>
        <x:v>46059</x:v>
      </x:c>
      <x:c r="I108" s="181">
        <x:f>IF($F$15="","",WORKDAY($F$15+1,-1))</x:f>
        <x:v>46059</x:v>
      </x:c>
      <x:c r="J108" s="181">
        <x:f>IF($F$15="","",WORKDAY($F$15+1,-1))</x:f>
        <x:v>46059</x:v>
      </x:c>
    </x:row>
    <x:row r="109" spans="3:10" hidden="1" outlineLevel="1">
      <x:c r="C109" s="60" t="s">
        <x:v>2080</x:v>
      </x:c>
      <x:c r="D109" s="60"/>
      <x:c r="E109" s="181"/>
      <x:c r="F109" s="181"/>
      <x:c r="G109" s="181">
        <x:v>46387</x:v>
      </x:c>
      <x:c r="H109" s="181">
        <x:v>46387</x:v>
      </x:c>
      <x:c r="I109" s="181">
        <x:v>46752</x:v>
      </x:c>
      <x:c r="J109" s="181">
        <x:v>47118</x:v>
      </x:c>
    </x:row>
    <x:row r="110" spans="2:10" collapsed="1">
      <x:c r="B110" s="139" t="s">
        <x:v>630</x:v>
      </x:c>
      <x:c r="C110" s="60"/>
      <x:c r="D110" s="140"/>
      <x:c r="E110" s="150" t="s">
        <x:v>1441</x:v>
      </x:c>
      <x:c r="F110" s="150" t="s">
        <x:v>811</x:v>
      </x:c>
      <x:c r="G110" s="150" t="s">
        <x:v>809</x:v>
      </x:c>
      <x:c r="H110" s="150" t="s">
        <x:v>1442</x:v>
      </x:c>
      <x:c r="I110" s="150" t="s">
        <x:v>1443</x:v>
      </x:c>
      <x:c r="J110" s="150" t="s">
        <x:v>1444</x:v>
      </x:c>
    </x:row>
    <x:row r="111" spans="2:10">
      <x:c r="B111" s="1" t="s">
        <x:v>2343</x:v>
      </x:c>
      <x:c r="C111" s="202" t="s">
        <x:v>2396</x:v>
      </x:c>
      <x:c r="D111" s="60" t="s">
        <x:v>626</x:v>
      </x:c>
      <x:c r="E111" s="22">
        <x:v>5.025487</x:v>
      </x:c>
      <x:c r="F111" s="22">
        <x:v>5.025487</x:v>
      </x:c>
      <x:c r="G111" s="22" t="s">
        <x:v>818</x:v>
      </x:c>
      <x:c r="H111" s="22" t="s">
        <x:v>818</x:v>
      </x:c>
      <x:c r="I111" s="22" t="s">
        <x:v>818</x:v>
      </x:c>
      <x:c r="J111" s="22" t="s">
        <x:v>818</x:v>
      </x:c>
    </x:row>
    <x:row r="112" spans="2:10">
      <x:c r="B112" s="1" t="s">
        <x:v>2053</x:v>
      </x:c>
      <x:c r="C112" s="60" t="s">
        <x:v>627</x:v>
      </x:c>
      <x:c r="D112" s="60" t="s">
        <x:v>2107</x:v>
      </x:c>
      <x:c r="E112" s="22">
        <x:v>20.085671999999999</x:v>
      </x:c>
      <x:c r="F112" s="22">
        <x:v>20.085671999999999</x:v>
      </x:c>
      <x:c r="G112" s="22" t="s">
        <x:v>818</x:v>
      </x:c>
      <x:c r="H112" s="22" t="s">
        <x:v>818</x:v>
      </x:c>
      <x:c r="I112" s="22" t="s">
        <x:v>818</x:v>
      </x:c>
      <x:c r="J112" s="22" t="s">
        <x:v>818</x:v>
      </x:c>
    </x:row>
    <x:row r="113" spans="2:10">
      <x:c r="B113" s="1" t="s">
        <x:v>2054</x:v>
      </x:c>
      <x:c r="C113" s="60" t="s">
        <x:v>2111</x:v>
      </x:c>
      <x:c r="D113" s="60" t="s">
        <x:v>1254</x:v>
      </x:c>
      <x:c r="E113" s="22">
        <x:v>28.498822000000001</x:v>
      </x:c>
      <x:c r="F113" s="22">
        <x:v>28.498822000000001</x:v>
      </x:c>
      <x:c r="G113" s="183" t="s">
        <x:v>818</x:v>
      </x:c>
      <x:c r="H113" s="22" t="s">
        <x:v>818</x:v>
      </x:c>
      <x:c r="I113" s="22" t="s">
        <x:v>818</x:v>
      </x:c>
      <x:c r="J113" s="22" t="s">
        <x:v>818</x:v>
      </x:c>
    </x:row>
    <x:row r="114" spans="2:10">
      <x:c r="B114" s="1" t="s">
        <x:v>2072</x:v>
      </x:c>
      <x:c r="C114" s="60" t="s">
        <x:v>1256</x:v>
      </x:c>
      <x:c r="D114" s="60" t="s">
        <x:v>1903</x:v>
      </x:c>
      <x:c r="E114" s="22">
        <x:v>35.427579999999999</x:v>
      </x:c>
      <x:c r="F114" s="22">
        <x:v>35.427579999999999</x:v>
      </x:c>
      <x:c r="G114" s="183" t="s">
        <x:v>818</x:v>
      </x:c>
      <x:c r="H114" s="22" t="s">
        <x:v>818</x:v>
      </x:c>
      <x:c r="I114" s="22" t="s">
        <x:v>818</x:v>
      </x:c>
      <x:c r="J114" s="22" t="s">
        <x:v>818</x:v>
      </x:c>
    </x:row>
    <x:row r="115" spans="2:10">
      <x:c r="B115" s="1" t="s">
        <x:v>2110</x:v>
      </x:c>
      <x:c r="C115" s="60" t="s">
        <x:v>1257</x:v>
      </x:c>
      <x:c r="D115" s="60" t="s">
        <x:v>1258</x:v>
      </x:c>
      <x:c r="E115" s="22">
        <x:v>9.9222859999999997</x:v>
      </x:c>
      <x:c r="F115" s="22">
        <x:v>9.9222859999999997</x:v>
      </x:c>
      <x:c r="G115" s="220"/>
      <x:c r="H115" s="22" t="s">
        <x:v>818</x:v>
      </x:c>
      <x:c r="I115" s="22" t="s">
        <x:v>818</x:v>
      </x:c>
      <x:c r="J115" s="22" t="s">
        <x:v>818</x:v>
      </x:c>
    </x:row>
    <x:row r="116" spans="2:9">
      <x:c r="B116" s="1" t="s">
        <x:v>2363</x:v>
      </x:c>
      <x:c r="C116" s="60"/>
      <x:c r="D116" s="60" t="s">
        <x:v>1252</x:v>
      </x:c>
      <x:c r="E116" s="22" t="s">
        <x:v>821</x:v>
      </x:c>
      <x:c r="F116" s="22" t="s">
        <x:v>821</x:v>
      </x:c>
      <x:c r="G116" s="22"/>
      <x:c r="H116" s="22"/>
      <x:c r="I116" s="22"/>
    </x:row>
    <x:row r="117" spans="2:16">
      <x:c r="B117" s="203"/>
      <x:c r="C117" s="204"/>
      <x:c r="D117" s="204"/>
      <x:c r="E117" s="205"/>
      <x:c r="F117" s="204"/>
      <x:c r="G117" s="204"/>
      <x:c r="H117" s="204"/>
      <x:c r="I117" s="230"/>
      <x:c r="J117" s="204"/>
      <x:c r="K117" s="204"/>
      <x:c r="L117" s="204"/>
      <x:c r="M117" s="204"/>
      <x:c r="N117" s="204"/>
      <x:c r="O117" s="204"/>
      <x:c r="P117" s="204"/>
    </x:row>
  </x:sheetData>
  <x:mergeCells count="4">
    <x:mergeCell ref="F17:G17"/>
    <x:mergeCell ref="F18:G18"/>
    <x:mergeCell ref="E30:I30"/>
    <x:mergeCell ref="N30:P30"/>
  </x:mergeCells>
  <x:dataValidations count="3">
    <x:dataValidation type="list" allowBlank="1" showInputMessage="1" showErrorMessage="1" sqref="I18:I18">
      <x:formula1>'Pension-OPEB'!$Z$115:$Z$117</x:formula1>
    </x:dataValidation>
    <x:dataValidation type="list" allowBlank="1" showInputMessage="1" showErrorMessage="1" sqref="H18:I18">
      <x:formula1>'Pension-OPEB'!$Z$106:$Z$110</x:formula1>
    </x:dataValidation>
    <x:dataValidation type="list" allowBlank="1" showInputMessage="1" showErrorMessage="1" sqref="F18:G18">
      <x:formula1>'Pension-OPEB'!$Z$23:$Z$101</x:formula1>
    </x:dataValidation>
  </x:dataValidations>
  <x:hyperlinks>
    <x:hyperlink ref="I5:I5" r:id="rId1"/>
  </x:hyperlinks>
  <x:pageMargins left="0.25" right="0.25" top="0.25" bottom="0.25" header="0" footer="0"/>
  <x:pageSetup paperSize="9" scale="65" firstPageNumber="1" fitToWidth="1" fitToHeight="0" orientation="portrait" usePrinterDefaults="1" blackAndWhite="0" draft="0" useFirstPageNumber="0" horizontalDpi="600" verticalDpi="600" copies="1"/>
  <x:drawing r:id="rId2"/>
  <x:legacyDrawing r:id="rId3"/>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4">
    <x:pageSetUpPr autoPageBreaks="1" fitToPage="1"/>
  </x:sheetPr>
  <x:dimension ref="A2:U190"/>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50.33203125" style="1" customWidth="1"/>
    <x:col min="3" max="3" width="20.83203125" style="3" hidden="1" customWidth="1" outlineLevel="1"/>
    <x:col min="4" max="4" width="37.5" style="1" hidden="1" customWidth="1" outlineLevel="1"/>
    <x:col min="5" max="5" width="13.5" style="1" customWidth="1" collapsed="1"/>
    <x:col min="6" max="17" width="13.5" style="1" customWidth="1"/>
    <x:col min="20" max="20" width="10.1640625" style="1" bestFit="1" customWidth="1"/>
    <x:col min="21" max="21" width="9.33203125" style="1" hidden="1" customWidth="1" outlineLevel="1"/>
    <x:col min="22" max="22" width="9.33203125" style="1" collapsed="1"/>
  </x:cols>
  <x:sheetData>
    <x:row r="2" spans="2:2">
      <x:c r="B2" s="1" t="s">
        <x:v>112</x:v>
      </x:c>
    </x:row>
    <x:row r="3" spans="1:17">
      <x:c r="A3" s="46"/>
      <x:c r="B3" s="46"/>
      <x:c r="C3" s="84"/>
      <x:c r="D3" s="47"/>
      <x:c r="E3" s="46"/>
      <x:c r="F3" s="46"/>
      <x:c r="G3" s="48"/>
      <x:c r="H3" s="46"/>
      <x:c r="I3" s="46"/>
      <x:c r="J3" s="46"/>
      <x:c r="K3" s="46"/>
      <x:c r="L3" s="46"/>
      <x:c r="M3" s="46"/>
      <x:c r="N3" s="46"/>
      <x:c r="O3" s="46"/>
      <x:c r="P3" s="46"/>
      <x:c r="Q3" s="46"/>
    </x:row>
    <x:row r="4" spans="1:17" ht="16.5">
      <x:c r="A4" s="46"/>
      <x:c r="B4" s="49" t="str">
        <x:f>E11</x:f>
        <x:v>International Business Machines Corporation</x:v>
      </x:c>
      <x:c r="C4" s="90"/>
      <x:c r="D4" s="51"/>
      <x:c r="E4" s="52"/>
      <x:c r="F4" s="52"/>
      <x:c r="G4" s="52"/>
      <x:c r="H4" s="52"/>
      <x:c r="I4" s="52"/>
      <x:c r="J4" s="52"/>
      <x:c r="K4" s="52"/>
      <x:c r="L4" s="52"/>
      <x:c r="M4" s="52"/>
      <x:c r="N4" s="50"/>
      <x:c r="O4" s="50"/>
      <x:c r="P4" s="104"/>
      <x:c r="Q4" s="104" t="s">
        <x:v>1558</x:v>
      </x:c>
    </x:row>
    <x:row r="5" spans="1:17" ht="17.25" customHeight="1">
      <x:c r="A5" s="46"/>
      <x:c r="B5" s="53" t="str">
        <x:f>"Data in "&amp;'Pension-OPEB'!$AC$18</x:f>
        <x:v>Data in ($M)</x:v>
      </x:c>
      <x:c r="C5" s="53"/>
      <x:c r="D5" s="47"/>
      <x:c r="E5" s="250" t="str">
        <x:f>Key_Stats!$T$11</x:f>
        <x:v>Fiscal Year Ended,</x:v>
      </x:c>
      <x:c r="F5" s="54"/>
      <x:c r="G5" s="54"/>
      <x:c r="H5" s="54"/>
      <x:c r="I5" s="54"/>
      <x:c r="J5" s="54"/>
      <x:c r="K5" s="54"/>
      <x:c r="L5" s="54"/>
      <x:c r="M5" s="54"/>
      <x:c r="N5" s="54"/>
      <x:c r="O5" s="54"/>
      <x:c r="P5" s="54"/>
      <x:c r="Q5" s="250" t="s">
        <x:v>811</x:v>
      </x:c>
    </x:row>
    <x:row r="6" spans="1:17" hidden="1" outlineLevel="1">
      <x:c r="A6" s="46"/>
      <x:c r="B6" s="55"/>
      <x:c r="C6" s="56" t="s">
        <x:v>1435</x:v>
      </x:c>
      <x:c r="D6" s="57"/>
      <x:c r="E6" s="58" t="str">
        <x:f>Key_Stats!$F$9</x:f>
        <x:v>NYSE:IBM</x:v>
      </x:c>
      <x:c r="F6" s="58" t="str">
        <x:f>Key_Stats!$F$9</x:f>
        <x:v>NYSE:IBM</x:v>
      </x:c>
      <x:c r="G6" s="58" t="str">
        <x:f>Key_Stats!$F$9</x:f>
        <x:v>NYSE:IBM</x:v>
      </x:c>
      <x:c r="H6" s="58" t="str">
        <x:f>Key_Stats!$F$9</x:f>
        <x:v>NYSE:IBM</x:v>
      </x:c>
      <x:c r="I6" s="58" t="str">
        <x:f>Key_Stats!$F$9</x:f>
        <x:v>NYSE:IBM</x:v>
      </x:c>
      <x:c r="J6" s="58" t="str">
        <x:f>Key_Stats!$F$9</x:f>
        <x:v>NYSE:IBM</x:v>
      </x:c>
      <x:c r="K6" s="58" t="str">
        <x:f>Key_Stats!$F$9</x:f>
        <x:v>NYSE:IBM</x:v>
      </x:c>
      <x:c r="L6" s="58" t="str">
        <x:f>Key_Stats!$F$9</x:f>
        <x:v>NYSE:IBM</x:v>
      </x:c>
      <x:c r="M6" s="58" t="str">
        <x:f>Key_Stats!$F$9</x:f>
        <x:v>NYSE:IBM</x:v>
      </x:c>
      <x:c r="N6" s="58" t="str">
        <x:f>Key_Stats!$F$9</x:f>
        <x:v>NYSE:IBM</x:v>
      </x:c>
      <x:c r="O6" s="58" t="str">
        <x:f>Key_Stats!$F$9</x:f>
        <x:v>NYSE:IBM</x:v>
      </x:c>
      <x:c r="P6" s="58" t="str">
        <x:f>Key_Stats!$F$9</x:f>
        <x:v>NYSE:IBM</x:v>
      </x:c>
      <x:c r="Q6" s="58" t="str">
        <x:f>Key_Stats!$F$9</x:f>
        <x:v>NYSE:IBM</x:v>
      </x:c>
    </x:row>
    <x:row r="7" spans="1:17" hidden="1" outlineLevel="1">
      <x:c r="A7" s="46"/>
      <x:c r="B7" s="55"/>
      <x:c r="C7" s="56"/>
      <x:c r="D7" s="57"/>
      <x:c r="E7" s="58" t="str">
        <x:f t="shared" ref="E7:K7" si="0">LEFT(F7,LEN(F7)-1)&amp;RIGHT(F7,1)+1</x:f>
        <x:v>FY-11</x:v>
      </x:c>
      <x:c r="F7" s="58" t="str">
        <x:f t="shared" si="0"/>
        <x:v>FY-10</x:v>
      </x:c>
      <x:c r="G7" s="58" t="str">
        <x:f t="shared" si="0"/>
        <x:v>FY-9</x:v>
      </x:c>
      <x:c r="H7" s="58" t="str">
        <x:f t="shared" si="0"/>
        <x:v>FY-8</x:v>
      </x:c>
      <x:c r="I7" s="58" t="str">
        <x:f t="shared" si="0"/>
        <x:v>FY-7</x:v>
      </x:c>
      <x:c r="J7" s="58" t="str">
        <x:f t="shared" si="0"/>
        <x:v>FY-6</x:v>
      </x:c>
      <x:c r="K7" s="58" t="str">
        <x:f t="shared" si="0"/>
        <x:v>FY-5</x:v>
      </x:c>
      <x:c r="L7" s="58" t="str">
        <x:f t="shared" ref="L7:M7" si="1">LEFT(M7,LEN(M7)-1)&amp;RIGHT(M7,1)+1</x:f>
        <x:v>FY-4</x:v>
      </x:c>
      <x:c r="M7" s="58" t="str">
        <x:f t="shared" si="1"/>
        <x:v>FY-3</x:v>
      </x:c>
      <x:c r="N7" s="58" t="str">
        <x:f>LEFT(O7,LEN(O7)-1)&amp;RIGHT(O7,1)+1</x:f>
        <x:v>FY-2</x:v>
      </x:c>
      <x:c r="O7" s="58" t="str">
        <x:f>VLOOKUP(Key_Stats!$F$11,FormatTable,2,FALSE)</x:f>
        <x:v>FY-1</x:v>
      </x:c>
      <x:c r="P7" s="58" t="str">
        <x:f>Key_Stats!$F$11</x:f>
        <x:v>FY0</x:v>
      </x:c>
      <x:c r="Q7" s="58" t="s">
        <x:v>811</x:v>
      </x:c>
    </x:row>
    <x:row r="8" spans="1:17" hidden="1" outlineLevel="1">
      <x:c r="A8" s="46"/>
      <x:c r="B8" s="55"/>
      <x:c r="C8" s="56"/>
      <x:c r="D8" s="57"/>
      <x:c r="E8" s="181">
        <x:f>IF(Key_Stats!$F$15="","",Key_Stats!$F$15)</x:f>
        <x:v>46059</x:v>
      </x:c>
      <x:c r="F8" s="181">
        <x:f>IF(Key_Stats!$F$15="","",Key_Stats!$F$15)</x:f>
        <x:v>46059</x:v>
      </x:c>
      <x:c r="G8" s="181">
        <x:f>IF(Key_Stats!$F$15="","",Key_Stats!$F$15)</x:f>
        <x:v>46059</x:v>
      </x:c>
      <x:c r="H8" s="181">
        <x:f>IF(Key_Stats!$F$15="","",Key_Stats!$F$15)</x:f>
        <x:v>46059</x:v>
      </x:c>
      <x:c r="I8" s="181">
        <x:f>IF(Key_Stats!$F$15="","",Key_Stats!$F$15)</x:f>
        <x:v>46059</x:v>
      </x:c>
      <x:c r="J8" s="181">
        <x:f>IF(Key_Stats!$F$15="","",Key_Stats!$F$15)</x:f>
        <x:v>46059</x:v>
      </x:c>
      <x:c r="K8" s="181">
        <x:f>IF(Key_Stats!$F$15="","",Key_Stats!$F$15)</x:f>
        <x:v>46059</x:v>
      </x:c>
      <x:c r="L8" s="181">
        <x:f>IF(Key_Stats!$F$15="","",Key_Stats!$F$15)</x:f>
        <x:v>46059</x:v>
      </x:c>
      <x:c r="M8" s="181">
        <x:f>IF(Key_Stats!$F$15="","",Key_Stats!$F$15)</x:f>
        <x:v>46059</x:v>
      </x:c>
      <x:c r="N8" s="181">
        <x:f>IF(Key_Stats!$F$15="","",Key_Stats!$F$15)</x:f>
        <x:v>46059</x:v>
      </x:c>
      <x:c r="O8" s="181">
        <x:f>IF(Key_Stats!$F$15="","",Key_Stats!$F$15)</x:f>
        <x:v>46059</x:v>
      </x:c>
      <x:c r="P8" s="181">
        <x:f>IF(Key_Stats!$F$15="","",Key_Stats!$F$15)</x:f>
        <x:v>46059</x:v>
      </x:c>
      <x:c r="Q8" s="181">
        <x:f>IF(Key_Stats!$F$15="","",Key_Stats!$F$15)</x:f>
        <x:v>46059</x:v>
      </x:c>
    </x:row>
    <x:row r="9" spans="1:17" hidden="1" outlineLevel="1">
      <x:c r="A9" s="46"/>
      <x:c r="B9" s="55"/>
      <x:c r="C9" s="91"/>
      <x:c r="D9" s="59"/>
      <x:c r="E9" s="46"/>
      <x:c r="F9" s="46"/>
      <x:c r="G9" s="46"/>
      <x:c r="H9" s="46"/>
      <x:c r="I9" s="46"/>
      <x:c r="J9" s="46"/>
      <x:c r="K9" s="46"/>
      <x:c r="L9" s="46"/>
      <x:c r="M9" s="46"/>
      <x:c r="N9" s="54"/>
      <x:c r="O9" s="54"/>
      <x:c r="P9" s="54"/>
      <x:c r="Q9" s="54"/>
    </x:row>
    <x:row r="10" spans="1:17" hidden="1" outlineLevel="1">
      <x:c r="A10" s="46"/>
      <x:c r="B10" s="55"/>
      <x:c r="C10" s="91"/>
      <x:c r="D10" s="59"/>
      <x:c r="E10" s="46"/>
      <x:c r="F10" s="46"/>
      <x:c r="G10" s="46"/>
      <x:c r="H10" s="46"/>
      <x:c r="I10" s="46"/>
      <x:c r="J10" s="46"/>
      <x:c r="K10" s="46"/>
      <x:c r="L10" s="46"/>
      <x:c r="M10" s="46"/>
      <x:c r="N10" s="54"/>
      <x:c r="O10" s="54"/>
      <x:c r="P10" s="54"/>
      <x:c r="Q10" s="54"/>
    </x:row>
    <x:row r="11" spans="1:17" hidden="1" outlineLevel="1">
      <x:c r="A11" s="46"/>
      <x:c r="B11" s="55"/>
      <x:c r="C11" s="60" t="s">
        <x:v>2049</x:v>
      </x:c>
      <x:c r="D11" s="58"/>
      <x:c r="E11" s="224" t="s">
        <x:v>1006</x:v>
      </x:c>
      <x:c r="F11" s="224" t="s">
        <x:v>1006</x:v>
      </x:c>
      <x:c r="G11" s="224" t="s">
        <x:v>1006</x:v>
      </x:c>
      <x:c r="H11" s="224" t="s">
        <x:v>1006</x:v>
      </x:c>
      <x:c r="I11" s="224" t="s">
        <x:v>1006</x:v>
      </x:c>
      <x:c r="J11" s="224" t="s">
        <x:v>1006</x:v>
      </x:c>
      <x:c r="K11" s="224" t="s">
        <x:v>1006</x:v>
      </x:c>
      <x:c r="L11" s="224" t="s">
        <x:v>1006</x:v>
      </x:c>
      <x:c r="M11" s="224" t="s">
        <x:v>1006</x:v>
      </x:c>
      <x:c r="N11" s="54" t="s">
        <x:v>1006</x:v>
      </x:c>
      <x:c r="O11" s="54" t="s">
        <x:v>1006</x:v>
      </x:c>
      <x:c r="P11" s="54" t="s">
        <x:v>1006</x:v>
      </x:c>
      <x:c r="Q11" s="54" t="s">
        <x:v>1006</x:v>
      </x:c>
    </x:row>
    <x:row r="12" spans="1:17" hidden="1" outlineLevel="1">
      <x:c r="A12" s="46"/>
      <x:c r="B12" s="55"/>
      <x:c r="C12" s="60" t="s">
        <x:v>1533</x:v>
      </x:c>
      <x:c r="D12" s="58"/>
      <x:c r="E12" s="224" t="s">
        <x:v>1102</x:v>
      </x:c>
      <x:c r="F12" s="224" t="s">
        <x:v>1102</x:v>
      </x:c>
      <x:c r="G12" s="224" t="s">
        <x:v>1102</x:v>
      </x:c>
      <x:c r="H12" s="224" t="s">
        <x:v>1102</x:v>
      </x:c>
      <x:c r="I12" s="224" t="s">
        <x:v>1102</x:v>
      </x:c>
      <x:c r="J12" s="224" t="s">
        <x:v>1102</x:v>
      </x:c>
      <x:c r="K12" s="224" t="s">
        <x:v>1102</x:v>
      </x:c>
      <x:c r="L12" s="224" t="s">
        <x:v>1102</x:v>
      </x:c>
      <x:c r="M12" s="224" t="s">
        <x:v>1102</x:v>
      </x:c>
      <x:c r="N12" s="54" t="s">
        <x:v>1102</x:v>
      </x:c>
      <x:c r="O12" s="54" t="s">
        <x:v>1102</x:v>
      </x:c>
      <x:c r="P12" s="54" t="s">
        <x:v>1102</x:v>
      </x:c>
      <x:c r="Q12" s="54" t="s">
        <x:v>1102</x:v>
      </x:c>
    </x:row>
    <x:row r="13" spans="1:17" ht="18" customHeight="1" collapsed="1">
      <x:c r="A13" s="46"/>
      <x:c r="B13" s="28" t="s">
        <x:v>2079</x:v>
      </x:c>
      <x:c r="C13" s="60" t="s">
        <x:v>2085</x:v>
      </x:c>
      <x:c r="D13" s="58"/>
      <x:c r="E13" s="144">
        <x:v>42004</x:v>
      </x:c>
      <x:c r="F13" s="144">
        <x:v>42369</x:v>
      </x:c>
      <x:c r="G13" s="144">
        <x:v>42735</x:v>
      </x:c>
      <x:c r="H13" s="144">
        <x:v>43100</x:v>
      </x:c>
      <x:c r="I13" s="144">
        <x:v>43465</x:v>
      </x:c>
      <x:c r="J13" s="144">
        <x:v>43830</x:v>
      </x:c>
      <x:c r="K13" s="144">
        <x:v>44196</x:v>
      </x:c>
      <x:c r="L13" s="144">
        <x:v>44561</x:v>
      </x:c>
      <x:c r="M13" s="144">
        <x:v>44926</x:v>
      </x:c>
      <x:c r="N13" s="144">
        <x:v>45291</x:v>
      </x:c>
      <x:c r="O13" s="144">
        <x:v>45657</x:v>
      </x:c>
      <x:c r="P13" s="144">
        <x:v>46022</x:v>
      </x:c>
      <x:c r="Q13" s="144">
        <x:v>46022</x:v>
      </x:c>
    </x:row>
    <x:row r="14" spans="3:21">
      <x:c r="C14" s="60"/>
      <x:c r="D14" s="58"/>
      <x:c r="E14" s="15"/>
      <x:c r="F14" s="15"/>
      <x:c r="G14" s="15"/>
      <x:c r="H14" s="15"/>
      <x:c r="I14" s="15"/>
      <x:c r="J14" s="15"/>
      <x:c r="K14" s="15"/>
      <x:c r="L14" s="15"/>
      <x:c r="M14" s="15"/>
      <x:c r="N14" s="15"/>
      <x:c r="O14" s="15"/>
      <x:c r="P14" s="15"/>
      <x:c r="Q14" s="15"/>
      <x:c r="U14" s="1" t="s">
        <x:v>1544</x:v>
      </x:c>
    </x:row>
    <x:row r="15" spans="2:17">
      <x:c r="B15" s="2"/>
      <x:c r="C15" s="60"/>
      <x:c r="D15" s="58"/>
      <x:c r="E15" s="15"/>
      <x:c r="F15" s="15"/>
      <x:c r="G15" s="15"/>
      <x:c r="H15" s="15"/>
      <x:c r="I15" s="15"/>
      <x:c r="J15" s="15"/>
      <x:c r="K15" s="15"/>
      <x:c r="L15" s="15"/>
      <x:c r="M15" s="15"/>
      <x:c r="N15" s="15"/>
      <x:c r="O15" s="15"/>
      <x:c r="P15" s="15"/>
      <x:c r="Q15" s="15"/>
    </x:row>
    <x:row r="16" spans="2:21">
      <x:c r="B16" s="46" t="s">
        <x:v>1898</x:v>
      </x:c>
      <x:c r="C16" s="60" t="s">
        <x:v>1900</x:v>
      </x:c>
      <x:c r="D16" s="58"/>
      <x:c r="E16" s="62">
        <x:v>90736</x:v>
      </x:c>
      <x:c r="F16" s="62">
        <x:v>79878</x:v>
      </x:c>
      <x:c r="G16" s="62">
        <x:v>78210</x:v>
      </x:c>
      <x:c r="H16" s="62">
        <x:v>77424</x:v>
      </x:c>
      <x:c r="I16" s="62">
        <x:v>77992</x:v>
      </x:c>
      <x:c r="J16" s="62">
        <x:v>56498</x:v>
      </x:c>
      <x:c r="K16" s="62">
        <x:v>54195</x:v>
      </x:c>
      <x:c r="L16" s="62">
        <x:v>56571</x:v>
      </x:c>
      <x:c r="M16" s="62">
        <x:v>59879</x:v>
      </x:c>
      <x:c r="N16" s="62">
        <x:v>61123</x:v>
      </x:c>
      <x:c r="O16" s="62">
        <x:v>62044</x:v>
      </x:c>
      <x:c r="P16" s="62">
        <x:v>66735</x:v>
      </x:c>
      <x:c r="Q16" s="62">
        <x:v>66735</x:v>
      </x:c>
      <x:c r="U16" s="189">
        <x:f>IF(COUNT(E16:Q16)&lt;&gt;0,1,"")</x:f>
        <x:v>1</x:v>
      </x:c>
    </x:row>
    <x:row r="17" spans="2:21">
      <x:c r="B17" s="46" t="s">
        <x:v>2391</x:v>
      </x:c>
      <x:c r="C17" s="60" t="s">
        <x:v>2109</x:v>
      </x:c>
      <x:c r="D17" s="58"/>
      <x:c r="E17" s="62">
        <x:v>2057</x:v>
      </x:c>
      <x:c r="F17" s="62">
        <x:v>1864</x:v>
      </x:c>
      <x:c r="G17" s="62">
        <x:v>1710</x:v>
      </x:c>
      <x:c r="H17" s="62">
        <x:v>1715</x:v>
      </x:c>
      <x:c r="I17" s="62">
        <x:v>1599</x:v>
      </x:c>
      <x:c r="J17" s="62">
        <x:v>1216</x:v>
      </x:c>
      <x:c r="K17" s="62">
        <x:v>984</x:v>
      </x:c>
      <x:c r="L17" s="62">
        <x:v>780</x:v>
      </x:c>
      <x:c r="M17" s="62">
        <x:v>651</x:v>
      </x:c>
      <x:c r="N17" s="62">
        <x:v>737</x:v>
      </x:c>
      <x:c r="O17" s="62">
        <x:v>709</x:v>
      </x:c>
      <x:c r="P17" s="62">
        <x:v>737</x:v>
      </x:c>
      <x:c r="Q17" s="62">
        <x:v>737</x:v>
      </x:c>
      <x:c r="U17" s="189">
        <x:f t="shared" ref="U17:U79" si="2">IF(COUNT(E17:Q17)&lt;&gt;0,1,"")</x:f>
        <x:v>1</x:v>
      </x:c>
    </x:row>
    <x:row r="18" spans="2:21">
      <x:c r="B18" s="46" t="s">
        <x:v>2397</x:v>
      </x:c>
      <x:c r="C18" s="60" t="s">
        <x:v>2087</x:v>
      </x:c>
      <x:c r="D18" s="58"/>
      <x:c r="E18" s="62" t="s">
        <x:v>818</x:v>
      </x:c>
      <x:c r="F18" s="62" t="s">
        <x:v>818</x:v>
      </x:c>
      <x:c r="G18" s="62" t="s">
        <x:v>818</x:v>
      </x:c>
      <x:c r="H18" s="62" t="s">
        <x:v>818</x:v>
      </x:c>
      <x:c r="I18" s="62" t="s">
        <x:v>818</x:v>
      </x:c>
      <x:c r="J18" s="62" t="s">
        <x:v>818</x:v>
      </x:c>
      <x:c r="K18" s="62" t="s">
        <x:v>818</x:v>
      </x:c>
      <x:c r="L18" s="62" t="s">
        <x:v>818</x:v>
      </x:c>
      <x:c r="M18" s="62" t="s">
        <x:v>818</x:v>
      </x:c>
      <x:c r="N18" s="62" t="s">
        <x:v>818</x:v>
      </x:c>
      <x:c r="O18" s="62" t="s">
        <x:v>818</x:v>
      </x:c>
      <x:c r="P18" s="62" t="s">
        <x:v>818</x:v>
      </x:c>
      <x:c r="Q18" s="62" t="s">
        <x:v>818</x:v>
      </x:c>
      <x:c r="T18" s="172"/>
      <x:c r="U18" s="189" t="str">
        <x:f t="shared" si="2"/>
        <x:v/>
      </x:c>
    </x:row>
    <x:row r="19" spans="2:21">
      <x:c r="B19" s="46" t="s">
        <x:v>728</x:v>
      </x:c>
      <x:c r="C19" s="60" t="s">
        <x:v>621</x:v>
      </x:c>
      <x:c r="D19" s="58"/>
      <x:c r="E19" s="62" t="s">
        <x:v>818</x:v>
      </x:c>
      <x:c r="F19" s="62" t="s">
        <x:v>818</x:v>
      </x:c>
      <x:c r="G19" s="62" t="s">
        <x:v>818</x:v>
      </x:c>
      <x:c r="H19" s="62" t="s">
        <x:v>818</x:v>
      </x:c>
      <x:c r="I19" s="62" t="s">
        <x:v>818</x:v>
      </x:c>
      <x:c r="J19" s="62" t="s">
        <x:v>818</x:v>
      </x:c>
      <x:c r="K19" s="62" t="s">
        <x:v>818</x:v>
      </x:c>
      <x:c r="L19" s="62" t="s">
        <x:v>818</x:v>
      </x:c>
      <x:c r="M19" s="62" t="s">
        <x:v>818</x:v>
      </x:c>
      <x:c r="N19" s="62" t="s">
        <x:v>818</x:v>
      </x:c>
      <x:c r="O19" s="62" t="s">
        <x:v>818</x:v>
      </x:c>
      <x:c r="P19" s="62" t="s">
        <x:v>818</x:v>
      </x:c>
      <x:c r="Q19" s="62" t="s">
        <x:v>818</x:v>
      </x:c>
      <x:c r="U19" s="189" t="str">
        <x:f t="shared" si="2"/>
        <x:v/>
      </x:c>
    </x:row>
    <x:row r="20" spans="2:21">
      <x:c r="B20" s="46" t="s">
        <x:v>740</x:v>
      </x:c>
      <x:c r="C20" s="60" t="s">
        <x:v>629</x:v>
      </x:c>
      <x:c r="D20" s="58"/>
      <x:c r="E20" s="62" t="s">
        <x:v>818</x:v>
      </x:c>
      <x:c r="F20" s="62" t="s">
        <x:v>818</x:v>
      </x:c>
      <x:c r="G20" s="62" t="s">
        <x:v>818</x:v>
      </x:c>
      <x:c r="H20" s="62" t="s">
        <x:v>818</x:v>
      </x:c>
      <x:c r="I20" s="62" t="s">
        <x:v>818</x:v>
      </x:c>
      <x:c r="J20" s="62" t="s">
        <x:v>818</x:v>
      </x:c>
      <x:c r="K20" s="62" t="s">
        <x:v>818</x:v>
      </x:c>
      <x:c r="L20" s="62" t="s">
        <x:v>818</x:v>
      </x:c>
      <x:c r="M20" s="62" t="s">
        <x:v>818</x:v>
      </x:c>
      <x:c r="N20" s="62" t="s">
        <x:v>818</x:v>
      </x:c>
      <x:c r="O20" s="62" t="s">
        <x:v>818</x:v>
      </x:c>
      <x:c r="P20" s="62" t="s">
        <x:v>818</x:v>
      </x:c>
      <x:c r="Q20" s="62" t="s">
        <x:v>818</x:v>
      </x:c>
      <x:c r="U20" s="189" t="str">
        <x:f t="shared" si="2"/>
        <x:v/>
      </x:c>
    </x:row>
    <x:row r="21" spans="2:21">
      <x:c r="B21" s="46" t="s">
        <x:v>733</x:v>
      </x:c>
      <x:c r="C21" s="60" t="s">
        <x:v>2092</x:v>
      </x:c>
      <x:c r="D21" s="58"/>
      <x:c r="E21" s="62" t="s">
        <x:v>818</x:v>
      </x:c>
      <x:c r="F21" s="62" t="s">
        <x:v>818</x:v>
      </x:c>
      <x:c r="G21" s="62" t="s">
        <x:v>818</x:v>
      </x:c>
      <x:c r="H21" s="62" t="s">
        <x:v>818</x:v>
      </x:c>
      <x:c r="I21" s="62" t="s">
        <x:v>818</x:v>
      </x:c>
      <x:c r="J21" s="62" t="s">
        <x:v>818</x:v>
      </x:c>
      <x:c r="K21" s="62" t="s">
        <x:v>818</x:v>
      </x:c>
      <x:c r="L21" s="62" t="s">
        <x:v>818</x:v>
      </x:c>
      <x:c r="M21" s="62" t="s">
        <x:v>818</x:v>
      </x:c>
      <x:c r="N21" s="62" t="s">
        <x:v>818</x:v>
      </x:c>
      <x:c r="O21" s="62" t="s">
        <x:v>818</x:v>
      </x:c>
      <x:c r="P21" s="62" t="s">
        <x:v>818</x:v>
      </x:c>
      <x:c r="Q21" s="62" t="s">
        <x:v>818</x:v>
      </x:c>
      <x:c r="U21" s="189" t="str">
        <x:f t="shared" si="2"/>
        <x:v/>
      </x:c>
    </x:row>
    <x:row r="22" spans="2:21">
      <x:c r="B22" s="46" t="s">
        <x:v>2096</x:v>
      </x:c>
      <x:c r="C22" s="60" t="s">
        <x:v>1535</x:v>
      </x:c>
      <x:c r="D22" s="58"/>
      <x:c r="E22" s="62" t="s">
        <x:v>818</x:v>
      </x:c>
      <x:c r="F22" s="62">
        <x:v>-1</x:v>
      </x:c>
      <x:c r="G22" s="62">
        <x:v>-1</x:v>
      </x:c>
      <x:c r="H22" s="62" t="s">
        <x:v>818</x:v>
      </x:c>
      <x:c r="I22" s="62" t="s">
        <x:v>818</x:v>
      </x:c>
      <x:c r="J22" s="62" t="s">
        <x:v>818</x:v>
      </x:c>
      <x:c r="K22" s="62" t="s">
        <x:v>818</x:v>
      </x:c>
      <x:c r="L22" s="62" t="s">
        <x:v>818</x:v>
      </x:c>
      <x:c r="M22" s="62" t="s">
        <x:v>818</x:v>
      </x:c>
      <x:c r="N22" s="62" t="s">
        <x:v>818</x:v>
      </x:c>
      <x:c r="O22" s="62" t="s">
        <x:v>818</x:v>
      </x:c>
      <x:c r="P22" s="62">
        <x:v>63</x:v>
      </x:c>
      <x:c r="Q22" s="62">
        <x:v>63</x:v>
      </x:c>
      <x:c r="U22" s="189">
        <x:f t="shared" si="2"/>
        <x:v>1</x:v>
      </x:c>
    </x:row>
    <x:row r="23" spans="2:21">
      <x:c r="B23" s="63" t="s">
        <x:v>2086</x:v>
      </x:c>
      <x:c r="C23" s="60" t="s">
        <x:v>2077</x:v>
      </x:c>
      <x:c r="D23" s="64"/>
      <x:c r="E23" s="147">
        <x:v>92793</x:v>
      </x:c>
      <x:c r="F23" s="147">
        <x:v>81741</x:v>
      </x:c>
      <x:c r="G23" s="147">
        <x:v>79919</x:v>
      </x:c>
      <x:c r="H23" s="147">
        <x:v>79139</x:v>
      </x:c>
      <x:c r="I23" s="147">
        <x:v>79591</x:v>
      </x:c>
      <x:c r="J23" s="147">
        <x:v>57714</x:v>
      </x:c>
      <x:c r="K23" s="147">
        <x:v>55179</x:v>
      </x:c>
      <x:c r="L23" s="147">
        <x:v>57351</x:v>
      </x:c>
      <x:c r="M23" s="147">
        <x:v>60530</x:v>
      </x:c>
      <x:c r="N23" s="147">
        <x:v>61860</x:v>
      </x:c>
      <x:c r="O23" s="147">
        <x:v>62753</x:v>
      </x:c>
      <x:c r="P23" s="147">
        <x:v>67535</x:v>
      </x:c>
      <x:c r="Q23" s="147">
        <x:v>67535</x:v>
      </x:c>
      <x:c r="U23" s="188">
        <x:v>1</x:v>
      </x:c>
    </x:row>
    <x:row r="24" spans="2:21">
      <x:c r="B24" s="65"/>
      <x:c r="C24" s="60" t="s">
        <x:v>798</x:v>
      </x:c>
      <x:c r="D24" s="58"/>
      <x:c r="E24" s="62"/>
      <x:c r="F24" s="62"/>
      <x:c r="G24" s="62"/>
      <x:c r="H24" s="62"/>
      <x:c r="I24" s="62"/>
      <x:c r="J24" s="62"/>
      <x:c r="K24" s="62"/>
      <x:c r="L24" s="62"/>
      <x:c r="M24" s="62"/>
      <x:c r="N24" s="62"/>
      <x:c r="O24" s="62"/>
      <x:c r="P24" s="62"/>
      <x:c r="Q24" s="62"/>
      <x:c r="U24" s="188">
        <x:v>1</x:v>
      </x:c>
    </x:row>
    <x:row r="25" spans="2:21">
      <x:c r="B25" s="46" t="s">
        <x:v>620</x:v>
      </x:c>
      <x:c r="C25" s="60" t="s">
        <x:v>1886</x:v>
      </x:c>
      <x:c r="D25" s="58"/>
      <x:c r="E25" s="62">
        <x:v>45346</x:v>
      </x:c>
      <x:c r="F25" s="62">
        <x:v>40046</x:v>
      </x:c>
      <x:c r="G25" s="62">
        <x:v>40358</x:v>
      </x:c>
      <x:c r="H25" s="62">
        <x:v>40986</x:v>
      </x:c>
      <x:c r="I25" s="62">
        <x:v>41522</x:v>
      </x:c>
      <x:c r="J25" s="62">
        <x:v>25476</x:v>
      </x:c>
      <x:c r="K25" s="62">
        <x:v>23737</x:v>
      </x:c>
      <x:c r="L25" s="62">
        <x:v>25331</x:v>
      </x:c>
      <x:c r="M25" s="62">
        <x:v>27436</x:v>
      </x:c>
      <x:c r="N25" s="62">
        <x:v>27178</x:v>
      </x:c>
      <x:c r="O25" s="62">
        <x:v>26832</x:v>
      </x:c>
      <x:c r="P25" s="62">
        <x:v>28238</x:v>
      </x:c>
      <x:c r="Q25" s="62">
        <x:v>28238</x:v>
      </x:c>
      <x:c r="U25" s="189">
        <x:f t="shared" si="2"/>
        <x:v>1</x:v>
      </x:c>
    </x:row>
    <x:row r="26" spans="2:21">
      <x:c r="B26" s="46" t="s">
        <x:v>1538</x:v>
      </x:c>
      <x:c r="C26" s="60" t="s">
        <x:v>2102</x:v>
      </x:c>
      <x:c r="D26" s="58"/>
      <x:c r="E26" s="62">
        <x:v>1040</x:v>
      </x:c>
      <x:c r="F26" s="62">
        <x:v>1011</x:v>
      </x:c>
      <x:c r="G26" s="62">
        <x:v>1044</x:v>
      </x:c>
      <x:c r="H26" s="62">
        <x:v>1210</x:v>
      </x:c>
      <x:c r="I26" s="62">
        <x:v>1132</x:v>
      </x:c>
      <x:c r="J26" s="62">
        <x:v>704</x:v>
      </x:c>
      <x:c r="K26" s="62">
        <x:v>577</x:v>
      </x:c>
      <x:c r="L26" s="62">
        <x:v>534</x:v>
      </x:c>
      <x:c r="M26" s="62">
        <x:v>406</x:v>
      </x:c>
      <x:c r="N26" s="62">
        <x:v>382</x:v>
      </x:c>
      <x:c r="O26" s="62">
        <x:v>369</x:v>
      </x:c>
      <x:c r="P26" s="62" t="s">
        <x:v>818</x:v>
      </x:c>
      <x:c r="Q26" s="62" t="s">
        <x:v>818</x:v>
      </x:c>
      <x:c r="U26" s="189">
        <x:f t="shared" si="2"/>
        <x:v>1</x:v>
      </x:c>
    </x:row>
    <x:row r="27" spans="2:21">
      <x:c r="B27" s="46" t="s">
        <x:v>1167</x:v>
      </x:c>
      <x:c r="C27" s="60" t="s">
        <x:v>2098</x:v>
      </x:c>
      <x:c r="D27" s="58"/>
      <x:c r="E27" s="62" t="s">
        <x:v>818</x:v>
      </x:c>
      <x:c r="F27" s="62" t="s">
        <x:v>818</x:v>
      </x:c>
      <x:c r="G27" s="62" t="s">
        <x:v>818</x:v>
      </x:c>
      <x:c r="H27" s="62" t="s">
        <x:v>818</x:v>
      </x:c>
      <x:c r="I27" s="62" t="s">
        <x:v>818</x:v>
      </x:c>
      <x:c r="J27" s="62" t="s">
        <x:v>818</x:v>
      </x:c>
      <x:c r="K27" s="62" t="s">
        <x:v>818</x:v>
      </x:c>
      <x:c r="L27" s="62" t="s">
        <x:v>818</x:v>
      </x:c>
      <x:c r="M27" s="62" t="s">
        <x:v>818</x:v>
      </x:c>
      <x:c r="N27" s="62" t="s">
        <x:v>818</x:v>
      </x:c>
      <x:c r="O27" s="62" t="s">
        <x:v>818</x:v>
      </x:c>
      <x:c r="P27" s="62" t="s">
        <x:v>818</x:v>
      </x:c>
      <x:c r="Q27" s="62" t="s">
        <x:v>818</x:v>
      </x:c>
      <x:c r="U27" s="189" t="str">
        <x:f t="shared" si="2"/>
        <x:v/>
      </x:c>
    </x:row>
    <x:row r="28" spans="2:21">
      <x:c r="B28" s="46" t="s">
        <x:v>738</x:v>
      </x:c>
      <x:c r="C28" s="60" t="s">
        <x:v>628</x:v>
      </x:c>
      <x:c r="D28" s="58"/>
      <x:c r="E28" s="62" t="s">
        <x:v>818</x:v>
      </x:c>
      <x:c r="F28" s="62" t="s">
        <x:v>818</x:v>
      </x:c>
      <x:c r="G28" s="62" t="s">
        <x:v>818</x:v>
      </x:c>
      <x:c r="H28" s="62" t="s">
        <x:v>818</x:v>
      </x:c>
      <x:c r="I28" s="62" t="s">
        <x:v>818</x:v>
      </x:c>
      <x:c r="J28" s="62" t="s">
        <x:v>818</x:v>
      </x:c>
      <x:c r="K28" s="62" t="s">
        <x:v>818</x:v>
      </x:c>
      <x:c r="L28" s="62" t="s">
        <x:v>818</x:v>
      </x:c>
      <x:c r="M28" s="62" t="s">
        <x:v>818</x:v>
      </x:c>
      <x:c r="N28" s="62" t="s">
        <x:v>818</x:v>
      </x:c>
      <x:c r="O28" s="62" t="s">
        <x:v>818</x:v>
      </x:c>
      <x:c r="P28" s="62" t="s">
        <x:v>818</x:v>
      </x:c>
      <x:c r="Q28" s="62" t="s">
        <x:v>818</x:v>
      </x:c>
      <x:c r="U28" s="189" t="str">
        <x:f t="shared" si="2"/>
        <x:v/>
      </x:c>
    </x:row>
    <x:row r="29" spans="2:21">
      <x:c r="B29" s="63" t="s">
        <x:v>2082</x:v>
      </x:c>
      <x:c r="C29" s="60" t="s">
        <x:v>1899</x:v>
      </x:c>
      <x:c r="D29" s="64"/>
      <x:c r="E29" s="147">
        <x:v>46407</x:v>
      </x:c>
      <x:c r="F29" s="147">
        <x:v>40684</x:v>
      </x:c>
      <x:c r="G29" s="147">
        <x:v>38517</x:v>
      </x:c>
      <x:c r="H29" s="147">
        <x:v>36943</x:v>
      </x:c>
      <x:c r="I29" s="147">
        <x:v>36937</x:v>
      </x:c>
      <x:c r="J29" s="147">
        <x:v>31534</x:v>
      </x:c>
      <x:c r="K29" s="147">
        <x:v>30865</x:v>
      </x:c>
      <x:c r="L29" s="147">
        <x:v>31486</x:v>
      </x:c>
      <x:c r="M29" s="147">
        <x:v>32688</x:v>
      </x:c>
      <x:c r="N29" s="147">
        <x:v>34300</x:v>
      </x:c>
      <x:c r="O29" s="147">
        <x:v>35552</x:v>
      </x:c>
      <x:c r="P29" s="147">
        <x:v>39297</x:v>
      </x:c>
      <x:c r="Q29" s="147">
        <x:v>39297</x:v>
      </x:c>
      <x:c r="R29" s="249"/>
      <x:c r="U29" s="188">
        <x:v>1</x:v>
      </x:c>
    </x:row>
    <x:row r="30" spans="2:21">
      <x:c r="B30" s="65"/>
      <x:c r="C30" s="60" t="s">
        <x:v>798</x:v>
      </x:c>
      <x:c r="D30" s="58"/>
      <x:c r="E30" s="62"/>
      <x:c r="F30" s="62"/>
      <x:c r="G30" s="62"/>
      <x:c r="H30" s="62"/>
      <x:c r="I30" s="62"/>
      <x:c r="J30" s="62"/>
      <x:c r="K30" s="62"/>
      <x:c r="L30" s="62"/>
      <x:c r="M30" s="62"/>
      <x:c r="N30" s="62"/>
      <x:c r="O30" s="62"/>
      <x:c r="P30" s="62"/>
      <x:c r="Q30" s="62"/>
      <x:c r="U30" s="188">
        <x:v>1</x:v>
      </x:c>
    </x:row>
    <x:row r="31" spans="2:21">
      <x:c r="B31" s="46" t="s">
        <x:v>1166</x:v>
      </x:c>
      <x:c r="C31" s="60" t="s">
        <x:v>1897</x:v>
      </x:c>
      <x:c r="D31" s="58"/>
      <x:c r="E31" s="62">
        <x:v>21549</x:v>
      </x:c>
      <x:c r="F31" s="62">
        <x:v>19589</x:v>
      </x:c>
      <x:c r="G31" s="62">
        <x:v>20225</x:v>
      </x:c>
      <x:c r="H31" s="62">
        <x:v>21137</x:v>
      </x:c>
      <x:c r="I31" s="62">
        <x:v>19366</x:v>
      </x:c>
      <x:c r="J31" s="62">
        <x:v>18724</x:v>
      </x:c>
      <x:c r="K31" s="62">
        <x:v>20561</x:v>
      </x:c>
      <x:c r="L31" s="62">
        <x:v>20027</x:v>
      </x:c>
      <x:c r="M31" s="62">
        <x:v>19263</x:v>
      </x:c>
      <x:c r="N31" s="62">
        <x:v>18482</x:v>
      </x:c>
      <x:c r="O31" s="62">
        <x:v>19281</x:v>
      </x:c>
      <x:c r="P31" s="62">
        <x:v>20188</x:v>
      </x:c>
      <x:c r="Q31" s="62">
        <x:v>20188</x:v>
      </x:c>
      <x:c r="U31" s="189">
        <x:f t="shared" si="2"/>
        <x:v>1</x:v>
      </x:c>
    </x:row>
    <x:row r="32" spans="2:21">
      <x:c r="B32" s="46" t="s">
        <x:v>1553</x:v>
      </x:c>
      <x:c r="C32" s="60" t="s">
        <x:v>635</x:v>
      </x:c>
      <x:c r="D32" s="58"/>
      <x:c r="E32" s="62" t="s">
        <x:v>818</x:v>
      </x:c>
      <x:c r="F32" s="62" t="s">
        <x:v>818</x:v>
      </x:c>
      <x:c r="G32" s="62" t="s">
        <x:v>818</x:v>
      </x:c>
      <x:c r="H32" s="62" t="s">
        <x:v>818</x:v>
      </x:c>
      <x:c r="I32" s="62" t="s">
        <x:v>818</x:v>
      </x:c>
      <x:c r="J32" s="62" t="s">
        <x:v>818</x:v>
      </x:c>
      <x:c r="K32" s="62" t="s">
        <x:v>818</x:v>
      </x:c>
      <x:c r="L32" s="62" t="s">
        <x:v>818</x:v>
      </x:c>
      <x:c r="M32" s="62" t="s">
        <x:v>818</x:v>
      </x:c>
      <x:c r="N32" s="62" t="s">
        <x:v>818</x:v>
      </x:c>
      <x:c r="O32" s="62" t="s">
        <x:v>818</x:v>
      </x:c>
      <x:c r="P32" s="62" t="s">
        <x:v>818</x:v>
      </x:c>
      <x:c r="Q32" s="62" t="s">
        <x:v>818</x:v>
      </x:c>
      <x:c r="U32" s="189" t="str">
        <x:f t="shared" si="2"/>
        <x:v/>
      </x:c>
    </x:row>
    <x:row r="33" spans="2:21">
      <x:c r="B33" s="46" t="s">
        <x:v>2398</x:v>
      </x:c>
      <x:c r="C33" s="60" t="s">
        <x:v>641</x:v>
      </x:c>
      <x:c r="D33" s="58"/>
      <x:c r="E33" s="62" t="s">
        <x:v>818</x:v>
      </x:c>
      <x:c r="F33" s="62" t="s">
        <x:v>818</x:v>
      </x:c>
      <x:c r="G33" s="62" t="s">
        <x:v>818</x:v>
      </x:c>
      <x:c r="H33" s="62" t="s">
        <x:v>818</x:v>
      </x:c>
      <x:c r="I33" s="62" t="s">
        <x:v>818</x:v>
      </x:c>
      <x:c r="J33" s="62" t="s">
        <x:v>818</x:v>
      </x:c>
      <x:c r="K33" s="62" t="s">
        <x:v>818</x:v>
      </x:c>
      <x:c r="L33" s="62" t="s">
        <x:v>818</x:v>
      </x:c>
      <x:c r="M33" s="62" t="s">
        <x:v>818</x:v>
      </x:c>
      <x:c r="N33" s="62" t="s">
        <x:v>818</x:v>
      </x:c>
      <x:c r="O33" s="62" t="s">
        <x:v>818</x:v>
      </x:c>
      <x:c r="P33" s="62" t="s">
        <x:v>818</x:v>
      </x:c>
      <x:c r="Q33" s="62" t="s">
        <x:v>818</x:v>
      </x:c>
      <x:c r="U33" s="189" t="str">
        <x:f t="shared" si="2"/>
        <x:v/>
      </x:c>
    </x:row>
    <x:row r="34" spans="2:21">
      <x:c r="B34" s="46" t="s">
        <x:v>1562</x:v>
      </x:c>
      <x:c r="C34" s="60" t="s">
        <x:v>2108</x:v>
      </x:c>
      <x:c r="D34" s="58"/>
      <x:c r="E34" s="62" t="s">
        <x:v>818</x:v>
      </x:c>
      <x:c r="F34" s="62" t="s">
        <x:v>818</x:v>
      </x:c>
      <x:c r="G34" s="62" t="s">
        <x:v>818</x:v>
      </x:c>
      <x:c r="H34" s="62" t="s">
        <x:v>818</x:v>
      </x:c>
      <x:c r="I34" s="62" t="s">
        <x:v>818</x:v>
      </x:c>
      <x:c r="J34" s="62" t="s">
        <x:v>818</x:v>
      </x:c>
      <x:c r="K34" s="62" t="s">
        <x:v>818</x:v>
      </x:c>
      <x:c r="L34" s="62" t="s">
        <x:v>818</x:v>
      </x:c>
      <x:c r="M34" s="62" t="s">
        <x:v>818</x:v>
      </x:c>
      <x:c r="N34" s="62" t="s">
        <x:v>818</x:v>
      </x:c>
      <x:c r="O34" s="62" t="s">
        <x:v>818</x:v>
      </x:c>
      <x:c r="P34" s="62" t="s">
        <x:v>818</x:v>
      </x:c>
      <x:c r="Q34" s="62" t="s">
        <x:v>818</x:v>
      </x:c>
      <x:c r="U34" s="189" t="str">
        <x:f t="shared" si="2"/>
        <x:v/>
      </x:c>
    </x:row>
    <x:row r="35" spans="2:21">
      <x:c r="B35" s="46" t="s">
        <x:v>631</x:v>
      </x:c>
      <x:c r="C35" s="60" t="s">
        <x:v>632</x:v>
      </x:c>
      <x:c r="D35" s="58"/>
      <x:c r="E35" s="62" t="s">
        <x:v>818</x:v>
      </x:c>
      <x:c r="F35" s="62" t="s">
        <x:v>818</x:v>
      </x:c>
      <x:c r="G35" s="62" t="s">
        <x:v>818</x:v>
      </x:c>
      <x:c r="H35" s="62" t="s">
        <x:v>818</x:v>
      </x:c>
      <x:c r="I35" s="62" t="s">
        <x:v>818</x:v>
      </x:c>
      <x:c r="J35" s="62" t="s">
        <x:v>818</x:v>
      </x:c>
      <x:c r="K35" s="62" t="s">
        <x:v>818</x:v>
      </x:c>
      <x:c r="L35" s="62" t="s">
        <x:v>818</x:v>
      </x:c>
      <x:c r="M35" s="62" t="s">
        <x:v>818</x:v>
      </x:c>
      <x:c r="N35" s="62" t="s">
        <x:v>818</x:v>
      </x:c>
      <x:c r="O35" s="62" t="s">
        <x:v>818</x:v>
      </x:c>
      <x:c r="P35" s="62" t="s">
        <x:v>818</x:v>
      </x:c>
      <x:c r="Q35" s="62" t="s">
        <x:v>818</x:v>
      </x:c>
      <x:c r="U35" s="189" t="str">
        <x:f t="shared" si="2"/>
        <x:v/>
      </x:c>
    </x:row>
    <x:row r="36" spans="2:21">
      <x:c r="B36" s="46" t="s">
        <x:v>1260</x:v>
      </x:c>
      <x:c r="C36" s="60" t="s">
        <x:v>1261</x:v>
      </x:c>
      <x:c r="D36" s="58"/>
      <x:c r="E36" s="62">
        <x:v>5437</x:v>
      </x:c>
      <x:c r="F36" s="62">
        <x:v>5247</x:v>
      </x:c>
      <x:c r="G36" s="62">
        <x:v>5726</x:v>
      </x:c>
      <x:c r="H36" s="62">
        <x:v>5590</x:v>
      </x:c>
      <x:c r="I36" s="62">
        <x:v>5379</x:v>
      </x:c>
      <x:c r="J36" s="62">
        <x:v>5910</x:v>
      </x:c>
      <x:c r="K36" s="62">
        <x:v>6262</x:v>
      </x:c>
      <x:c r="L36" s="62">
        <x:v>6488</x:v>
      </x:c>
      <x:c r="M36" s="62">
        <x:v>6567</x:v>
      </x:c>
      <x:c r="N36" s="62">
        <x:v>6775</x:v>
      </x:c>
      <x:c r="O36" s="62">
        <x:v>7479</x:v>
      </x:c>
      <x:c r="P36" s="62">
        <x:v>8316</x:v>
      </x:c>
      <x:c r="Q36" s="62">
        <x:v>8316</x:v>
      </x:c>
      <x:c r="U36" s="189">
        <x:f t="shared" si="2"/>
        <x:v>1</x:v>
      </x:c>
    </x:row>
    <x:row r="37" spans="2:21">
      <x:c r="B37" s="46" t="s">
        <x:v>2390</x:v>
      </x:c>
      <x:c r="C37" s="60" t="s">
        <x:v>1908</x:v>
      </x:c>
      <x:c r="D37" s="58"/>
      <x:c r="E37" s="62" t="s">
        <x:v>818</x:v>
      </x:c>
      <x:c r="F37" s="62" t="s">
        <x:v>818</x:v>
      </x:c>
      <x:c r="G37" s="62" t="s">
        <x:v>818</x:v>
      </x:c>
      <x:c r="H37" s="62" t="s">
        <x:v>818</x:v>
      </x:c>
      <x:c r="I37" s="62" t="s">
        <x:v>818</x:v>
      </x:c>
      <x:c r="J37" s="62" t="s">
        <x:v>818</x:v>
      </x:c>
      <x:c r="K37" s="62" t="s">
        <x:v>818</x:v>
      </x:c>
      <x:c r="L37" s="62" t="s">
        <x:v>818</x:v>
      </x:c>
      <x:c r="M37" s="62" t="s">
        <x:v>818</x:v>
      </x:c>
      <x:c r="N37" s="62" t="s">
        <x:v>818</x:v>
      </x:c>
      <x:c r="O37" s="62" t="s">
        <x:v>818</x:v>
      </x:c>
      <x:c r="P37" s="62" t="s">
        <x:v>818</x:v>
      </x:c>
      <x:c r="Q37" s="62" t="s">
        <x:v>818</x:v>
      </x:c>
      <x:c r="U37" s="189" t="str">
        <x:f t="shared" si="2"/>
        <x:v/>
      </x:c>
    </x:row>
    <x:row r="38" spans="2:21">
      <x:c r="B38" s="46" t="s">
        <x:v>739</x:v>
      </x:c>
      <x:c r="C38" s="60" t="s">
        <x:v>646</x:v>
      </x:c>
      <x:c r="D38" s="58"/>
      <x:c r="E38" s="62" t="s">
        <x:v>818</x:v>
      </x:c>
      <x:c r="F38" s="62" t="s">
        <x:v>818</x:v>
      </x:c>
      <x:c r="G38" s="62" t="s">
        <x:v>818</x:v>
      </x:c>
      <x:c r="H38" s="62" t="s">
        <x:v>818</x:v>
      </x:c>
      <x:c r="I38" s="62" t="s">
        <x:v>818</x:v>
      </x:c>
      <x:c r="J38" s="62" t="s">
        <x:v>818</x:v>
      </x:c>
      <x:c r="K38" s="62" t="s">
        <x:v>818</x:v>
      </x:c>
      <x:c r="L38" s="62" t="s">
        <x:v>818</x:v>
      </x:c>
      <x:c r="M38" s="62" t="s">
        <x:v>818</x:v>
      </x:c>
      <x:c r="N38" s="62" t="s">
        <x:v>818</x:v>
      </x:c>
      <x:c r="O38" s="62" t="s">
        <x:v>818</x:v>
      </x:c>
      <x:c r="P38" s="62" t="s">
        <x:v>818</x:v>
      </x:c>
      <x:c r="Q38" s="62" t="s">
        <x:v>818</x:v>
      </x:c>
      <x:c r="U38" s="189" t="str">
        <x:f t="shared" si="2"/>
        <x:v/>
      </x:c>
    </x:row>
    <x:row r="39" spans="2:21">
      <x:c r="B39" s="46" t="s">
        <x:v>729</x:v>
      </x:c>
      <x:c r="C39" s="60" t="s">
        <x:v>2088</x:v>
      </x:c>
      <x:c r="D39" s="58"/>
      <x:c r="E39" s="62" t="s">
        <x:v>818</x:v>
      </x:c>
      <x:c r="F39" s="62" t="s">
        <x:v>818</x:v>
      </x:c>
      <x:c r="G39" s="62" t="s">
        <x:v>818</x:v>
      </x:c>
      <x:c r="H39" s="62" t="s">
        <x:v>818</x:v>
      </x:c>
      <x:c r="I39" s="62" t="s">
        <x:v>818</x:v>
      </x:c>
      <x:c r="J39" s="62" t="s">
        <x:v>818</x:v>
      </x:c>
      <x:c r="K39" s="62" t="s">
        <x:v>818</x:v>
      </x:c>
      <x:c r="L39" s="62" t="s">
        <x:v>818</x:v>
      </x:c>
      <x:c r="M39" s="62" t="s">
        <x:v>818</x:v>
      </x:c>
      <x:c r="N39" s="62" t="s">
        <x:v>818</x:v>
      </x:c>
      <x:c r="O39" s="62" t="s">
        <x:v>818</x:v>
      </x:c>
      <x:c r="P39" s="62" t="s">
        <x:v>818</x:v>
      </x:c>
      <x:c r="Q39" s="62" t="s">
        <x:v>818</x:v>
      </x:c>
      <x:c r="U39" s="189" t="str">
        <x:f t="shared" si="2"/>
        <x:v/>
      </x:c>
    </x:row>
    <x:row r="40" spans="2:21">
      <x:c r="B40" s="46" t="s">
        <x:v>730</x:v>
      </x:c>
      <x:c r="C40" s="60" t="s">
        <x:v>2095</x:v>
      </x:c>
      <x:c r="D40" s="58"/>
      <x:c r="E40" s="62">
        <x:v>-708</x:v>
      </x:c>
      <x:c r="F40" s="62">
        <x:v>-669</x:v>
      </x:c>
      <x:c r="G40" s="62">
        <x:v>-1604</x:v>
      </x:c>
      <x:c r="H40" s="62">
        <x:v>-1466</x:v>
      </x:c>
      <x:c r="I40" s="62">
        <x:v>-1026</x:v>
      </x:c>
      <x:c r="J40" s="62">
        <x:v>-639</x:v>
      </x:c>
      <x:c r="K40" s="62">
        <x:v>-620</x:v>
      </x:c>
      <x:c r="L40" s="62">
        <x:v>-612</x:v>
      </x:c>
      <x:c r="M40" s="62">
        <x:v>-663</x:v>
      </x:c>
      <x:c r="N40" s="62">
        <x:v>-860</x:v>
      </x:c>
      <x:c r="O40" s="62">
        <x:v>-996</x:v>
      </x:c>
      <x:c r="P40" s="62">
        <x:v>-964</x:v>
      </x:c>
      <x:c r="Q40" s="62">
        <x:v>-964</x:v>
      </x:c>
      <x:c r="U40" s="189">
        <x:f t="shared" si="2"/>
        <x:v>1</x:v>
      </x:c>
    </x:row>
    <x:row r="41" spans="2:21">
      <x:c r="B41" s="63" t="s">
        <x:v>1559</x:v>
      </x:c>
      <x:c r="C41" s="60" t="s">
        <x:v>615</x:v>
      </x:c>
      <x:c r="D41" s="64"/>
      <x:c r="E41" s="147">
        <x:v>26278</x:v>
      </x:c>
      <x:c r="F41" s="147">
        <x:v>24167</x:v>
      </x:c>
      <x:c r="G41" s="147">
        <x:v>24347</x:v>
      </x:c>
      <x:c r="H41" s="147">
        <x:v>25261</x:v>
      </x:c>
      <x:c r="I41" s="147">
        <x:v>23719</x:v>
      </x:c>
      <x:c r="J41" s="147">
        <x:v>23995</x:v>
      </x:c>
      <x:c r="K41" s="147">
        <x:v>26203</x:v>
      </x:c>
      <x:c r="L41" s="147">
        <x:v>25903</x:v>
      </x:c>
      <x:c r="M41" s="147">
        <x:v>25167</x:v>
      </x:c>
      <x:c r="N41" s="147">
        <x:v>24397</x:v>
      </x:c>
      <x:c r="O41" s="147">
        <x:v>25764</x:v>
      </x:c>
      <x:c r="P41" s="147">
        <x:v>27540</x:v>
      </x:c>
      <x:c r="Q41" s="147">
        <x:v>27540</x:v>
      </x:c>
      <x:c r="R41" s="249"/>
      <x:c r="U41" s="188">
        <x:v>1</x:v>
      </x:c>
    </x:row>
    <x:row r="42" spans="2:21">
      <x:c r="B42" s="65"/>
      <x:c r="C42" s="60" t="s">
        <x:v>798</x:v>
      </x:c>
      <x:c r="D42" s="58"/>
      <x:c r="E42" s="148"/>
      <x:c r="F42" s="148"/>
      <x:c r="G42" s="148"/>
      <x:c r="H42" s="148"/>
      <x:c r="I42" s="148"/>
      <x:c r="J42" s="148"/>
      <x:c r="K42" s="148"/>
      <x:c r="L42" s="148"/>
      <x:c r="M42" s="148"/>
      <x:c r="N42" s="148"/>
      <x:c r="O42" s="148"/>
      <x:c r="P42" s="148"/>
      <x:c r="Q42" s="148"/>
      <x:c r="U42" s="188">
        <x:v>1</x:v>
      </x:c>
    </x:row>
    <x:row r="43" spans="2:21" ht="12">
      <x:c r="B43" s="63" t="s">
        <x:v>624</x:v>
      </x:c>
      <x:c r="C43" s="60" t="s">
        <x:v>1259</x:v>
      </x:c>
      <x:c r="D43" s="64"/>
      <x:c r="E43" s="146">
        <x:v>20129</x:v>
      </x:c>
      <x:c r="F43" s="146">
        <x:v>16517</x:v>
      </x:c>
      <x:c r="G43" s="146">
        <x:v>14170</x:v>
      </x:c>
      <x:c r="H43" s="146">
        <x:v>11682</x:v>
      </x:c>
      <x:c r="I43" s="146">
        <x:v>13218</x:v>
      </x:c>
      <x:c r="J43" s="146">
        <x:v>7539</x:v>
      </x:c>
      <x:c r="K43" s="146">
        <x:v>4662</x:v>
      </x:c>
      <x:c r="L43" s="146">
        <x:v>5583</x:v>
      </x:c>
      <x:c r="M43" s="146">
        <x:v>7521</x:v>
      </x:c>
      <x:c r="N43" s="146">
        <x:v>9903</x:v>
      </x:c>
      <x:c r="O43" s="146">
        <x:v>9788</x:v>
      </x:c>
      <x:c r="P43" s="146">
        <x:v>11757</x:v>
      </x:c>
      <x:c r="Q43" s="146">
        <x:v>11757</x:v>
      </x:c>
      <x:c r="U43" s="188">
        <x:v>1</x:v>
      </x:c>
    </x:row>
    <x:row r="44" spans="2:21" ht="12">
      <x:c r="B44" s="65"/>
      <x:c r="C44" s="60" t="s">
        <x:v>798</x:v>
      </x:c>
      <x:c r="D44" s="58"/>
      <x:c r="E44" s="62"/>
      <x:c r="F44" s="62"/>
      <x:c r="G44" s="62"/>
      <x:c r="H44" s="62"/>
      <x:c r="I44" s="62"/>
      <x:c r="J44" s="62"/>
      <x:c r="K44" s="62"/>
      <x:c r="L44" s="62"/>
      <x:c r="M44" s="62"/>
      <x:c r="N44" s="62"/>
      <x:c r="O44" s="62"/>
      <x:c r="P44" s="62"/>
      <x:c r="Q44" s="62"/>
      <x:c r="U44" s="188" t="str">
        <x:f t="shared" si="2"/>
        <x:v/>
      </x:c>
    </x:row>
    <x:row r="45" spans="2:21">
      <x:c r="B45" s="46" t="s">
        <x:v>633</x:v>
      </x:c>
      <x:c r="C45" s="60" t="s">
        <x:v>2100</x:v>
      </x:c>
      <x:c r="D45" s="58"/>
      <x:c r="E45" s="62">
        <x:v>-484</x:v>
      </x:c>
      <x:c r="F45" s="62">
        <x:v>-468</x:v>
      </x:c>
      <x:c r="G45" s="62">
        <x:v>-630</x:v>
      </x:c>
      <x:c r="H45" s="62">
        <x:v>-615</x:v>
      </x:c>
      <x:c r="I45" s="62">
        <x:v>-723</x:v>
      </x:c>
      <x:c r="J45" s="62">
        <x:v>-1344</x:v>
      </x:c>
      <x:c r="K45" s="62">
        <x:v>-1288</x:v>
      </x:c>
      <x:c r="L45" s="62">
        <x:v>-1155</x:v>
      </x:c>
      <x:c r="M45" s="62">
        <x:v>-1216</x:v>
      </x:c>
      <x:c r="N45" s="62">
        <x:v>-1607</x:v>
      </x:c>
      <x:c r="O45" s="62">
        <x:v>-1712</x:v>
      </x:c>
      <x:c r="P45" s="62">
        <x:v>-1935</x:v>
      </x:c>
      <x:c r="Q45" s="62">
        <x:v>-1935</x:v>
      </x:c>
      <x:c r="U45" s="189">
        <x:f t="shared" si="2"/>
        <x:v>1</x:v>
      </x:c>
    </x:row>
    <x:row r="46" spans="2:21">
      <x:c r="B46" s="46" t="s">
        <x:v>1555</x:v>
      </x:c>
      <x:c r="C46" s="60" t="s">
        <x:v>2399</x:v>
      </x:c>
      <x:c r="D46" s="58"/>
      <x:c r="E46" s="62">
        <x:v>90</x:v>
      </x:c>
      <x:c r="F46" s="62">
        <x:v>72</x:v>
      </x:c>
      <x:c r="G46" s="62">
        <x:v>108</x:v>
      </x:c>
      <x:c r="H46" s="62" t="s">
        <x:v>818</x:v>
      </x:c>
      <x:c r="I46" s="62" t="s">
        <x:v>818</x:v>
      </x:c>
      <x:c r="J46" s="62" t="s">
        <x:v>818</x:v>
      </x:c>
      <x:c r="K46" s="62" t="s">
        <x:v>818</x:v>
      </x:c>
      <x:c r="L46" s="62">
        <x:v>52</x:v>
      </x:c>
      <x:c r="M46" s="62">
        <x:v>162</x:v>
      </x:c>
      <x:c r="N46" s="62">
        <x:v>670</x:v>
      </x:c>
      <x:c r="O46" s="62">
        <x:v>747</x:v>
      </x:c>
      <x:c r="P46" s="62" t="s">
        <x:v>818</x:v>
      </x:c>
      <x:c r="Q46" s="62" t="s">
        <x:v>818</x:v>
      </x:c>
      <x:c r="U46" s="189">
        <x:f t="shared" si="2"/>
        <x:v>1</x:v>
      </x:c>
    </x:row>
    <x:row r="47" spans="2:21">
      <x:c r="B47" s="63" t="s">
        <x:v>634</x:v>
      </x:c>
      <x:c r="C47" s="60" t="s">
        <x:v>642</x:v>
      </x:c>
      <x:c r="D47" s="64"/>
      <x:c r="E47" s="147">
        <x:v>-394</x:v>
      </x:c>
      <x:c r="F47" s="147">
        <x:v>-396</x:v>
      </x:c>
      <x:c r="G47" s="147">
        <x:v>-522</x:v>
      </x:c>
      <x:c r="H47" s="147">
        <x:v>-615</x:v>
      </x:c>
      <x:c r="I47" s="147">
        <x:v>-723</x:v>
      </x:c>
      <x:c r="J47" s="147">
        <x:v>-1344</x:v>
      </x:c>
      <x:c r="K47" s="147">
        <x:v>-1288</x:v>
      </x:c>
      <x:c r="L47" s="147">
        <x:v>-1103</x:v>
      </x:c>
      <x:c r="M47" s="147">
        <x:v>-1054</x:v>
      </x:c>
      <x:c r="N47" s="147">
        <x:v>-937</x:v>
      </x:c>
      <x:c r="O47" s="147">
        <x:v>-965</x:v>
      </x:c>
      <x:c r="P47" s="147">
        <x:v>-1935</x:v>
      </x:c>
      <x:c r="Q47" s="147">
        <x:v>-1935</x:v>
      </x:c>
      <x:c r="U47" s="188">
        <x:v>1</x:v>
      </x:c>
    </x:row>
    <x:row r="48" spans="2:21">
      <x:c r="B48" s="65"/>
      <x:c r="C48" s="60" t="s">
        <x:v>798</x:v>
      </x:c>
      <x:c r="D48" s="58"/>
      <x:c r="E48" s="62"/>
      <x:c r="F48" s="62"/>
      <x:c r="G48" s="62"/>
      <x:c r="H48" s="62"/>
      <x:c r="I48" s="62"/>
      <x:c r="J48" s="62"/>
      <x:c r="K48" s="62"/>
      <x:c r="L48" s="62"/>
      <x:c r="M48" s="62"/>
      <x:c r="N48" s="62"/>
      <x:c r="O48" s="62"/>
      <x:c r="P48" s="62"/>
      <x:c r="Q48" s="62"/>
      <x:c r="U48" s="188" t="str">
        <x:f t="shared" si="2"/>
        <x:v/>
      </x:c>
    </x:row>
    <x:row r="49" spans="2:21">
      <x:c r="B49" s="46" t="s">
        <x:v>1171</x:v>
      </x:c>
      <x:c r="C49" s="60" t="s">
        <x:v>2097</x:v>
      </x:c>
      <x:c r="D49" s="58"/>
      <x:c r="E49" s="62" t="s">
        <x:v>818</x:v>
      </x:c>
      <x:c r="F49" s="62" t="s">
        <x:v>818</x:v>
      </x:c>
      <x:c r="G49" s="62" t="s">
        <x:v>818</x:v>
      </x:c>
      <x:c r="H49" s="62" t="s">
        <x:v>818</x:v>
      </x:c>
      <x:c r="I49" s="62" t="s">
        <x:v>818</x:v>
      </x:c>
      <x:c r="J49" s="62" t="s">
        <x:v>818</x:v>
      </x:c>
      <x:c r="K49" s="62" t="s">
        <x:v>818</x:v>
      </x:c>
      <x:c r="L49" s="62" t="s">
        <x:v>818</x:v>
      </x:c>
      <x:c r="M49" s="62" t="s">
        <x:v>818</x:v>
      </x:c>
      <x:c r="N49" s="62" t="s">
        <x:v>818</x:v>
      </x:c>
      <x:c r="O49" s="62" t="s">
        <x:v>818</x:v>
      </x:c>
      <x:c r="P49" s="62" t="s">
        <x:v>818</x:v>
      </x:c>
      <x:c r="Q49" s="62" t="s">
        <x:v>818</x:v>
      </x:c>
      <x:c r="U49" s="189" t="str">
        <x:f>IF(COUNT(E49:Q49)&lt;&gt;0,1,"")</x:f>
        <x:v/>
      </x:c>
    </x:row>
    <x:row r="50" spans="2:21">
      <x:c r="B50" s="46" t="s">
        <x:v>1170</x:v>
      </x:c>
      <x:c r="C50" s="60" t="s">
        <x:v>622</x:v>
      </x:c>
      <x:c r="D50" s="58"/>
      <x:c r="E50" s="62">
        <x:v>-80</x:v>
      </x:c>
      <x:c r="F50" s="62">
        <x:v>449</x:v>
      </x:c>
      <x:c r="G50" s="62">
        <x:v>-144</x:v>
      </x:c>
      <x:c r="H50" s="62" t="s">
        <x:v>818</x:v>
      </x:c>
      <x:c r="I50" s="62">
        <x:v>-434</x:v>
      </x:c>
      <x:c r="J50" s="62">
        <x:v>-14</x:v>
      </x:c>
      <x:c r="K50" s="62">
        <x:v>-12</x:v>
      </x:c>
      <x:c r="L50" s="62">
        <x:v>-1</x:v>
      </x:c>
      <x:c r="M50" s="62">
        <x:v>500</x:v>
      </x:c>
      <x:c r="N50" s="62">
        <x:v>-69</x:v>
      </x:c>
      <x:c r="O50" s="62">
        <x:v>20</x:v>
      </x:c>
      <x:c r="P50" s="62" t="s">
        <x:v>818</x:v>
      </x:c>
      <x:c r="Q50" s="62" t="s">
        <x:v>818</x:v>
      </x:c>
      <x:c r="U50" s="189">
        <x:f t="shared" si="2"/>
        <x:v>1</x:v>
      </x:c>
    </x:row>
    <x:row r="51" spans="2:21">
      <x:c r="B51" s="46" t="s">
        <x:v>1169</x:v>
      </x:c>
      <x:c r="C51" s="60" t="s">
        <x:v>1883</x:v>
      </x:c>
      <x:c r="D51" s="58"/>
      <x:c r="E51" s="62">
        <x:v>1687</x:v>
      </x:c>
      <x:c r="F51" s="62">
        <x:v>249</x:v>
      </x:c>
      <x:c r="G51" s="62">
        <x:v>-79</x:v>
      </x:c>
      <x:c r="H51" s="62">
        <x:v>333</x:v>
      </x:c>
      <x:c r="I51" s="62">
        <x:v>-719</x:v>
      </x:c>
      <x:c r="J51" s="62">
        <x:v>263</x:v>
      </x:c>
      <x:c r="K51" s="62">
        <x:v>-790</x:v>
      </x:c>
      <x:c r="L51" s="62">
        <x:v>225</x:v>
      </x:c>
      <x:c r="M51" s="62">
        <x:v>103</x:v>
      </x:c>
      <x:c r="N51" s="62">
        <x:v>180</x:v>
      </x:c>
      <x:c r="O51" s="62">
        <x:v>261</x:v>
      </x:c>
      <x:c r="P51" s="62">
        <x:v>507</x:v>
      </x:c>
      <x:c r="Q51" s="62">
        <x:v>507</x:v>
      </x:c>
      <x:c r="U51" s="189">
        <x:f t="shared" si="2"/>
        <x:v>1</x:v>
      </x:c>
    </x:row>
    <x:row r="52" spans="2:21">
      <x:c r="B52" s="63" t="s">
        <x:v>2387</x:v>
      </x:c>
      <x:c r="C52" s="60" t="s">
        <x:v>1263</x:v>
      </x:c>
      <x:c r="D52" s="64"/>
      <x:c r="E52" s="147">
        <x:v>21342</x:v>
      </x:c>
      <x:c r="F52" s="147">
        <x:v>16819</x:v>
      </x:c>
      <x:c r="G52" s="147">
        <x:v>13425</x:v>
      </x:c>
      <x:c r="H52" s="147">
        <x:v>11400</x:v>
      </x:c>
      <x:c r="I52" s="147">
        <x:v>11342</x:v>
      </x:c>
      <x:c r="J52" s="147">
        <x:v>6444</x:v>
      </x:c>
      <x:c r="K52" s="147">
        <x:v>2572</x:v>
      </x:c>
      <x:c r="L52" s="147">
        <x:v>4704</x:v>
      </x:c>
      <x:c r="M52" s="147">
        <x:v>7070</x:v>
      </x:c>
      <x:c r="N52" s="147">
        <x:v>9077</x:v>
      </x:c>
      <x:c r="O52" s="147">
        <x:v>9104</x:v>
      </x:c>
      <x:c r="P52" s="147">
        <x:v>10329</x:v>
      </x:c>
      <x:c r="Q52" s="147">
        <x:v>10329</x:v>
      </x:c>
      <x:c r="R52" s="249"/>
      <x:c r="U52" s="188">
        <x:v>1</x:v>
      </x:c>
    </x:row>
    <x:row r="53" spans="2:21">
      <x:c r="B53" s="65"/>
      <x:c r="C53" s="60" t="s">
        <x:v>798</x:v>
      </x:c>
      <x:c r="D53" s="58"/>
      <x:c r="E53" s="62"/>
      <x:c r="F53" s="62"/>
      <x:c r="G53" s="62"/>
      <x:c r="H53" s="62"/>
      <x:c r="I53" s="62"/>
      <x:c r="J53" s="62"/>
      <x:c r="K53" s="62"/>
      <x:c r="L53" s="62"/>
      <x:c r="M53" s="62"/>
      <x:c r="N53" s="62"/>
      <x:c r="O53" s="62"/>
      <x:c r="P53" s="62"/>
      <x:c r="Q53" s="62"/>
      <x:c r="U53" s="188">
        <x:v>1</x:v>
      </x:c>
    </x:row>
    <x:row r="54" spans="2:21">
      <x:c r="B54" s="46" t="s">
        <x:v>2373</x:v>
      </x:c>
      <x:c r="C54" s="60" t="s">
        <x:v>2101</x:v>
      </x:c>
      <x:c r="D54" s="58"/>
      <x:c r="E54" s="62">
        <x:v>-1472</x:v>
      </x:c>
      <x:c r="F54" s="62">
        <x:v>-587</x:v>
      </x:c>
      <x:c r="G54" s="62">
        <x:v>-1038</x:v>
      </x:c>
      <x:c r="H54" s="62" t="s">
        <x:v>818</x:v>
      </x:c>
      <x:c r="I54" s="62" t="s">
        <x:v>818</x:v>
      </x:c>
      <x:c r="J54" s="62" t="s">
        <x:v>818</x:v>
      </x:c>
      <x:c r="K54" s="62" t="s">
        <x:v>818</x:v>
      </x:c>
      <x:c r="L54" s="62" t="s">
        <x:v>818</x:v>
      </x:c>
      <x:c r="M54" s="62" t="s">
        <x:v>818</x:v>
      </x:c>
      <x:c r="N54" s="62">
        <x:v>-438</x:v>
      </x:c>
      <x:c r="O54" s="62">
        <x:v>-696</x:v>
      </x:c>
      <x:c r="P54" s="62" t="s">
        <x:v>818</x:v>
      </x:c>
      <x:c r="Q54" s="62" t="s">
        <x:v>818</x:v>
      </x:c>
      <x:c r="U54" s="189">
        <x:f t="shared" si="2"/>
        <x:v>1</x:v>
      </x:c>
    </x:row>
    <x:row r="55" spans="2:21">
      <x:c r="B55" s="46" t="s">
        <x:v>742</x:v>
      </x:c>
      <x:c r="C55" s="60" t="s">
        <x:v>2375</x:v>
      </x:c>
      <x:c r="D55" s="58"/>
      <x:c r="E55" s="62">
        <x:v>-12</x:v>
      </x:c>
      <x:c r="F55" s="62">
        <x:v>-26</x:v>
      </x:c>
      <x:c r="G55" s="62">
        <x:v>-5</x:v>
      </x:c>
      <x:c r="H55" s="62" t="s">
        <x:v>818</x:v>
      </x:c>
      <x:c r="I55" s="62" t="s">
        <x:v>818</x:v>
      </x:c>
      <x:c r="J55" s="62" t="s">
        <x:v>818</x:v>
      </x:c>
      <x:c r="K55" s="62" t="s">
        <x:v>818</x:v>
      </x:c>
      <x:c r="L55" s="62" t="s">
        <x:v>818</x:v>
      </x:c>
      <x:c r="M55" s="62" t="s">
        <x:v>818</x:v>
      </x:c>
      <x:c r="N55" s="62">
        <x:v>-33</x:v>
      </x:c>
      <x:c r="O55" s="62">
        <x:v>-123</x:v>
      </x:c>
      <x:c r="P55" s="62" t="s">
        <x:v>818</x:v>
      </x:c>
      <x:c r="Q55" s="62" t="s">
        <x:v>818</x:v>
      </x:c>
      <x:c r="U55" s="189">
        <x:f t="shared" si="2"/>
        <x:v>1</x:v>
      </x:c>
    </x:row>
    <x:row r="56" spans="2:21">
      <x:c r="B56" s="46" t="s">
        <x:v>2386</x:v>
      </x:c>
      <x:c r="C56" s="60" t="s">
        <x:v>623</x:v>
      </x:c>
      <x:c r="D56" s="58"/>
      <x:c r="E56" s="62" t="s">
        <x:v>818</x:v>
      </x:c>
      <x:c r="F56" s="62" t="s">
        <x:v>818</x:v>
      </x:c>
      <x:c r="G56" s="62" t="s">
        <x:v>818</x:v>
      </x:c>
      <x:c r="H56" s="62" t="s">
        <x:v>818</x:v>
      </x:c>
      <x:c r="I56" s="62" t="s">
        <x:v>818</x:v>
      </x:c>
      <x:c r="J56" s="62" t="s">
        <x:v>818</x:v>
      </x:c>
      <x:c r="K56" s="62" t="s">
        <x:v>818</x:v>
      </x:c>
      <x:c r="L56" s="62" t="s">
        <x:v>818</x:v>
      </x:c>
      <x:c r="M56" s="62" t="s">
        <x:v>818</x:v>
      </x:c>
      <x:c r="N56" s="62" t="s">
        <x:v>818</x:v>
      </x:c>
      <x:c r="O56" s="62" t="s">
        <x:v>818</x:v>
      </x:c>
      <x:c r="P56" s="62" t="s">
        <x:v>818</x:v>
      </x:c>
      <x:c r="Q56" s="62" t="s">
        <x:v>818</x:v>
      </x:c>
      <x:c r="U56" s="189" t="str">
        <x:f t="shared" si="2"/>
        <x:v/>
      </x:c>
    </x:row>
    <x:row r="57" spans="2:21">
      <x:c r="B57" s="46" t="s">
        <x:v>1172</x:v>
      </x:c>
      <x:c r="C57" s="60" t="s">
        <x:v>2124</x:v>
      </x:c>
      <x:c r="D57" s="58"/>
      <x:c r="E57" s="62">
        <x:v>26</x:v>
      </x:c>
      <x:c r="F57" s="62">
        <x:v>-47</x:v>
      </x:c>
      <x:c r="G57" s="62">
        <x:v>-23</x:v>
      </x:c>
      <x:c r="H57" s="62" t="s">
        <x:v>818</x:v>
      </x:c>
      <x:c r="I57" s="62" t="s">
        <x:v>818</x:v>
      </x:c>
      <x:c r="J57" s="62" t="s">
        <x:v>818</x:v>
      </x:c>
      <x:c r="K57" s="62" t="s">
        <x:v>818</x:v>
      </x:c>
      <x:c r="L57" s="62">
        <x:v>133</x:v>
      </x:c>
      <x:c r="M57" s="62">
        <x:v>-278</x:v>
      </x:c>
      <x:c r="N57" s="62">
        <x:v>39</x:v>
      </x:c>
      <x:c r="O57" s="62">
        <x:v>20</x:v>
      </x:c>
      <x:c r="P57" s="62" t="s">
        <x:v>818</x:v>
      </x:c>
      <x:c r="Q57" s="62" t="s">
        <x:v>818</x:v>
      </x:c>
      <x:c r="U57" s="189">
        <x:f t="shared" si="2"/>
        <x:v>1</x:v>
      </x:c>
    </x:row>
    <x:row r="58" spans="2:21">
      <x:c r="B58" s="46" t="s">
        <x:v>1168</x:v>
      </x:c>
      <x:c r="C58" s="60" t="s">
        <x:v>2125</x:v>
      </x:c>
      <x:c r="D58" s="58"/>
      <x:c r="E58" s="62">
        <x:v>236</x:v>
      </x:c>
      <x:c r="F58" s="62">
        <x:v>13</x:v>
      </x:c>
      <x:c r="G58" s="62">
        <x:v>27</x:v>
      </x:c>
      <x:c r="H58" s="62" t="s">
        <x:v>818</x:v>
      </x:c>
      <x:c r="I58" s="62" t="s">
        <x:v>818</x:v>
      </x:c>
      <x:c r="J58" s="62">
        <x:v>762</x:v>
      </x:c>
      <x:c r="K58" s="62" t="s">
        <x:v>818</x:v>
      </x:c>
      <x:c r="L58" s="62" t="s">
        <x:v>818</x:v>
      </x:c>
      <x:c r="M58" s="62">
        <x:v>258</x:v>
      </x:c>
      <x:c r="N58" s="62">
        <x:v>45</x:v>
      </x:c>
      <x:c r="O58" s="62">
        <x:v>605</x:v>
      </x:c>
      <x:c r="P58" s="62" t="s">
        <x:v>818</x:v>
      </x:c>
      <x:c r="Q58" s="62" t="s">
        <x:v>818</x:v>
      </x:c>
      <x:c r="U58" s="189">
        <x:f t="shared" si="2"/>
        <x:v>1</x:v>
      </x:c>
    </x:row>
    <x:row r="59" spans="2:21">
      <x:c r="B59" s="46" t="s">
        <x:v>2120</x:v>
      </x:c>
      <x:c r="C59" s="60" t="s">
        <x:v>636</x:v>
      </x:c>
      <x:c r="D59" s="58"/>
      <x:c r="E59" s="62" t="s">
        <x:v>818</x:v>
      </x:c>
      <x:c r="F59" s="62" t="s">
        <x:v>818</x:v>
      </x:c>
      <x:c r="G59" s="62" t="s">
        <x:v>818</x:v>
      </x:c>
      <x:c r="H59" s="62" t="s">
        <x:v>818</x:v>
      </x:c>
      <x:c r="I59" s="62" t="s">
        <x:v>818</x:v>
      </x:c>
      <x:c r="J59" s="62" t="s">
        <x:v>818</x:v>
      </x:c>
      <x:c r="K59" s="62" t="s">
        <x:v>818</x:v>
      </x:c>
      <x:c r="L59" s="62" t="s">
        <x:v>818</x:v>
      </x:c>
      <x:c r="M59" s="62" t="s">
        <x:v>818</x:v>
      </x:c>
      <x:c r="N59" s="62" t="s">
        <x:v>818</x:v>
      </x:c>
      <x:c r="O59" s="62" t="s">
        <x:v>818</x:v>
      </x:c>
      <x:c r="P59" s="62" t="s">
        <x:v>818</x:v>
      </x:c>
      <x:c r="Q59" s="62" t="s">
        <x:v>818</x:v>
      </x:c>
      <x:c r="U59" s="189" t="str">
        <x:f t="shared" si="2"/>
        <x:v/>
      </x:c>
    </x:row>
    <x:row r="60" spans="2:21">
      <x:c r="B60" s="46" t="s">
        <x:v>2374</x:v>
      </x:c>
      <x:c r="C60" s="60" t="s">
        <x:v>1921</x:v>
      </x:c>
      <x:c r="D60" s="58"/>
      <x:c r="E60" s="62" t="s">
        <x:v>818</x:v>
      </x:c>
      <x:c r="F60" s="62" t="s">
        <x:v>818</x:v>
      </x:c>
      <x:c r="G60" s="62" t="s">
        <x:v>818</x:v>
      </x:c>
      <x:c r="H60" s="62" t="s">
        <x:v>818</x:v>
      </x:c>
      <x:c r="I60" s="62" t="s">
        <x:v>818</x:v>
      </x:c>
      <x:c r="J60" s="62" t="s">
        <x:v>818</x:v>
      </x:c>
      <x:c r="K60" s="62" t="s">
        <x:v>818</x:v>
      </x:c>
      <x:c r="L60" s="62" t="s">
        <x:v>818</x:v>
      </x:c>
      <x:c r="M60" s="62" t="s">
        <x:v>818</x:v>
      </x:c>
      <x:c r="N60" s="62" t="s">
        <x:v>818</x:v>
      </x:c>
      <x:c r="O60" s="62" t="s">
        <x:v>818</x:v>
      </x:c>
      <x:c r="P60" s="62" t="s">
        <x:v>818</x:v>
      </x:c>
      <x:c r="Q60" s="62" t="s">
        <x:v>818</x:v>
      </x:c>
      <x:c r="U60" s="189" t="str">
        <x:f t="shared" si="2"/>
        <x:v/>
      </x:c>
    </x:row>
    <x:row r="61" spans="2:21">
      <x:c r="B61" s="46" t="s">
        <x:v>2376</x:v>
      </x:c>
      <x:c r="C61" s="60" t="s">
        <x:v>2115</x:v>
      </x:c>
      <x:c r="D61" s="58"/>
      <x:c r="E61" s="62" t="s">
        <x:v>818</x:v>
      </x:c>
      <x:c r="F61" s="62" t="s">
        <x:v>818</x:v>
      </x:c>
      <x:c r="G61" s="62" t="s">
        <x:v>818</x:v>
      </x:c>
      <x:c r="H61" s="62" t="s">
        <x:v>818</x:v>
      </x:c>
      <x:c r="I61" s="62" t="s">
        <x:v>818</x:v>
      </x:c>
      <x:c r="J61" s="62" t="s">
        <x:v>818</x:v>
      </x:c>
      <x:c r="K61" s="62" t="s">
        <x:v>818</x:v>
      </x:c>
      <x:c r="L61" s="62" t="s">
        <x:v>818</x:v>
      </x:c>
      <x:c r="M61" s="62" t="s">
        <x:v>818</x:v>
      </x:c>
      <x:c r="N61" s="62" t="s">
        <x:v>818</x:v>
      </x:c>
      <x:c r="O61" s="62" t="s">
        <x:v>818</x:v>
      </x:c>
      <x:c r="P61" s="62" t="s">
        <x:v>818</x:v>
      </x:c>
      <x:c r="Q61" s="62" t="s">
        <x:v>818</x:v>
      </x:c>
      <x:c r="U61" s="189" t="str">
        <x:f t="shared" si="2"/>
        <x:v/>
      </x:c>
    </x:row>
    <x:row r="62" spans="2:21">
      <x:c r="B62" s="46" t="s">
        <x:v>625</x:v>
      </x:c>
      <x:c r="C62" s="60" t="s">
        <x:v>2112</x:v>
      </x:c>
      <x:c r="D62" s="58"/>
      <x:c r="E62" s="62">
        <x:v>-148</x:v>
      </x:c>
      <x:c r="F62" s="62">
        <x:v>-233</x:v>
      </x:c>
      <x:c r="G62" s="62">
        <x:v>-56</x:v>
      </x:c>
      <x:c r="H62" s="62" t="s">
        <x:v>818</x:v>
      </x:c>
      <x:c r="I62" s="62" t="s">
        <x:v>818</x:v>
      </x:c>
      <x:c r="J62" s="62" t="s">
        <x:v>818</x:v>
      </x:c>
      <x:c r="K62" s="62" t="s">
        <x:v>818</x:v>
      </x:c>
      <x:c r="L62" s="62" t="s">
        <x:v>818</x:v>
      </x:c>
      <x:c r="M62" s="62" t="s">
        <x:v>818</x:v>
      </x:c>
      <x:c r="N62" s="62" t="s">
        <x:v>818</x:v>
      </x:c>
      <x:c r="O62" s="62" t="s">
        <x:v>818</x:v>
      </x:c>
      <x:c r="P62" s="62" t="s">
        <x:v>818</x:v>
      </x:c>
      <x:c r="Q62" s="62" t="s">
        <x:v>818</x:v>
      </x:c>
      <x:c r="U62" s="189">
        <x:f t="shared" si="2"/>
        <x:v>1</x:v>
      </x:c>
    </x:row>
    <x:row r="63" spans="2:21">
      <x:c r="B63" s="46" t="s">
        <x:v>616</x:v>
      </x:c>
      <x:c r="C63" s="60" t="s">
        <x:v>617</x:v>
      </x:c>
      <x:c r="D63" s="58"/>
      <x:c r="E63" s="62">
        <x:v>-135</x:v>
      </x:c>
      <x:c r="F63" s="62">
        <x:v>-227</x:v>
      </x:c>
      <x:c r="G63" s="62">
        <x:v>-56</x:v>
      </x:c>
      <x:c r="H63" s="62" t="s">
        <x:v>818</x:v>
      </x:c>
      <x:c r="I63" s="62" t="s">
        <x:v>818</x:v>
      </x:c>
      <x:c r="J63" s="62" t="s">
        <x:v>818</x:v>
      </x:c>
      <x:c r="K63" s="62" t="s">
        <x:v>818</x:v>
      </x:c>
      <x:c r="L63" s="62" t="s">
        <x:v>818</x:v>
      </x:c>
      <x:c r="M63" s="62">
        <x:v>-5894</x:v>
      </x:c>
      <x:c r="N63" s="62" t="s">
        <x:v>818</x:v>
      </x:c>
      <x:c r="O63" s="62">
        <x:v>-3113</x:v>
      </x:c>
      <x:c r="P63" s="62" t="s">
        <x:v>818</x:v>
      </x:c>
      <x:c r="Q63" s="62" t="s">
        <x:v>818</x:v>
      </x:c>
      <x:c r="U63" s="189">
        <x:f t="shared" si="2"/>
        <x:v>1</x:v>
      </x:c>
    </x:row>
    <x:row r="64" spans="2:21">
      <x:c r="B64" s="63" t="s">
        <x:v>2378</x:v>
      </x:c>
      <x:c r="C64" s="60" t="s">
        <x:v>1914</x:v>
      </x:c>
      <x:c r="D64" s="64"/>
      <x:c r="E64" s="147">
        <x:v>19985</x:v>
      </x:c>
      <x:c r="F64" s="147">
        <x:v>15945</x:v>
      </x:c>
      <x:c r="G64" s="147">
        <x:v>12330</x:v>
      </x:c>
      <x:c r="H64" s="147">
        <x:v>11400</x:v>
      </x:c>
      <x:c r="I64" s="147">
        <x:v>11342</x:v>
      </x:c>
      <x:c r="J64" s="147">
        <x:v>7206</x:v>
      </x:c>
      <x:c r="K64" s="147">
        <x:v>2572</x:v>
      </x:c>
      <x:c r="L64" s="147">
        <x:v>4837</x:v>
      </x:c>
      <x:c r="M64" s="147">
        <x:v>1156</x:v>
      </x:c>
      <x:c r="N64" s="147">
        <x:v>8690</x:v>
      </x:c>
      <x:c r="O64" s="147">
        <x:v>5797</x:v>
      </x:c>
      <x:c r="P64" s="147">
        <x:v>10329</x:v>
      </x:c>
      <x:c r="Q64" s="147">
        <x:v>10329</x:v>
      </x:c>
      <x:c r="U64" s="188">
        <x:v>1</x:v>
      </x:c>
    </x:row>
    <x:row r="65" spans="2:21">
      <x:c r="B65" s="65"/>
      <x:c r="C65" s="60" t="s">
        <x:v>798</x:v>
      </x:c>
      <x:c r="D65" s="58"/>
      <x:c r="E65" s="62"/>
      <x:c r="F65" s="62"/>
      <x:c r="G65" s="62"/>
      <x:c r="H65" s="62"/>
      <x:c r="I65" s="62"/>
      <x:c r="J65" s="62"/>
      <x:c r="K65" s="62"/>
      <x:c r="L65" s="62"/>
      <x:c r="M65" s="62"/>
      <x:c r="N65" s="62"/>
      <x:c r="O65" s="62"/>
      <x:c r="P65" s="62"/>
      <x:c r="Q65" s="62"/>
      <x:c r="U65" s="188">
        <x:v>1</x:v>
      </x:c>
    </x:row>
    <x:row r="66" spans="2:21">
      <x:c r="B66" s="46" t="s">
        <x:v>639</x:v>
      </x:c>
      <x:c r="C66" s="60" t="s">
        <x:v>1262</x:v>
      </x:c>
      <x:c r="D66" s="64"/>
      <x:c r="E66" s="62">
        <x:v>4234</x:v>
      </x:c>
      <x:c r="F66" s="62">
        <x:v>2581</x:v>
      </x:c>
      <x:c r="G66" s="62">
        <x:v>449</x:v>
      </x:c>
      <x:c r="H66" s="62">
        <x:v>5642</x:v>
      </x:c>
      <x:c r="I66" s="62">
        <x:v>2619</x:v>
      </x:c>
      <x:c r="J66" s="62">
        <x:v>60</x:v>
      </x:c>
      <x:c r="K66" s="62">
        <x:v>-1360</x:v>
      </x:c>
      <x:c r="L66" s="62">
        <x:v>124</x:v>
      </x:c>
      <x:c r="M66" s="62">
        <x:v>-626</x:v>
      </x:c>
      <x:c r="N66" s="62">
        <x:v>1176</x:v>
      </x:c>
      <x:c r="O66" s="62">
        <x:v>-218</x:v>
      </x:c>
      <x:c r="P66" s="62">
        <x:v>-242</x:v>
      </x:c>
      <x:c r="Q66" s="62">
        <x:v>-242</x:v>
      </x:c>
      <x:c r="U66" s="189">
        <x:f t="shared" si="2"/>
        <x:v>1</x:v>
      </x:c>
    </x:row>
    <x:row r="67" spans="2:21">
      <x:c r="B67" s="63" t="s">
        <x:v>1551</x:v>
      </x:c>
      <x:c r="C67" s="60" t="s">
        <x:v>2394</x:v>
      </x:c>
      <x:c r="D67" s="64"/>
      <x:c r="E67" s="147">
        <x:v>15751</x:v>
      </x:c>
      <x:c r="F67" s="147">
        <x:v>13364</x:v>
      </x:c>
      <x:c r="G67" s="147">
        <x:v>11881</x:v>
      </x:c>
      <x:c r="H67" s="147">
        <x:v>5758</x:v>
      </x:c>
      <x:c r="I67" s="147">
        <x:v>8723</x:v>
      </x:c>
      <x:c r="J67" s="147">
        <x:v>7146</x:v>
      </x:c>
      <x:c r="K67" s="147">
        <x:v>3932</x:v>
      </x:c>
      <x:c r="L67" s="147">
        <x:v>4713</x:v>
      </x:c>
      <x:c r="M67" s="147">
        <x:v>1782</x:v>
      </x:c>
      <x:c r="N67" s="147">
        <x:v>7514</x:v>
      </x:c>
      <x:c r="O67" s="147">
        <x:v>6015</x:v>
      </x:c>
      <x:c r="P67" s="147">
        <x:v>10571</x:v>
      </x:c>
      <x:c r="Q67" s="147">
        <x:v>10571</x:v>
      </x:c>
      <x:c r="R67" s="249"/>
      <x:c r="U67" s="188">
        <x:v>1</x:v>
      </x:c>
    </x:row>
    <x:row r="68" spans="2:21">
      <x:c r="B68" s="65"/>
      <x:c r="C68" s="60" t="s">
        <x:v>798</x:v>
      </x:c>
      <x:c r="D68" s="58"/>
      <x:c r="E68" s="62"/>
      <x:c r="F68" s="62"/>
      <x:c r="G68" s="62"/>
      <x:c r="H68" s="62"/>
      <x:c r="I68" s="62"/>
      <x:c r="J68" s="62"/>
      <x:c r="K68" s="62"/>
      <x:c r="L68" s="62"/>
      <x:c r="M68" s="62"/>
      <x:c r="N68" s="62"/>
      <x:c r="O68" s="62"/>
      <x:c r="P68" s="62"/>
      <x:c r="Q68" s="62"/>
      <x:c r="U68" s="188">
        <x:v>1</x:v>
      </x:c>
    </x:row>
    <x:row r="69" spans="2:21">
      <x:c r="B69" s="46" t="s">
        <x:v>1176</x:v>
      </x:c>
      <x:c r="C69" s="60" t="s">
        <x:v>1177</x:v>
      </x:c>
      <x:c r="D69" s="58"/>
      <x:c r="E69" s="62">
        <x:v>-3729</x:v>
      </x:c>
      <x:c r="F69" s="62">
        <x:v>-174</x:v>
      </x:c>
      <x:c r="G69" s="62">
        <x:v>-9</x:v>
      </x:c>
      <x:c r="H69" s="62">
        <x:v>-5</x:v>
      </x:c>
      <x:c r="I69" s="62">
        <x:v>5</x:v>
      </x:c>
      <x:c r="J69" s="62">
        <x:v>2285</x:v>
      </x:c>
      <x:c r="K69" s="62">
        <x:v>1658</x:v>
      </x:c>
      <x:c r="L69" s="62">
        <x:v>1030</x:v>
      </x:c>
      <x:c r="M69" s="62">
        <x:v>-143</x:v>
      </x:c>
      <x:c r="N69" s="62">
        <x:v>-12</x:v>
      </x:c>
      <x:c r="O69" s="62">
        <x:v>8</x:v>
      </x:c>
      <x:c r="P69" s="62">
        <x:v>22</x:v>
      </x:c>
      <x:c r="Q69" s="62">
        <x:v>22</x:v>
      </x:c>
      <x:c r="U69" s="189">
        <x:f t="shared" si="2"/>
        <x:v>1</x:v>
      </x:c>
    </x:row>
    <x:row r="70" spans="2:21">
      <x:c r="B70" s="46" t="s">
        <x:v>741</x:v>
      </x:c>
      <x:c r="C70" s="60" t="s">
        <x:v>643</x:v>
      </x:c>
      <x:c r="D70" s="58"/>
      <x:c r="E70" s="62" t="s">
        <x:v>818</x:v>
      </x:c>
      <x:c r="F70" s="62" t="s">
        <x:v>818</x:v>
      </x:c>
      <x:c r="G70" s="62" t="s">
        <x:v>818</x:v>
      </x:c>
      <x:c r="H70" s="62" t="s">
        <x:v>818</x:v>
      </x:c>
      <x:c r="I70" s="62" t="s">
        <x:v>818</x:v>
      </x:c>
      <x:c r="J70" s="62" t="s">
        <x:v>818</x:v>
      </x:c>
      <x:c r="K70" s="62" t="s">
        <x:v>818</x:v>
      </x:c>
      <x:c r="L70" s="62" t="s">
        <x:v>818</x:v>
      </x:c>
      <x:c r="M70" s="62" t="s">
        <x:v>818</x:v>
      </x:c>
      <x:c r="N70" s="62" t="s">
        <x:v>818</x:v>
      </x:c>
      <x:c r="O70" s="62" t="s">
        <x:v>818</x:v>
      </x:c>
      <x:c r="P70" s="62" t="s">
        <x:v>818</x:v>
      </x:c>
      <x:c r="Q70" s="62" t="s">
        <x:v>818</x:v>
      </x:c>
      <x:c r="U70" s="189" t="str">
        <x:f t="shared" si="2"/>
        <x:v/>
      </x:c>
    </x:row>
    <x:row r="71" spans="2:21">
      <x:c r="B71" s="63" t="s">
        <x:v>2379</x:v>
      </x:c>
      <x:c r="C71" s="60" t="s">
        <x:v>1250</x:v>
      </x:c>
      <x:c r="D71" s="64"/>
      <x:c r="E71" s="147">
        <x:v>12022</x:v>
      </x:c>
      <x:c r="F71" s="147">
        <x:v>13190</x:v>
      </x:c>
      <x:c r="G71" s="147">
        <x:v>11872</x:v>
      </x:c>
      <x:c r="H71" s="147">
        <x:v>5753</x:v>
      </x:c>
      <x:c r="I71" s="147">
        <x:v>8728</x:v>
      </x:c>
      <x:c r="J71" s="147">
        <x:v>9431</x:v>
      </x:c>
      <x:c r="K71" s="147">
        <x:v>5590</x:v>
      </x:c>
      <x:c r="L71" s="147">
        <x:v>5743</x:v>
      </x:c>
      <x:c r="M71" s="147">
        <x:v>1639</x:v>
      </x:c>
      <x:c r="N71" s="147">
        <x:v>7502</x:v>
      </x:c>
      <x:c r="O71" s="147">
        <x:v>6023</x:v>
      </x:c>
      <x:c r="P71" s="147">
        <x:v>10593</x:v>
      </x:c>
      <x:c r="Q71" s="147">
        <x:v>10593</x:v>
      </x:c>
      <x:c r="U71" s="188">
        <x:v>1</x:v>
      </x:c>
    </x:row>
    <x:row r="72" spans="2:21">
      <x:c r="B72" s="63"/>
      <x:c r="C72" s="60" t="s">
        <x:v>798</x:v>
      </x:c>
      <x:c r="D72" s="66"/>
      <x:c r="E72" s="70"/>
      <x:c r="F72" s="70"/>
      <x:c r="G72" s="70"/>
      <x:c r="H72" s="70"/>
      <x:c r="I72" s="70"/>
      <x:c r="J72" s="70"/>
      <x:c r="K72" s="70"/>
      <x:c r="L72" s="70"/>
      <x:c r="M72" s="70"/>
      <x:c r="N72" s="70"/>
      <x:c r="O72" s="70"/>
      <x:c r="P72" s="70"/>
      <x:c r="Q72" s="70"/>
      <x:c r="U72" s="188">
        <x:v>1</x:v>
      </x:c>
    </x:row>
    <x:row r="73" spans="2:21">
      <x:c r="B73" s="46" t="s">
        <x:v>1556</x:v>
      </x:c>
      <x:c r="C73" s="60" t="s">
        <x:v>1175</x:v>
      </x:c>
      <x:c r="D73" s="58"/>
      <x:c r="E73" s="62" t="s">
        <x:v>818</x:v>
      </x:c>
      <x:c r="F73" s="62" t="s">
        <x:v>818</x:v>
      </x:c>
      <x:c r="G73" s="62" t="s">
        <x:v>818</x:v>
      </x:c>
      <x:c r="H73" s="62" t="s">
        <x:v>818</x:v>
      </x:c>
      <x:c r="I73" s="62" t="s">
        <x:v>818</x:v>
      </x:c>
      <x:c r="J73" s="62" t="s">
        <x:v>818</x:v>
      </x:c>
      <x:c r="K73" s="62" t="s">
        <x:v>818</x:v>
      </x:c>
      <x:c r="L73" s="62" t="s">
        <x:v>818</x:v>
      </x:c>
      <x:c r="M73" s="62" t="s">
        <x:v>818</x:v>
      </x:c>
      <x:c r="N73" s="62" t="s">
        <x:v>818</x:v>
      </x:c>
      <x:c r="O73" s="62" t="s">
        <x:v>818</x:v>
      </x:c>
      <x:c r="P73" s="62" t="s">
        <x:v>818</x:v>
      </x:c>
      <x:c r="Q73" s="62" t="s">
        <x:v>818</x:v>
      </x:c>
      <x:c r="U73" s="189" t="str">
        <x:f t="shared" si="2"/>
        <x:v/>
      </x:c>
    </x:row>
    <x:row r="74" spans="2:21" ht="12">
      <x:c r="B74" s="63" t="s">
        <x:v>2380</x:v>
      </x:c>
      <x:c r="C74" s="60" t="s">
        <x:v>644</x:v>
      </x:c>
      <x:c r="D74" s="58"/>
      <x:c r="E74" s="146">
        <x:v>12022</x:v>
      </x:c>
      <x:c r="F74" s="146">
        <x:v>13190</x:v>
      </x:c>
      <x:c r="G74" s="146">
        <x:v>11872</x:v>
      </x:c>
      <x:c r="H74" s="146">
        <x:v>5753</x:v>
      </x:c>
      <x:c r="I74" s="146">
        <x:v>8728</x:v>
      </x:c>
      <x:c r="J74" s="146">
        <x:v>9431</x:v>
      </x:c>
      <x:c r="K74" s="146">
        <x:v>5590</x:v>
      </x:c>
      <x:c r="L74" s="146">
        <x:v>5743</x:v>
      </x:c>
      <x:c r="M74" s="146">
        <x:v>1639</x:v>
      </x:c>
      <x:c r="N74" s="146">
        <x:v>7502</x:v>
      </x:c>
      <x:c r="O74" s="146">
        <x:v>6023</x:v>
      </x:c>
      <x:c r="P74" s="146">
        <x:v>10593</x:v>
      </x:c>
      <x:c r="Q74" s="146">
        <x:v>10593</x:v>
      </x:c>
      <x:c r="U74" s="188">
        <x:v>1</x:v>
      </x:c>
    </x:row>
    <x:row r="75" spans="2:21" ht="12">
      <x:c r="B75" s="65"/>
      <x:c r="C75" s="60" t="s">
        <x:v>798</x:v>
      </x:c>
      <x:c r="D75" s="58"/>
      <x:c r="E75" s="62"/>
      <x:c r="F75" s="62"/>
      <x:c r="G75" s="62"/>
      <x:c r="H75" s="62"/>
      <x:c r="I75" s="62"/>
      <x:c r="J75" s="62"/>
      <x:c r="K75" s="62"/>
      <x:c r="L75" s="62"/>
      <x:c r="M75" s="62"/>
      <x:c r="N75" s="62"/>
      <x:c r="O75" s="62"/>
      <x:c r="P75" s="62"/>
      <x:c r="Q75" s="62"/>
      <x:c r="U75" s="188">
        <x:v>1</x:v>
      </x:c>
    </x:row>
    <x:row r="76" spans="2:21">
      <x:c r="B76" s="46" t="s">
        <x:v>1173</x:v>
      </x:c>
      <x:c r="C76" s="60" t="s">
        <x:v>655</x:v>
      </x:c>
      <x:c r="D76" s="58"/>
      <x:c r="E76" s="62" t="s">
        <x:v>818</x:v>
      </x:c>
      <x:c r="F76" s="62" t="s">
        <x:v>818</x:v>
      </x:c>
      <x:c r="G76" s="62" t="s">
        <x:v>818</x:v>
      </x:c>
      <x:c r="H76" s="62" t="s">
        <x:v>818</x:v>
      </x:c>
      <x:c r="I76" s="62" t="s">
        <x:v>818</x:v>
      </x:c>
      <x:c r="J76" s="62" t="s">
        <x:v>818</x:v>
      </x:c>
      <x:c r="K76" s="62" t="s">
        <x:v>818</x:v>
      </x:c>
      <x:c r="L76" s="62" t="s">
        <x:v>818</x:v>
      </x:c>
      <x:c r="M76" s="62" t="s">
        <x:v>818</x:v>
      </x:c>
      <x:c r="N76" s="62" t="s">
        <x:v>818</x:v>
      </x:c>
      <x:c r="O76" s="62" t="s">
        <x:v>818</x:v>
      </x:c>
      <x:c r="P76" s="62" t="s">
        <x:v>818</x:v>
      </x:c>
      <x:c r="Q76" s="62" t="s">
        <x:v>818</x:v>
      </x:c>
      <x:c r="U76" s="189" t="str">
        <x:f t="shared" si="2"/>
        <x:v/>
      </x:c>
    </x:row>
    <x:row r="77" spans="2:21">
      <x:c r="B77" s="65"/>
      <x:c r="C77" s="60" t="s">
        <x:v>798</x:v>
      </x:c>
      <x:c r="D77" s="58"/>
      <x:c r="E77" s="62"/>
      <x:c r="F77" s="62"/>
      <x:c r="G77" s="62"/>
      <x:c r="H77" s="62"/>
      <x:c r="I77" s="62"/>
      <x:c r="J77" s="62"/>
      <x:c r="K77" s="62"/>
      <x:c r="L77" s="62"/>
      <x:c r="M77" s="62"/>
      <x:c r="N77" s="62"/>
      <x:c r="O77" s="62"/>
      <x:c r="P77" s="62"/>
      <x:c r="Q77" s="62"/>
      <x:c r="U77" s="188">
        <x:v>1</x:v>
      </x:c>
    </x:row>
    <x:row r="78" spans="2:21">
      <x:c r="B78" s="63" t="s">
        <x:v>1174</x:v>
      </x:c>
      <x:c r="C78" s="60" t="s">
        <x:v>654</x:v>
      </x:c>
      <x:c r="D78" s="64"/>
      <x:c r="E78" s="70">
        <x:v>12022</x:v>
      </x:c>
      <x:c r="F78" s="70">
        <x:v>13190</x:v>
      </x:c>
      <x:c r="G78" s="70">
        <x:v>11872</x:v>
      </x:c>
      <x:c r="H78" s="70">
        <x:v>5753</x:v>
      </x:c>
      <x:c r="I78" s="70">
        <x:v>8728</x:v>
      </x:c>
      <x:c r="J78" s="70">
        <x:v>9431</x:v>
      </x:c>
      <x:c r="K78" s="70">
        <x:v>5590</x:v>
      </x:c>
      <x:c r="L78" s="70">
        <x:v>5743</x:v>
      </x:c>
      <x:c r="M78" s="70">
        <x:v>1639</x:v>
      </x:c>
      <x:c r="N78" s="70">
        <x:v>7502</x:v>
      </x:c>
      <x:c r="O78" s="70">
        <x:v>6023</x:v>
      </x:c>
      <x:c r="P78" s="70">
        <x:v>10593</x:v>
      </x:c>
      <x:c r="Q78" s="70">
        <x:v>10593</x:v>
      </x:c>
      <x:c r="U78" s="189">
        <x:f t="shared" si="2"/>
        <x:v>1</x:v>
      </x:c>
    </x:row>
    <x:row r="79" spans="2:21">
      <x:c r="B79" s="63" t="s">
        <x:v>1181</x:v>
      </x:c>
      <x:c r="C79" s="60" t="s">
        <x:v>647</x:v>
      </x:c>
      <x:c r="D79" s="64"/>
      <x:c r="E79" s="70">
        <x:v>15751</x:v>
      </x:c>
      <x:c r="F79" s="70">
        <x:v>13364</x:v>
      </x:c>
      <x:c r="G79" s="70">
        <x:v>11881</x:v>
      </x:c>
      <x:c r="H79" s="70">
        <x:v>5758</x:v>
      </x:c>
      <x:c r="I79" s="70">
        <x:v>8723</x:v>
      </x:c>
      <x:c r="J79" s="70">
        <x:v>7146</x:v>
      </x:c>
      <x:c r="K79" s="70">
        <x:v>3932</x:v>
      </x:c>
      <x:c r="L79" s="70">
        <x:v>4713</x:v>
      </x:c>
      <x:c r="M79" s="70">
        <x:v>1782</x:v>
      </x:c>
      <x:c r="N79" s="70">
        <x:v>7514</x:v>
      </x:c>
      <x:c r="O79" s="70">
        <x:v>6015</x:v>
      </x:c>
      <x:c r="P79" s="70">
        <x:v>10571</x:v>
      </x:c>
      <x:c r="Q79" s="70">
        <x:v>10571</x:v>
      </x:c>
      <x:c r="U79" s="189">
        <x:f t="shared" si="2"/>
        <x:v>1</x:v>
      </x:c>
    </x:row>
    <x:row r="80" spans="2:21">
      <x:c r="B80" s="65"/>
      <x:c r="C80" s="60" t="s">
        <x:v>798</x:v>
      </x:c>
      <x:c r="D80" s="58"/>
      <x:c r="E80" s="243"/>
      <x:c r="F80" s="243"/>
      <x:c r="G80" s="243"/>
      <x:c r="H80" s="243"/>
      <x:c r="I80" s="243"/>
      <x:c r="J80" s="243"/>
      <x:c r="K80" s="243"/>
      <x:c r="L80" s="243"/>
      <x:c r="M80" s="243"/>
      <x:c r="N80" s="243"/>
      <x:c r="O80" s="243"/>
      <x:c r="P80" s="243"/>
      <x:c r="Q80" s="243"/>
      <x:c r="S80" s="194"/>
      <x:c r="U80" s="188">
        <x:v>1</x:v>
      </x:c>
    </x:row>
    <x:row r="81" spans="2:21">
      <x:c r="B81" s="212" t="s">
        <x:v>2063</x:v>
      </x:c>
      <x:c r="C81" s="60" t="s">
        <x:v>798</x:v>
      </x:c>
      <x:c r="D81" s="58"/>
      <x:c r="E81" s="145" t="str">
        <x:f>E5</x:f>
        <x:v>Fiscal Year Ended,</x:v>
      </x:c>
      <x:c r="F81" s="145"/>
      <x:c r="G81" s="251"/>
      <x:c r="H81" s="251"/>
      <x:c r="I81" s="251"/>
      <x:c r="J81" s="251"/>
      <x:c r="K81" s="251"/>
      <x:c r="L81" s="251"/>
      <x:c r="M81" s="251"/>
      <x:c r="N81" s="251"/>
      <x:c r="O81" s="251"/>
      <x:c r="P81" s="251"/>
      <x:c r="Q81" s="252"/>
      <x:c r="U81" s="188">
        <x:v>1</x:v>
      </x:c>
    </x:row>
    <x:row r="82" spans="2:21">
      <x:c r="B82" s="46" t="s">
        <x:v>1264</x:v>
      </x:c>
      <x:c r="C82" s="60" t="s">
        <x:v>1547</x:v>
      </x:c>
      <x:c r="D82" s="58"/>
      <x:c r="E82" s="71">
        <x:v>11.971</x:v>
      </x:c>
      <x:c r="F82" s="71">
        <x:v>13.476000000000001</x:v>
      </x:c>
      <x:c r="G82" s="71">
        <x:v>12.426</x:v>
      </x:c>
      <x:c r="H82" s="71">
        <x:v>6.1669999999999998</x:v>
      </x:c>
      <x:c r="I82" s="71">
        <x:v>9.5700000000000003</x:v>
      </x:c>
      <x:c r="J82" s="71">
        <x:v>10.630000000000001</x:v>
      </x:c>
      <x:c r="K82" s="71">
        <x:v>6.2779999999999996</x:v>
      </x:c>
      <x:c r="L82" s="71">
        <x:v>6.4100000000000001</x:v>
      </x:c>
      <x:c r="M82" s="71">
        <x:v>1.8160000000000001</x:v>
      </x:c>
      <x:c r="N82" s="71">
        <x:v>8.2330000000000005</x:v>
      </x:c>
      <x:c r="O82" s="71">
        <x:v>6.5339999999999998</x:v>
      </x:c>
      <x:c r="P82" s="71">
        <x:v>11.362</x:v>
      </x:c>
      <x:c r="Q82" s="71">
        <x:v>11.362</x:v>
      </x:c>
      <x:c r="U82" s="189">
        <x:f t="shared" ref="U82:U144" si="3">IF(COUNT(E82:Q82)&lt;&gt;0,1,"")</x:f>
        <x:v>1</x:v>
      </x:c>
    </x:row>
    <x:row r="83" spans="2:21">
      <x:c r="B83" s="46" t="s">
        <x:v>1178</x:v>
      </x:c>
      <x:c r="C83" s="60" t="s">
        <x:v>1539</x:v>
      </x:c>
      <x:c r="D83" s="58"/>
      <x:c r="E83" s="71">
        <x:v>15.683999999999999</x:v>
      </x:c>
      <x:c r="F83" s="71">
        <x:v>13.654</x:v>
      </x:c>
      <x:c r="G83" s="71">
        <x:v>12.435</x:v>
      </x:c>
      <x:c r="H83" s="71">
        <x:v>6.173</x:v>
      </x:c>
      <x:c r="I83" s="71">
        <x:v>9.5640000000000001</x:v>
      </x:c>
      <x:c r="J83" s="71">
        <x:v>8.0540000000000003</x:v>
      </x:c>
      <x:c r="K83" s="71">
        <x:v>4.4160000000000004</x:v>
      </x:c>
      <x:c r="L83" s="71">
        <x:v>5.2599999999999998</x:v>
      </x:c>
      <x:c r="M83" s="71">
        <x:v>1.974</x:v>
      </x:c>
      <x:c r="N83" s="71">
        <x:v>8.2460000000000004</x:v>
      </x:c>
      <x:c r="O83" s="71">
        <x:v>6.5259999999999998</x:v>
      </x:c>
      <x:c r="P83" s="71">
        <x:v>11.339</x:v>
      </x:c>
      <x:c r="Q83" s="71">
        <x:v>11.339</x:v>
      </x:c>
      <x:c r="U83" s="189">
        <x:f t="shared" si="3"/>
        <x:v>1</x:v>
      </x:c>
    </x:row>
    <x:row r="84" spans="2:21">
      <x:c r="B84" s="46" t="s">
        <x:v>124</x:v>
      </x:c>
      <x:c r="C84" s="60" t="s">
        <x:v>2381</x:v>
      </x:c>
      <x:c r="D84" s="58"/>
      <x:c r="E84" s="72">
        <x:v>1004272584</x:v>
      </x:c>
      <x:c r="F84" s="72">
        <x:v>978744523</x:v>
      </x:c>
      <x:c r="G84" s="72">
        <x:v>955422530</x:v>
      </x:c>
      <x:c r="H84" s="72">
        <x:v>932828295</x:v>
      </x:c>
      <x:c r="I84" s="72">
        <x:v>912048072</x:v>
      </x:c>
      <x:c r="J84" s="72">
        <x:v>887235105</x:v>
      </x:c>
      <x:c r="K84" s="72">
        <x:v>890348679</x:v>
      </x:c>
      <x:c r="L84" s="72">
        <x:v>895990771</x:v>
      </x:c>
      <x:c r="M84" s="72">
        <x:v>902664190</x:v>
      </x:c>
      <x:c r="N84" s="72">
        <x:v>911210319</x:v>
      </x:c>
      <x:c r="O84" s="72">
        <x:v>921767834</x:v>
      </x:c>
      <x:c r="P84" s="72">
        <x:v>932300000</x:v>
      </x:c>
      <x:c r="Q84" s="72">
        <x:v>932300000</x:v>
      </x:c>
      <x:c r="U84" s="189">
        <x:f t="shared" si="3"/>
        <x:v>1</x:v>
      </x:c>
    </x:row>
    <x:row r="85" spans="2:21">
      <x:c r="B85" s="46"/>
      <x:c r="C85" s="60" t="s">
        <x:v>798</x:v>
      </x:c>
      <x:c r="D85" s="58"/>
      <x:c r="E85" s="73"/>
      <x:c r="F85" s="73"/>
      <x:c r="G85" s="73"/>
      <x:c r="H85" s="73"/>
      <x:c r="I85" s="73"/>
      <x:c r="J85" s="73"/>
      <x:c r="K85" s="73"/>
      <x:c r="L85" s="73"/>
      <x:c r="M85" s="73"/>
      <x:c r="N85" s="73"/>
      <x:c r="O85" s="73"/>
      <x:c r="P85" s="73"/>
      <x:c r="Q85" s="73"/>
      <x:c r="U85" s="188">
        <x:v>1</x:v>
      </x:c>
    </x:row>
    <x:row r="86" spans="2:21">
      <x:c r="B86" s="46" t="s">
        <x:v>2116</x:v>
      </x:c>
      <x:c r="C86" s="60" t="s">
        <x:v>1552</x:v>
      </x:c>
      <x:c r="D86" s="58"/>
      <x:c r="E86" s="71">
        <x:v>11.901</x:v>
      </x:c>
      <x:c r="F86" s="71">
        <x:v>13.420999999999999</x:v>
      </x:c>
      <x:c r="G86" s="71">
        <x:v>12.381</x:v>
      </x:c>
      <x:c r="H86" s="71">
        <x:v>6.1349999999999998</x:v>
      </x:c>
      <x:c r="I86" s="71">
        <x:v>9.5199999999999996</x:v>
      </x:c>
      <x:c r="J86" s="71">
        <x:v>10.558999999999999</x:v>
      </x:c>
      <x:c r="K86" s="71">
        <x:v>6.2329999999999997</x:v>
      </x:c>
      <x:c r="L86" s="71">
        <x:v>6.3490000000000002</x:v>
      </x:c>
      <x:c r="M86" s="71">
        <x:v>1.7929999999999999</x:v>
      </x:c>
      <x:c r="N86" s="71">
        <x:v>8.1370000000000005</x:v>
      </x:c>
      <x:c r="O86" s="71">
        <x:v>6.4290000000000003</x:v>
      </x:c>
      <x:c r="P86" s="71">
        <x:v>11.163</x:v>
      </x:c>
      <x:c r="Q86" s="71">
        <x:v>11.163</x:v>
      </x:c>
      <x:c r="U86" s="189">
        <x:f t="shared" si="3"/>
        <x:v>1</x:v>
      </x:c>
    </x:row>
    <x:row r="87" spans="2:21">
      <x:c r="B87" s="46" t="s">
        <x:v>1179</x:v>
      </x:c>
      <x:c r="C87" s="60" t="s">
        <x:v>1549</x:v>
      </x:c>
      <x:c r="D87" s="58"/>
      <x:c r="E87" s="71">
        <x:v>15.593</x:v>
      </x:c>
      <x:c r="F87" s="71">
        <x:v>13.598000000000001</x:v>
      </x:c>
      <x:c r="G87" s="71">
        <x:v>12.390000000000001</x:v>
      </x:c>
      <x:c r="H87" s="71">
        <x:v>6.1399999999999997</x:v>
      </x:c>
      <x:c r="I87" s="71">
        <x:v>9.5139999999999993</x:v>
      </x:c>
      <x:c r="J87" s="71">
        <x:v>8</x:v>
      </x:c>
      <x:c r="K87" s="71">
        <x:v>4.383</x:v>
      </x:c>
      <x:c r="L87" s="71">
        <x:v>5.21</x:v>
      </x:c>
      <x:c r="M87" s="71">
        <x:v>1.95</x:v>
      </x:c>
      <x:c r="N87" s="71">
        <x:v>8.1500000000000004</x:v>
      </x:c>
      <x:c r="O87" s="71">
        <x:v>6.4199999999999999</x:v>
      </x:c>
      <x:c r="P87" s="71">
        <x:v>11.140000000000001</x:v>
      </x:c>
      <x:c r="Q87" s="71">
        <x:v>11.140000000000001</x:v>
      </x:c>
      <x:c r="U87" s="189">
        <x:f t="shared" si="3"/>
        <x:v>1</x:v>
      </x:c>
    </x:row>
    <x:row r="88" spans="2:21">
      <x:c r="B88" s="46" t="s">
        <x:v>115</x:v>
      </x:c>
      <x:c r="C88" s="60" t="s">
        <x:v>2382</x:v>
      </x:c>
      <x:c r="D88" s="58"/>
      <x:c r="E88" s="72">
        <x:v>1010000480</x:v>
      </x:c>
      <x:c r="F88" s="72">
        <x:v>982700267</x:v>
      </x:c>
      <x:c r="G88" s="72">
        <x:v>958714097</x:v>
      </x:c>
      <x:c r="H88" s="72">
        <x:v>937385625</x:v>
      </x:c>
      <x:c r="I88" s="72">
        <x:v>916315714</x:v>
      </x:c>
      <x:c r="J88" s="72">
        <x:v>892813376</x:v>
      </x:c>
      <x:c r="K88" s="72">
        <x:v>896563971</x:v>
      </x:c>
      <x:c r="L88" s="72">
        <x:v>904641001</x:v>
      </x:c>
      <x:c r="M88" s="72">
        <x:v>912269062</x:v>
      </x:c>
      <x:c r="N88" s="72">
        <x:v>922073828</x:v>
      </x:c>
      <x:c r="O88" s="72">
        <x:v>937161224</x:v>
      </x:c>
      <x:c r="P88" s="72">
        <x:v>948700000</x:v>
      </x:c>
      <x:c r="Q88" s="72">
        <x:v>948700000</x:v>
      </x:c>
      <x:c r="U88" s="189">
        <x:f t="shared" si="3"/>
        <x:v>1</x:v>
      </x:c>
    </x:row>
    <x:row r="89" spans="2:21">
      <x:c r="B89" s="46"/>
      <x:c r="C89" s="60" t="s">
        <x:v>798</x:v>
      </x:c>
      <x:c r="D89" s="58"/>
      <x:c r="E89" s="74"/>
      <x:c r="F89" s="74"/>
      <x:c r="G89" s="74"/>
      <x:c r="H89" s="74"/>
      <x:c r="I89" s="74"/>
      <x:c r="J89" s="74"/>
      <x:c r="K89" s="74"/>
      <x:c r="L89" s="74"/>
      <x:c r="M89" s="74"/>
      <x:c r="N89" s="74"/>
      <x:c r="O89" s="74"/>
      <x:c r="P89" s="74"/>
      <x:c r="Q89" s="74"/>
      <x:c r="U89" s="188">
        <x:v>1</x:v>
      </x:c>
    </x:row>
    <x:row r="90" spans="2:21">
      <x:c r="B90" s="46" t="s">
        <x:v>2383</x:v>
      </x:c>
      <x:c r="C90" s="60" t="s">
        <x:v>650</x:v>
      </x:c>
      <x:c r="D90" s="58"/>
      <x:c r="E90" s="71">
        <x:v>13.282</x:v>
      </x:c>
      <x:c r="F90" s="71">
        <x:v>10.74</x:v>
      </x:c>
      <x:c r="G90" s="71">
        <x:v>8.782</x:v>
      </x:c>
      <x:c r="H90" s="71">
        <x:v>7.6379999999999999</x:v>
      </x:c>
      <x:c r="I90" s="71">
        <x:v>7.7720000000000002</x:v>
      </x:c>
      <x:c r="J90" s="71">
        <x:v>4.5389999999999997</x:v>
      </x:c>
      <x:c r="K90" s="71">
        <x:v>1.8049999999999999</x:v>
      </x:c>
      <x:c r="L90" s="71">
        <x:v>3.2810000000000001</x:v>
      </x:c>
      <x:c r="M90" s="71">
        <x:v>4.8949999999999996</x:v>
      </x:c>
      <x:c r="N90" s="71">
        <x:v>6.226</x:v>
      </x:c>
      <x:c r="O90" s="71">
        <x:v>6.173</x:v>
      </x:c>
      <x:c r="P90" s="71">
        <x:v>6.9240000000000004</x:v>
      </x:c>
      <x:c r="Q90" s="71">
        <x:v>6.9240000000000004</x:v>
      </x:c>
      <x:c r="U90" s="189">
        <x:f t="shared" si="3"/>
        <x:v>1</x:v>
      </x:c>
    </x:row>
    <x:row r="91" spans="2:21">
      <x:c r="B91" s="46" t="s">
        <x:v>2384</x:v>
      </x:c>
      <x:c r="C91" s="60" t="s">
        <x:v>649</x:v>
      </x:c>
      <x:c r="D91" s="58"/>
      <x:c r="E91" s="71">
        <x:v>13.207000000000001</x:v>
      </x:c>
      <x:c r="F91" s="71">
        <x:v>10.696999999999999</x:v>
      </x:c>
      <x:c r="G91" s="71">
        <x:v>8.7520000000000007</x:v>
      </x:c>
      <x:c r="H91" s="71">
        <x:v>7.601</x:v>
      </x:c>
      <x:c r="I91" s="71">
        <x:v>7.7359999999999998</x:v>
      </x:c>
      <x:c r="J91" s="71">
        <x:v>4.5110000000000001</x:v>
      </x:c>
      <x:c r="K91" s="71">
        <x:v>1.7929999999999999</x:v>
      </x:c>
      <x:c r="L91" s="71">
        <x:v>3.25</x:v>
      </x:c>
      <x:c r="M91" s="71">
        <x:v>4.8440000000000003</x:v>
      </x:c>
      <x:c r="N91" s="71">
        <x:v>6.1529999999999996</x:v>
      </x:c>
      <x:c r="O91" s="71">
        <x:v>6.0720000000000001</x:v>
      </x:c>
      <x:c r="P91" s="71">
        <x:v>6.8049999999999997</x:v>
      </x:c>
      <x:c r="Q91" s="71">
        <x:v>6.8049999999999997</x:v>
      </x:c>
      <x:c r="U91" s="189">
        <x:f t="shared" si="3"/>
        <x:v>1</x:v>
      </x:c>
    </x:row>
    <x:row r="92" spans="2:21">
      <x:c r="B92" s="46"/>
      <x:c r="C92" s="60" t="s">
        <x:v>798</x:v>
      </x:c>
      <x:c r="D92" s="58"/>
      <x:c r="E92" s="244"/>
      <x:c r="F92" s="244"/>
      <x:c r="G92" s="244"/>
      <x:c r="H92" s="244"/>
      <x:c r="I92" s="244"/>
      <x:c r="J92" s="244"/>
      <x:c r="K92" s="244"/>
      <x:c r="L92" s="244"/>
      <x:c r="M92" s="244"/>
      <x:c r="N92" s="244"/>
      <x:c r="O92" s="244"/>
      <x:c r="P92" s="244"/>
      <x:c r="Q92" s="244"/>
      <x:c r="U92" s="188">
        <x:v>1</x:v>
      </x:c>
    </x:row>
    <x:row r="93" spans="2:21">
      <x:c r="B93" s="46" t="s">
        <x:v>2385</x:v>
      </x:c>
      <x:c r="C93" s="60" t="s">
        <x:v>2425</x:v>
      </x:c>
      <x:c r="D93" s="58"/>
      <x:c r="E93" s="71">
        <x:v>4.25</x:v>
      </x:c>
      <x:c r="F93" s="71">
        <x:v>5</x:v>
      </x:c>
      <x:c r="G93" s="71">
        <x:v>5.5</x:v>
      </x:c>
      <x:c r="H93" s="71">
        <x:v>5.9000000000000004</x:v>
      </x:c>
      <x:c r="I93" s="71">
        <x:v>6.21</x:v>
      </x:c>
      <x:c r="J93" s="71">
        <x:v>6.4299999999999997</x:v>
      </x:c>
      <x:c r="K93" s="71">
        <x:v>6.5099999999999998</x:v>
      </x:c>
      <x:c r="L93" s="71">
        <x:v>6.5499999999999998</x:v>
      </x:c>
      <x:c r="M93" s="71">
        <x:v>6.5899999999999999</x:v>
      </x:c>
      <x:c r="N93" s="71">
        <x:v>6.6299999999999999</x:v>
      </x:c>
      <x:c r="O93" s="71">
        <x:v>6.6699999999999999</x:v>
      </x:c>
      <x:c r="P93" s="71">
        <x:v>6.71</x:v>
      </x:c>
      <x:c r="Q93" s="71">
        <x:v>6.71</x:v>
      </x:c>
      <x:c r="U93" s="189">
        <x:f t="shared" si="3"/>
        <x:v>1</x:v>
      </x:c>
    </x:row>
    <x:row r="94" spans="2:21">
      <x:c r="B94" s="46" t="s">
        <x:v>226</x:v>
      </x:c>
      <x:c r="C94" s="60" t="s">
        <x:v>731</x:v>
      </x:c>
      <x:c r="D94" s="58"/>
      <x:c r="E94" s="71">
        <x:v>1</x:v>
      </x:c>
      <x:c r="F94" s="71">
        <x:v>1</x:v>
      </x:c>
      <x:c r="G94" s="71">
        <x:v>1</x:v>
      </x:c>
      <x:c r="H94" s="71">
        <x:v>1</x:v>
      </x:c>
      <x:c r="I94" s="71">
        <x:v>1</x:v>
      </x:c>
      <x:c r="J94" s="71">
        <x:v>1</x:v>
      </x:c>
      <x:c r="K94" s="71">
        <x:v>1</x:v>
      </x:c>
      <x:c r="L94" s="71">
        <x:v>1</x:v>
      </x:c>
      <x:c r="M94" s="71">
        <x:v>1</x:v>
      </x:c>
      <x:c r="N94" s="71">
        <x:v>1</x:v>
      </x:c>
      <x:c r="O94" s="71">
        <x:v>1</x:v>
      </x:c>
      <x:c r="P94" s="71">
        <x:v>1</x:v>
      </x:c>
      <x:c r="Q94" s="71">
        <x:v>1</x:v>
      </x:c>
      <x:c r="U94" s="189">
        <x:f t="shared" si="3"/>
        <x:v>1</x:v>
      </x:c>
    </x:row>
    <x:row r="95" spans="2:21">
      <x:c r="B95" s="46" t="s">
        <x:v>651</x:v>
      </x:c>
      <x:c r="C95" s="60" t="s">
        <x:v>652</x:v>
      </x:c>
      <x:c r="D95" s="58"/>
      <x:c r="E95" s="75">
        <x:v>92.397999999999996</x:v>
      </x:c>
      <x:c r="F95" s="75">
        <x:v>83.516000000000005</x:v>
      </x:c>
      <x:c r="G95" s="75">
        <x:v>83.647999999999996</x:v>
      </x:c>
      <x:c r="H95" s="75">
        <x:v>84.837999999999994</x:v>
      </x:c>
      <x:c r="I95" s="75">
        <x:v>87.266000000000005</x:v>
      </x:c>
      <x:c r="J95" s="75">
        <x:v>65.049000000000007</x:v>
      </x:c>
      <x:c r="K95" s="75">
        <x:v>61.975000000000001</x:v>
      </x:c>
      <x:c r="L95" s="75">
        <x:v>64.007999999999996</x:v>
      </x:c>
      <x:c r="M95" s="75">
        <x:v>67.057000000000002</x:v>
      </x:c>
      <x:c r="N95" s="75">
        <x:v>67.888000000000005</x:v>
      </x:c>
      <x:c r="O95" s="75">
        <x:v>68.078999999999994</x:v>
      </x:c>
      <x:c r="P95" s="75">
        <x:v>72.438999999999993</x:v>
      </x:c>
      <x:c r="Q95" s="75">
        <x:v>72.438999999999993</x:v>
      </x:c>
      <x:c r="U95" s="189">
        <x:f t="shared" si="3"/>
        <x:v>1</x:v>
      </x:c>
    </x:row>
    <x:row r="96" spans="2:21">
      <x:c r="B96" s="46" t="s">
        <x:v>1180</x:v>
      </x:c>
      <x:c r="C96" s="60" t="s">
        <x:v>1554</x:v>
      </x:c>
      <x:c r="D96" s="58"/>
      <x:c r="E96" s="75" t="s">
        <x:v>818</x:v>
      </x:c>
      <x:c r="F96" s="75" t="s">
        <x:v>818</x:v>
      </x:c>
      <x:c r="G96" s="75" t="s">
        <x:v>818</x:v>
      </x:c>
      <x:c r="H96" s="75" t="s">
        <x:v>818</x:v>
      </x:c>
      <x:c r="I96" s="75" t="s">
        <x:v>818</x:v>
      </x:c>
      <x:c r="J96" s="75" t="s">
        <x:v>818</x:v>
      </x:c>
      <x:c r="K96" s="75" t="s">
        <x:v>818</x:v>
      </x:c>
      <x:c r="L96" s="75" t="s">
        <x:v>818</x:v>
      </x:c>
      <x:c r="M96" s="75" t="s">
        <x:v>818</x:v>
      </x:c>
      <x:c r="N96" s="75" t="s">
        <x:v>818</x:v>
      </x:c>
      <x:c r="O96" s="75" t="s">
        <x:v>818</x:v>
      </x:c>
      <x:c r="P96" s="75" t="s">
        <x:v>818</x:v>
      </x:c>
      <x:c r="Q96" s="75" t="s">
        <x:v>818</x:v>
      </x:c>
      <x:c r="U96" s="189" t="str">
        <x:f t="shared" si="3"/>
        <x:v/>
      </x:c>
    </x:row>
    <x:row r="97" spans="2:21">
      <x:c r="B97" s="46" t="s">
        <x:v>93</x:v>
      </x:c>
      <x:c r="C97" s="60" t="s">
        <x:v>235</x:v>
      </x:c>
      <x:c r="D97" s="58"/>
      <x:c r="E97" s="165" t="s">
        <x:v>818</x:v>
      </x:c>
      <x:c r="F97" s="165" t="s">
        <x:v>818</x:v>
      </x:c>
      <x:c r="G97" s="165" t="s">
        <x:v>818</x:v>
      </x:c>
      <x:c r="H97" s="165" t="s">
        <x:v>818</x:v>
      </x:c>
      <x:c r="I97" s="165" t="s">
        <x:v>818</x:v>
      </x:c>
      <x:c r="J97" s="165" t="s">
        <x:v>818</x:v>
      </x:c>
      <x:c r="K97" s="165" t="s">
        <x:v>818</x:v>
      </x:c>
      <x:c r="L97" s="165" t="s">
        <x:v>818</x:v>
      </x:c>
      <x:c r="M97" s="165" t="s">
        <x:v>818</x:v>
      </x:c>
      <x:c r="N97" s="165" t="s">
        <x:v>818</x:v>
      </x:c>
      <x:c r="O97" s="165" t="s">
        <x:v>818</x:v>
      </x:c>
      <x:c r="P97" s="165" t="s">
        <x:v>818</x:v>
      </x:c>
      <x:c r="Q97" s="165" t="s">
        <x:v>818</x:v>
      </x:c>
      <x:c r="U97" s="188" t="str">
        <x:f t="shared" si="3"/>
        <x:v/>
      </x:c>
    </x:row>
    <x:row r="98" spans="2:21">
      <x:c r="B98" s="46" t="s">
        <x:v>1542</x:v>
      </x:c>
      <x:c r="C98" s="60" t="s">
        <x:v>2423</x:v>
      </x:c>
      <x:c r="D98" s="58"/>
      <x:c r="E98" s="71" t="s">
        <x:v>818</x:v>
      </x:c>
      <x:c r="F98" s="71" t="s">
        <x:v>818</x:v>
      </x:c>
      <x:c r="G98" s="71" t="s">
        <x:v>818</x:v>
      </x:c>
      <x:c r="H98" s="71" t="s">
        <x:v>818</x:v>
      </x:c>
      <x:c r="I98" s="71" t="s">
        <x:v>818</x:v>
      </x:c>
      <x:c r="J98" s="71" t="s">
        <x:v>818</x:v>
      </x:c>
      <x:c r="K98" s="71" t="s">
        <x:v>818</x:v>
      </x:c>
      <x:c r="L98" s="71" t="s">
        <x:v>818</x:v>
      </x:c>
      <x:c r="M98" s="71" t="s">
        <x:v>818</x:v>
      </x:c>
      <x:c r="N98" s="71" t="s">
        <x:v>818</x:v>
      </x:c>
      <x:c r="O98" s="71" t="s">
        <x:v>818</x:v>
      </x:c>
      <x:c r="P98" s="71" t="s">
        <x:v>818</x:v>
      </x:c>
      <x:c r="Q98" s="71" t="s">
        <x:v>818</x:v>
      </x:c>
      <x:c r="U98" s="189" t="str">
        <x:f t="shared" si="3"/>
        <x:v/>
      </x:c>
    </x:row>
    <x:row r="99" spans="3:21">
      <x:c r="C99" s="60"/>
      <x:c r="D99" s="58"/>
      <x:c r="E99" s="71"/>
      <x:c r="F99" s="71"/>
      <x:c r="G99" s="71"/>
      <x:c r="H99" s="71"/>
      <x:c r="I99" s="71"/>
      <x:c r="J99" s="71"/>
      <x:c r="K99" s="71"/>
      <x:c r="L99" s="71"/>
      <x:c r="M99" s="71"/>
      <x:c r="N99" s="71"/>
      <x:c r="O99" s="71"/>
      <x:c r="P99" s="71"/>
      <x:c r="Q99" s="71"/>
      <x:c r="U99" s="189">
        <x:v>1</x:v>
      </x:c>
    </x:row>
    <x:row r="100" spans="2:21">
      <x:c r="B100" s="61" t="s">
        <x:v>653</x:v>
      </x:c>
      <x:c r="C100" s="60" t="s">
        <x:v>798</x:v>
      </x:c>
      <x:c r="D100" s="58"/>
      <x:c r="E100" s="245"/>
      <x:c r="F100" s="245"/>
      <x:c r="G100" s="161"/>
      <x:c r="H100" s="161"/>
      <x:c r="I100" s="161"/>
      <x:c r="J100" s="161"/>
      <x:c r="K100" s="161"/>
      <x:c r="L100" s="161"/>
      <x:c r="M100" s="161"/>
      <x:c r="N100" s="161"/>
      <x:c r="O100" s="161"/>
      <x:c r="P100" s="161"/>
      <x:c r="Q100" s="161"/>
      <x:c r="U100" s="188">
        <x:v>1</x:v>
      </x:c>
    </x:row>
    <x:row r="101" spans="2:21">
      <x:c r="B101" s="46" t="s">
        <x:v>1902</x:v>
      </x:c>
      <x:c r="C101" s="60" t="s">
        <x:v>1245</x:v>
      </x:c>
      <x:c r="D101" s="58"/>
      <x:c r="E101" s="62">
        <x:v>24621</x:v>
      </x:c>
      <x:c r="F101" s="62">
        <x:v>20372</x:v>
      </x:c>
      <x:c r="G101" s="62">
        <x:v>18551</x:v>
      </x:c>
      <x:c r="H101" s="62">
        <x:v>16223</x:v>
      </x:c>
      <x:c r="I101" s="62">
        <x:v>17698</x:v>
      </x:c>
      <x:c r="J101" s="62">
        <x:v>13598</x:v>
      </x:c>
      <x:c r="K101" s="62">
        <x:v>11357</x:v>
      </x:c>
      <x:c r="L101" s="62">
        <x:v>11309</x:v>
      </x:c>
      <x:c r="M101" s="62">
        <x:v>10775</x:v>
      </x:c>
      <x:c r="N101" s="165">
        <x:v>12739</x:v>
      </x:c>
      <x:c r="O101" s="165">
        <x:v>12886</x:v>
      </x:c>
      <x:c r="P101" s="165">
        <x:v>16778</x:v>
      </x:c>
      <x:c r="Q101" s="165">
        <x:v>16778</x:v>
      </x:c>
      <x:c r="U101" s="189">
        <x:f t="shared" si="3"/>
        <x:v>1</x:v>
      </x:c>
    </x:row>
    <x:row r="102" spans="2:21">
      <x:c r="B102" s="46" t="s">
        <x:v>127</x:v>
      </x:c>
      <x:c r="C102" s="60" t="s">
        <x:v>648</x:v>
      </x:c>
      <x:c r="D102" s="58"/>
      <x:c r="E102" s="62">
        <x:v>24621</x:v>
      </x:c>
      <x:c r="F102" s="62">
        <x:v>20372</x:v>
      </x:c>
      <x:c r="G102" s="62">
        <x:v>18551</x:v>
      </x:c>
      <x:c r="H102" s="62">
        <x:v>16223</x:v>
      </x:c>
      <x:c r="I102" s="62">
        <x:v>17698</x:v>
      </x:c>
      <x:c r="J102" s="62">
        <x:v>15221</x:v>
      </x:c>
      <x:c r="K102" s="62">
        <x:v>12881</x:v>
      </x:c>
      <x:c r="L102" s="62">
        <x:v>12746</x:v>
      </x:c>
      <x:c r="M102" s="62">
        <x:v>12022</x:v>
      </x:c>
      <x:c r="N102" s="165">
        <x:v>14031</x:v>
      </x:c>
      <x:c r="O102" s="165">
        <x:v>14195</x:v>
      </x:c>
      <x:c r="P102" s="165">
        <x:v>18087</x:v>
      </x:c>
      <x:c r="Q102" s="165">
        <x:v>18087</x:v>
      </x:c>
      <x:c r="U102" s="189">
        <x:f t="shared" si="3"/>
        <x:v>1</x:v>
      </x:c>
    </x:row>
    <x:row r="103" spans="2:21">
      <x:c r="B103" s="46" t="s">
        <x:v>49</x:v>
      </x:c>
      <x:c r="C103" s="60" t="s">
        <x:v>1543</x:v>
      </x:c>
      <x:c r="D103" s="58"/>
      <x:c r="E103" s="62">
        <x:v>25133</x:v>
      </x:c>
      <x:c r="F103" s="62">
        <x:v>20840</x:v>
      </x:c>
      <x:c r="G103" s="62">
        <x:v>19095</x:v>
      </x:c>
      <x:c r="H103" s="62">
        <x:v>16757</x:v>
      </x:c>
      <x:c r="I103" s="62">
        <x:v>18208</x:v>
      </x:c>
      <x:c r="J103" s="62">
        <x:v>14277</x:v>
      </x:c>
      <x:c r="K103" s="62">
        <x:v>12294</x:v>
      </x:c>
      <x:c r="L103" s="62">
        <x:v>12291</x:v>
      </x:c>
      <x:c r="M103" s="62">
        <x:v>11763</x:v>
      </x:c>
      <x:c r="N103" s="165">
        <x:v>13873</x:v>
      </x:c>
      <x:c r="O103" s="165">
        <x:v>14197</x:v>
      </x:c>
      <x:c r="P103" s="165">
        <x:v>18493</x:v>
      </x:c>
      <x:c r="Q103" s="165">
        <x:v>18493</x:v>
      </x:c>
      <x:c r="U103" s="189">
        <x:f t="shared" si="3"/>
        <x:v>1</x:v>
      </x:c>
    </x:row>
    <x:row r="104" spans="2:21">
      <x:c r="B104" s="46" t="s">
        <x:v>610</x:v>
      </x:c>
      <x:c r="C104" s="60" t="s">
        <x:v>592</x:v>
      </x:c>
      <x:c r="D104" s="58"/>
      <x:c r="E104" s="62">
        <x:v>25133</x:v>
      </x:c>
      <x:c r="F104" s="62">
        <x:v>20840</x:v>
      </x:c>
      <x:c r="G104" s="62">
        <x:v>19095</x:v>
      </x:c>
      <x:c r="H104" s="62">
        <x:v>16757</x:v>
      </x:c>
      <x:c r="I104" s="62">
        <x:v>18208</x:v>
      </x:c>
      <x:c r="J104" s="62">
        <x:v>14277</x:v>
      </x:c>
      <x:c r="K104" s="62">
        <x:v>12294</x:v>
      </x:c>
      <x:c r="L104" s="62">
        <x:v>12291</x:v>
      </x:c>
      <x:c r="M104" s="62">
        <x:v>11763</x:v>
      </x:c>
      <x:c r="N104" s="165">
        <x:v>13873</x:v>
      </x:c>
      <x:c r="O104" s="165">
        <x:v>14197</x:v>
      </x:c>
      <x:c r="P104" s="165">
        <x:v>18493</x:v>
      </x:c>
      <x:c r="Q104" s="165">
        <x:v>18493</x:v>
      </x:c>
      <x:c r="U104" s="189">
        <x:f t="shared" si="3"/>
        <x:v>1</x:v>
      </x:c>
    </x:row>
    <x:row r="105" spans="2:21">
      <x:c r="B105" s="46" t="s">
        <x:v>2406</x:v>
      </x:c>
      <x:c r="C105" s="60" t="s">
        <x:v>1557</x:v>
      </x:c>
      <x:c r="D105" s="58"/>
      <x:c r="E105" s="62">
        <x:v>24621</x:v>
      </x:c>
      <x:c r="F105" s="62">
        <x:v>20372</x:v>
      </x:c>
      <x:c r="G105" s="62">
        <x:v>18551</x:v>
      </x:c>
      <x:c r="H105" s="62">
        <x:v>16223</x:v>
      </x:c>
      <x:c r="I105" s="62">
        <x:v>17698</x:v>
      </x:c>
      <x:c r="J105" s="62">
        <x:v>15221</x:v>
      </x:c>
      <x:c r="K105" s="62">
        <x:v>12881</x:v>
      </x:c>
      <x:c r="L105" s="62">
        <x:v>12746</x:v>
      </x:c>
      <x:c r="M105" s="62">
        <x:v>12022</x:v>
      </x:c>
      <x:c r="N105" s="165">
        <x:v>14031</x:v>
      </x:c>
      <x:c r="O105" s="165">
        <x:v>14195</x:v>
      </x:c>
      <x:c r="P105" s="165">
        <x:v>18087</x:v>
      </x:c>
      <x:c r="Q105" s="165">
        <x:v>18087</x:v>
      </x:c>
      <x:c r="U105" s="189">
        <x:f t="shared" si="3"/>
        <x:v>1</x:v>
      </x:c>
    </x:row>
    <x:row r="106" spans="2:21">
      <x:c r="B106" s="46" t="s">
        <x:v>1560</x:v>
      </x:c>
      <x:c r="C106" s="60" t="s">
        <x:v>1540</x:v>
      </x:c>
      <x:c r="D106" s="58"/>
      <x:c r="E106" s="62" t="s">
        <x:v>818</x:v>
      </x:c>
      <x:c r="F106" s="62" t="s">
        <x:v>818</x:v>
      </x:c>
      <x:c r="G106" s="62" t="s">
        <x:v>818</x:v>
      </x:c>
      <x:c r="H106" s="62" t="s">
        <x:v>818</x:v>
      </x:c>
      <x:c r="I106" s="62" t="s">
        <x:v>818</x:v>
      </x:c>
      <x:c r="J106" s="62">
        <x:v>1623</x:v>
      </x:c>
      <x:c r="K106" s="62">
        <x:v>1524</x:v>
      </x:c>
      <x:c r="L106" s="62">
        <x:v>1437</x:v>
      </x:c>
      <x:c r="M106" s="62">
        <x:v>1247</x:v>
      </x:c>
      <x:c r="N106" s="165">
        <x:v>1292</x:v>
      </x:c>
      <x:c r="O106" s="165">
        <x:v>1309</x:v>
      </x:c>
      <x:c r="P106" s="165">
        <x:v>1309</x:v>
      </x:c>
      <x:c r="Q106" s="165">
        <x:v>1309</x:v>
      </x:c>
      <x:c r="U106" s="189">
        <x:f t="shared" si="3"/>
        <x:v>1</x:v>
      </x:c>
    </x:row>
    <x:row r="107" spans="2:21">
      <x:c r="B107" s="46" t="s">
        <x:v>160</x:v>
      </x:c>
      <x:c r="C107" s="60" t="s">
        <x:v>236</x:v>
      </x:c>
      <x:c r="D107" s="58"/>
      <x:c r="E107" s="62">
        <x:v>24621</x:v>
      </x:c>
      <x:c r="F107" s="62">
        <x:v>20372</x:v>
      </x:c>
      <x:c r="G107" s="62">
        <x:v>18551</x:v>
      </x:c>
      <x:c r="H107" s="62">
        <x:v>16223</x:v>
      </x:c>
      <x:c r="I107" s="62">
        <x:v>17698</x:v>
      </x:c>
      <x:c r="J107" s="62">
        <x:v>13598</x:v>
      </x:c>
      <x:c r="K107" s="62">
        <x:v>11357</x:v>
      </x:c>
      <x:c r="L107" s="62">
        <x:v>11309</x:v>
      </x:c>
      <x:c r="M107" s="62">
        <x:v>10775</x:v>
      </x:c>
      <x:c r="N107" s="165">
        <x:v>12739</x:v>
      </x:c>
      <x:c r="O107" s="165">
        <x:v>12886</x:v>
      </x:c>
      <x:c r="P107" s="165">
        <x:v>16778</x:v>
      </x:c>
      <x:c r="Q107" s="165">
        <x:v>16778</x:v>
      </x:c>
      <x:c r="U107" s="189">
        <x:f t="shared" si="3"/>
        <x:v>1</x:v>
      </x:c>
    </x:row>
    <x:row r="108" spans="2:21">
      <x:c r="B108" s="46" t="s">
        <x:v>1895</x:v>
      </x:c>
      <x:c r="C108" s="60" t="s">
        <x:v>1896</x:v>
      </x:c>
      <x:c r="D108" s="58"/>
      <x:c r="E108" s="62">
        <x:v>20129</x:v>
      </x:c>
      <x:c r="F108" s="62">
        <x:v>16517</x:v>
      </x:c>
      <x:c r="G108" s="62">
        <x:v>14170</x:v>
      </x:c>
      <x:c r="H108" s="62">
        <x:v>11682</x:v>
      </x:c>
      <x:c r="I108" s="62">
        <x:v>13218</x:v>
      </x:c>
      <x:c r="J108" s="62">
        <x:v>7539</x:v>
      </x:c>
      <x:c r="K108" s="62">
        <x:v>4662</x:v>
      </x:c>
      <x:c r="L108" s="62">
        <x:v>5583</x:v>
      </x:c>
      <x:c r="M108" s="62">
        <x:v>7521</x:v>
      </x:c>
      <x:c r="N108" s="165">
        <x:v>9903</x:v>
      </x:c>
      <x:c r="O108" s="165">
        <x:v>9788</x:v>
      </x:c>
      <x:c r="P108" s="165">
        <x:v>11757</x:v>
      </x:c>
      <x:c r="Q108" s="165">
        <x:v>11757</x:v>
      </x:c>
      <x:c r="U108" s="189">
        <x:f t="shared" si="3"/>
        <x:v>1</x:v>
      </x:c>
    </x:row>
    <x:row r="109" spans="2:21">
      <x:c r="B109" s="46" t="s">
        <x:v>125</x:v>
      </x:c>
      <x:c r="C109" s="60" t="s">
        <x:v>2121</x:v>
      </x:c>
      <x:c r="D109" s="58"/>
      <x:c r="E109" s="62">
        <x:v>20129</x:v>
      </x:c>
      <x:c r="F109" s="62">
        <x:v>16517</x:v>
      </x:c>
      <x:c r="G109" s="62">
        <x:v>14170</x:v>
      </x:c>
      <x:c r="H109" s="62">
        <x:v>11682</x:v>
      </x:c>
      <x:c r="I109" s="62">
        <x:v>13218</x:v>
      </x:c>
      <x:c r="J109" s="62">
        <x:v>7539</x:v>
      </x:c>
      <x:c r="K109" s="62">
        <x:v>4662</x:v>
      </x:c>
      <x:c r="L109" s="62">
        <x:v>5583</x:v>
      </x:c>
      <x:c r="M109" s="62">
        <x:v>7521</x:v>
      </x:c>
      <x:c r="N109" s="165">
        <x:v>9903</x:v>
      </x:c>
      <x:c r="O109" s="165">
        <x:v>9788</x:v>
      </x:c>
      <x:c r="P109" s="165">
        <x:v>11757</x:v>
      </x:c>
      <x:c r="Q109" s="165">
        <x:v>11757</x:v>
      </x:c>
      <x:c r="U109" s="189">
        <x:f t="shared" si="3"/>
        <x:v>1</x:v>
      </x:c>
    </x:row>
    <x:row r="110" spans="2:21">
      <x:c r="B110" s="46" t="s">
        <x:v>427</x:v>
      </x:c>
      <x:c r="C110" s="60" t="s">
        <x:v>2415</x:v>
      </x:c>
      <x:c r="D110" s="58"/>
      <x:c r="E110" s="62">
        <x:v>20641</x:v>
      </x:c>
      <x:c r="F110" s="62">
        <x:v>16985</x:v>
      </x:c>
      <x:c r="G110" s="62">
        <x:v>14714</x:v>
      </x:c>
      <x:c r="H110" s="62">
        <x:v>12216</x:v>
      </x:c>
      <x:c r="I110" s="62">
        <x:v>13728</x:v>
      </x:c>
      <x:c r="J110" s="62">
        <x:v>8218</x:v>
      </x:c>
      <x:c r="K110" s="62">
        <x:v>5599</x:v>
      </x:c>
      <x:c r="L110" s="62">
        <x:v>6565</x:v>
      </x:c>
      <x:c r="M110" s="62">
        <x:v>8509</x:v>
      </x:c>
      <x:c r="N110" s="165">
        <x:v>11037</x:v>
      </x:c>
      <x:c r="O110" s="165">
        <x:v>11099</x:v>
      </x:c>
      <x:c r="P110" s="165">
        <x:v>13472</x:v>
      </x:c>
      <x:c r="Q110" s="165">
        <x:v>13472</x:v>
      </x:c>
      <x:c r="U110" s="189">
        <x:f t="shared" si="3"/>
        <x:v>1</x:v>
      </x:c>
    </x:row>
    <x:row r="111" spans="2:21">
      <x:c r="B111" s="1" t="s">
        <x:v>593</x:v>
      </x:c>
      <x:c r="C111" s="60" t="s">
        <x:v>587</x:v>
      </x:c>
      <x:c r="D111" s="58"/>
      <x:c r="E111" s="62">
        <x:v>20641</x:v>
      </x:c>
      <x:c r="F111" s="62">
        <x:v>16985</x:v>
      </x:c>
      <x:c r="G111" s="62">
        <x:v>14714</x:v>
      </x:c>
      <x:c r="H111" s="62">
        <x:v>12216</x:v>
      </x:c>
      <x:c r="I111" s="62">
        <x:v>13728</x:v>
      </x:c>
      <x:c r="J111" s="62">
        <x:v>8218</x:v>
      </x:c>
      <x:c r="K111" s="62">
        <x:v>5599</x:v>
      </x:c>
      <x:c r="L111" s="62">
        <x:v>6565</x:v>
      </x:c>
      <x:c r="M111" s="62">
        <x:v>8509</x:v>
      </x:c>
      <x:c r="N111" s="165">
        <x:v>11037</x:v>
      </x:c>
      <x:c r="O111" s="165">
        <x:v>11099</x:v>
      </x:c>
      <x:c r="P111" s="165">
        <x:v>13472</x:v>
      </x:c>
      <x:c r="Q111" s="165">
        <x:v>13472</x:v>
      </x:c>
      <x:c r="U111" s="189">
        <x:f t="shared" si="3"/>
        <x:v>1</x:v>
      </x:c>
    </x:row>
    <x:row r="112" spans="2:21">
      <x:c r="B112" s="46" t="s">
        <x:v>1909</x:v>
      </x:c>
      <x:c r="C112" s="60" t="s">
        <x:v>1265</x:v>
      </x:c>
      <x:c r="D112" s="58"/>
      <x:c r="E112" s="62">
        <x:v>21476</x:v>
      </x:c>
      <x:c r="F112" s="62">
        <x:v>17710</x:v>
      </x:c>
      <x:c r="G112" s="62">
        <x:v>15714</x:v>
      </x:c>
      <x:c r="H112" s="62">
        <x:v>13202</x:v>
      </x:c>
      <x:c r="I112" s="62">
        <x:v>14571</x:v>
      </x:c>
      <x:c r="J112" s="62">
        <x:v>9389</x:v>
      </x:c>
      <x:c r="K112" s="62">
        <x:v>7130</x:v>
      </x:c>
      <x:c r="L112" s="62">
        <x:v>7421</x:v>
      </x:c>
      <x:c r="M112" s="62">
        <x:v>9268</x:v>
      </x:c>
      <x:c r="N112" s="165">
        <x:v>11530</x:v>
      </x:c>
      <x:c r="O112" s="165">
        <x:v>11618</x:v>
      </x:c>
      <x:c r="P112" s="165">
        <x:v>11757</x:v>
      </x:c>
      <x:c r="Q112" s="165">
        <x:v>11757</x:v>
      </x:c>
      <x:c r="U112" s="189">
        <x:f t="shared" si="3"/>
        <x:v>1</x:v>
      </x:c>
    </x:row>
    <x:row r="113" spans="2:21">
      <x:c r="B113" s="46" t="s">
        <x:v>1007</x:v>
      </x:c>
      <x:c r="C113" s="60" t="s">
        <x:v>2060</x:v>
      </x:c>
      <x:c r="D113" s="58"/>
      <x:c r="E113" s="62">
        <x:v>21476</x:v>
      </x:c>
      <x:c r="F113" s="62">
        <x:v>17710</x:v>
      </x:c>
      <x:c r="G113" s="62">
        <x:v>15714</x:v>
      </x:c>
      <x:c r="H113" s="62">
        <x:v>13202</x:v>
      </x:c>
      <x:c r="I113" s="62">
        <x:v>14571</x:v>
      </x:c>
      <x:c r="J113" s="62">
        <x:v>9389</x:v>
      </x:c>
      <x:c r="K113" s="62">
        <x:v>7130</x:v>
      </x:c>
      <x:c r="L113" s="62">
        <x:v>7421</x:v>
      </x:c>
      <x:c r="M113" s="62">
        <x:v>9268</x:v>
      </x:c>
      <x:c r="N113" s="165">
        <x:v>11530</x:v>
      </x:c>
      <x:c r="O113" s="165">
        <x:v>11618</x:v>
      </x:c>
      <x:c r="P113" s="165">
        <x:v>11757</x:v>
      </x:c>
      <x:c r="Q113" s="165">
        <x:v>11757</x:v>
      </x:c>
      <x:c r="U113" s="189">
        <x:f t="shared" si="3"/>
        <x:v>1</x:v>
      </x:c>
    </x:row>
    <x:row r="114" spans="2:21">
      <x:c r="B114" s="46" t="s">
        <x:v>444</x:v>
      </x:c>
      <x:c r="C114" s="60" t="s">
        <x:v>1855</x:v>
      </x:c>
      <x:c r="D114" s="58"/>
      <x:c r="E114" s="62">
        <x:v>21988</x:v>
      </x:c>
      <x:c r="F114" s="62">
        <x:v>18178</x:v>
      </x:c>
      <x:c r="G114" s="62">
        <x:v>16258</x:v>
      </x:c>
      <x:c r="H114" s="62">
        <x:v>13736</x:v>
      </x:c>
      <x:c r="I114" s="62">
        <x:v>15081</x:v>
      </x:c>
      <x:c r="J114" s="62">
        <x:v>10068</x:v>
      </x:c>
      <x:c r="K114" s="62">
        <x:v>8067</x:v>
      </x:c>
      <x:c r="L114" s="62">
        <x:v>8403</x:v>
      </x:c>
      <x:c r="M114" s="62">
        <x:v>10256</x:v>
      </x:c>
      <x:c r="N114" s="165">
        <x:v>12664</x:v>
      </x:c>
      <x:c r="O114" s="165">
        <x:v>12929</x:v>
      </x:c>
      <x:c r="P114" s="165">
        <x:v>13472</x:v>
      </x:c>
      <x:c r="Q114" s="165">
        <x:v>13472</x:v>
      </x:c>
      <x:c r="U114" s="189">
        <x:f t="shared" si="3"/>
        <x:v>1</x:v>
      </x:c>
    </x:row>
    <x:row r="115" spans="2:21">
      <x:c r="B115" s="46" t="s">
        <x:v>1524</x:v>
      </x:c>
      <x:c r="C115" s="60" t="s">
        <x:v>1514</x:v>
      </x:c>
      <x:c r="D115" s="58"/>
      <x:c r="E115" s="62">
        <x:v>21988</x:v>
      </x:c>
      <x:c r="F115" s="62">
        <x:v>18178</x:v>
      </x:c>
      <x:c r="G115" s="62">
        <x:v>16258</x:v>
      </x:c>
      <x:c r="H115" s="62">
        <x:v>13736</x:v>
      </x:c>
      <x:c r="I115" s="62">
        <x:v>15081</x:v>
      </x:c>
      <x:c r="J115" s="62">
        <x:v>10068</x:v>
      </x:c>
      <x:c r="K115" s="62">
        <x:v>8067</x:v>
      </x:c>
      <x:c r="L115" s="62">
        <x:v>8403</x:v>
      </x:c>
      <x:c r="M115" s="62">
        <x:v>10256</x:v>
      </x:c>
      <x:c r="N115" s="165">
        <x:v>12664</x:v>
      </x:c>
      <x:c r="O115" s="165">
        <x:v>12929</x:v>
      </x:c>
      <x:c r="P115" s="165">
        <x:v>13472</x:v>
      </x:c>
      <x:c r="Q115" s="165">
        <x:v>13472</x:v>
      </x:c>
      <x:c r="U115" s="189">
        <x:f t="shared" si="3"/>
        <x:v>1</x:v>
      </x:c>
    </x:row>
    <x:row r="116" spans="2:21">
      <x:c r="B116" s="46" t="s">
        <x:v>1932</x:v>
      </x:c>
      <x:c r="C116" s="60" t="s">
        <x:v>1267</x:v>
      </x:c>
      <x:c r="D116" s="58"/>
      <x:c r="E116" s="62">
        <x:v>26118</x:v>
      </x:c>
      <x:c r="F116" s="62">
        <x:v>21817</x:v>
      </x:c>
      <x:c r="G116" s="62" t="s">
        <x:v>818</x:v>
      </x:c>
      <x:c r="H116" s="62" t="s">
        <x:v>818</x:v>
      </x:c>
      <x:c r="I116" s="62" t="s">
        <x:v>818</x:v>
      </x:c>
      <x:c r="J116" s="62">
        <x:v>15221</x:v>
      </x:c>
      <x:c r="K116" s="62">
        <x:v>12881</x:v>
      </x:c>
      <x:c r="L116" s="62">
        <x:v>12746</x:v>
      </x:c>
      <x:c r="M116" s="62">
        <x:v>12022</x:v>
      </x:c>
      <x:c r="N116" s="165">
        <x:v>14031</x:v>
      </x:c>
      <x:c r="O116" s="165">
        <x:v>14195</x:v>
      </x:c>
      <x:c r="P116" s="165" t="s">
        <x:v>818</x:v>
      </x:c>
      <x:c r="Q116" s="165" t="s">
        <x:v>818</x:v>
      </x:c>
      <x:c r="U116" s="189">
        <x:f t="shared" si="3"/>
        <x:v>1</x:v>
      </x:c>
    </x:row>
    <x:row r="117" spans="2:21">
      <x:c r="B117" s="46" t="s">
        <x:v>134</x:v>
      </x:c>
      <x:c r="C117" s="60" t="s">
        <x:v>604</x:v>
      </x:c>
      <x:c r="D117" s="58"/>
      <x:c r="E117" s="62">
        <x:v>26118</x:v>
      </x:c>
      <x:c r="F117" s="62">
        <x:v>21817</x:v>
      </x:c>
      <x:c r="G117" s="62" t="s">
        <x:v>818</x:v>
      </x:c>
      <x:c r="H117" s="62" t="s">
        <x:v>818</x:v>
      </x:c>
      <x:c r="I117" s="62" t="s">
        <x:v>818</x:v>
      </x:c>
      <x:c r="J117" s="62">
        <x:v>16844</x:v>
      </x:c>
      <x:c r="K117" s="62">
        <x:v>14405</x:v>
      </x:c>
      <x:c r="L117" s="62">
        <x:v>14183</x:v>
      </x:c>
      <x:c r="M117" s="62">
        <x:v>13269</x:v>
      </x:c>
      <x:c r="N117" s="165">
        <x:v>15323</x:v>
      </x:c>
      <x:c r="O117" s="165">
        <x:v>15504</x:v>
      </x:c>
      <x:c r="P117" s="165" t="s">
        <x:v>818</x:v>
      </x:c>
      <x:c r="Q117" s="165" t="s">
        <x:v>818</x:v>
      </x:c>
      <x:c r="U117" s="189">
        <x:f t="shared" si="3"/>
        <x:v>1</x:v>
      </x:c>
    </x:row>
    <x:row r="118" spans="2:21">
      <x:c r="B118" s="46" t="s">
        <x:v>39</x:v>
      </x:c>
      <x:c r="C118" s="60" t="s">
        <x:v>1550</x:v>
      </x:c>
      <x:c r="D118" s="58"/>
      <x:c r="E118" s="62">
        <x:v>26630</x:v>
      </x:c>
      <x:c r="F118" s="62">
        <x:v>22285</x:v>
      </x:c>
      <x:c r="G118" s="62" t="s">
        <x:v>818</x:v>
      </x:c>
      <x:c r="H118" s="62" t="s">
        <x:v>818</x:v>
      </x:c>
      <x:c r="I118" s="62" t="s">
        <x:v>818</x:v>
      </x:c>
      <x:c r="J118" s="62">
        <x:v>15900</x:v>
      </x:c>
      <x:c r="K118" s="62">
        <x:v>13818</x:v>
      </x:c>
      <x:c r="L118" s="62">
        <x:v>13728</x:v>
      </x:c>
      <x:c r="M118" s="62">
        <x:v>13010</x:v>
      </x:c>
      <x:c r="N118" s="165">
        <x:v>15165</x:v>
      </x:c>
      <x:c r="O118" s="165">
        <x:v>15506</x:v>
      </x:c>
      <x:c r="P118" s="165" t="s">
        <x:v>818</x:v>
      </x:c>
      <x:c r="Q118" s="165" t="s">
        <x:v>818</x:v>
      </x:c>
      <x:c r="U118" s="189">
        <x:f t="shared" si="3"/>
        <x:v>1</x:v>
      </x:c>
    </x:row>
    <x:row r="119" spans="2:21">
      <x:c r="B119" s="46" t="s">
        <x:v>602</x:v>
      </x:c>
      <x:c r="C119" s="60" t="s">
        <x:v>598</x:v>
      </x:c>
      <x:c r="D119" s="58"/>
      <x:c r="E119" s="62">
        <x:v>26630</x:v>
      </x:c>
      <x:c r="F119" s="62">
        <x:v>22285</x:v>
      </x:c>
      <x:c r="G119" s="62" t="s">
        <x:v>818</x:v>
      </x:c>
      <x:c r="H119" s="62" t="s">
        <x:v>818</x:v>
      </x:c>
      <x:c r="I119" s="62" t="s">
        <x:v>818</x:v>
      </x:c>
      <x:c r="J119" s="62">
        <x:v>15900</x:v>
      </x:c>
      <x:c r="K119" s="62">
        <x:v>13818</x:v>
      </x:c>
      <x:c r="L119" s="62">
        <x:v>13728</x:v>
      </x:c>
      <x:c r="M119" s="62">
        <x:v>13010</x:v>
      </x:c>
      <x:c r="N119" s="165">
        <x:v>15165</x:v>
      </x:c>
      <x:c r="O119" s="165">
        <x:v>15506</x:v>
      </x:c>
      <x:c r="P119" s="165" t="s">
        <x:v>818</x:v>
      </x:c>
      <x:c r="Q119" s="165" t="s">
        <x:v>818</x:v>
      </x:c>
      <x:c r="U119" s="189">
        <x:f t="shared" si="3"/>
        <x:v>1</x:v>
      </x:c>
    </x:row>
    <x:row r="120" spans="2:21">
      <x:c r="B120" s="46" t="s">
        <x:v>2118</x:v>
      </x:c>
      <x:c r="C120" s="60" t="s">
        <x:v>2117</x:v>
      </x:c>
      <x:c r="D120" s="58"/>
      <x:c r="E120" s="62">
        <x:v>20881</x:v>
      </x:c>
      <x:c r="F120" s="62">
        <x:v>16793</x:v>
      </x:c>
      <x:c r="G120" s="62">
        <x:v>14984</x:v>
      </x:c>
      <x:c r="H120" s="62">
        <x:v>12994</x:v>
      </x:c>
      <x:c r="I120" s="62">
        <x:v>14303</x:v>
      </x:c>
      <x:c r="J120" s="62">
        <x:v>11312</x:v>
      </x:c>
      <x:c r="K120" s="62">
        <x:v>8739</x:v>
      </x:c>
      <x:c r="L120" s="62">
        <x:v>9247</x:v>
      </x:c>
      <x:c r="M120" s="62">
        <x:v>9429</x:v>
      </x:c>
      <x:c r="N120" s="165">
        <x:v>11494</x:v>
      </x:c>
      <x:c r="O120" s="165">
        <x:v>11838</x:v>
      </x:c>
      <x:c r="P120" s="165">
        <x:v>15161</x:v>
      </x:c>
      <x:c r="Q120" s="165">
        <x:v>15161</x:v>
      </x:c>
      <x:c r="U120" s="189">
        <x:f t="shared" si="3"/>
        <x:v>1</x:v>
      </x:c>
    </x:row>
    <x:row r="121" spans="2:21">
      <x:c r="B121" s="46" t="s">
        <x:v>1182</x:v>
      </x:c>
      <x:c r="C121" s="60">
        <x:v>274367</x:v>
      </x:c>
      <x:c r="D121" s="58"/>
      <x:c r="E121" s="62" t="s">
        <x:v>818</x:v>
      </x:c>
      <x:c r="F121" s="62" t="s">
        <x:v>818</x:v>
      </x:c>
      <x:c r="G121" s="62" t="s">
        <x:v>818</x:v>
      </x:c>
      <x:c r="H121" s="62" t="s">
        <x:v>818</x:v>
      </x:c>
      <x:c r="I121" s="62" t="s">
        <x:v>818</x:v>
      </x:c>
      <x:c r="J121" s="62" t="s">
        <x:v>818</x:v>
      </x:c>
      <x:c r="K121" s="62" t="s">
        <x:v>818</x:v>
      </x:c>
      <x:c r="L121" s="62" t="s">
        <x:v>818</x:v>
      </x:c>
      <x:c r="M121" s="62" t="s">
        <x:v>818</x:v>
      </x:c>
      <x:c r="N121" s="166" t="s">
        <x:v>818</x:v>
      </x:c>
      <x:c r="O121" s="166" t="s">
        <x:v>818</x:v>
      </x:c>
      <x:c r="P121" s="166" t="s">
        <x:v>818</x:v>
      </x:c>
      <x:c r="Q121" s="166" t="s">
        <x:v>818</x:v>
      </x:c>
      <x:c r="U121" s="189" t="str">
        <x:f t="shared" si="3"/>
        <x:v/>
      </x:c>
    </x:row>
    <x:row r="122" spans="2:21">
      <x:c r="B122" s="46" t="s">
        <x:v>1545</x:v>
      </x:c>
      <x:c r="C122" s="60" t="s">
        <x:v>1563</x:v>
      </x:c>
      <x:c r="D122" s="58"/>
      <x:c r="E122" s="62">
        <x:v>92793</x:v>
      </x:c>
      <x:c r="F122" s="62">
        <x:v>81741</x:v>
      </x:c>
      <x:c r="G122" s="62">
        <x:v>79919</x:v>
      </x:c>
      <x:c r="H122" s="62">
        <x:v>79139</x:v>
      </x:c>
      <x:c r="I122" s="62">
        <x:v>79591</x:v>
      </x:c>
      <x:c r="J122" s="62">
        <x:v>57714</x:v>
      </x:c>
      <x:c r="K122" s="62">
        <x:v>55179</x:v>
      </x:c>
      <x:c r="L122" s="62">
        <x:v>57350</x:v>
      </x:c>
      <x:c r="M122" s="62">
        <x:v>60530</x:v>
      </x:c>
      <x:c r="N122" s="165">
        <x:v>61860</x:v>
      </x:c>
      <x:c r="O122" s="165">
        <x:v>62753</x:v>
      </x:c>
      <x:c r="P122" s="165">
        <x:v>67535</x:v>
      </x:c>
      <x:c r="Q122" s="165">
        <x:v>67535</x:v>
      </x:c>
      <x:c r="U122" s="189">
        <x:f t="shared" si="3"/>
        <x:v>1</x:v>
      </x:c>
    </x:row>
    <x:row r="123" spans="2:21">
      <x:c r="B123" s="46" t="s">
        <x:v>585</x:v>
      </x:c>
      <x:c r="C123" s="60" t="s">
        <x:v>599</x:v>
      </x:c>
      <x:c r="D123" s="58"/>
      <x:c r="E123" s="62" t="s">
        <x:v>818</x:v>
      </x:c>
      <x:c r="F123" s="62" t="s">
        <x:v>818</x:v>
      </x:c>
      <x:c r="G123" s="62" t="s">
        <x:v>818</x:v>
      </x:c>
      <x:c r="H123" s="62" t="s">
        <x:v>818</x:v>
      </x:c>
      <x:c r="I123" s="62" t="s">
        <x:v>818</x:v>
      </x:c>
      <x:c r="J123" s="62" t="s">
        <x:v>818</x:v>
      </x:c>
      <x:c r="K123" s="62" t="s">
        <x:v>818</x:v>
      </x:c>
      <x:c r="L123" s="62" t="s">
        <x:v>818</x:v>
      </x:c>
      <x:c r="M123" s="62" t="s">
        <x:v>818</x:v>
      </x:c>
      <x:c r="N123" s="165" t="s">
        <x:v>818</x:v>
      </x:c>
      <x:c r="O123" s="165" t="s">
        <x:v>818</x:v>
      </x:c>
      <x:c r="P123" s="165">
        <x:v>19200</x:v>
      </x:c>
      <x:c r="Q123" s="165">
        <x:v>19200</x:v>
      </x:c>
      <x:c r="U123" s="189">
        <x:f t="shared" si="3"/>
        <x:v>1</x:v>
      </x:c>
    </x:row>
    <x:row r="124" spans="2:21">
      <x:c r="B124" s="46" t="s">
        <x:v>2377</x:v>
      </x:c>
      <x:c r="C124" s="60" t="s">
        <x:v>637</x:v>
      </x:c>
      <x:c r="D124" s="58"/>
      <x:c r="E124" s="62">
        <x:v>-1357</x:v>
      </x:c>
      <x:c r="F124" s="62">
        <x:v>-874</x:v>
      </x:c>
      <x:c r="G124" s="62">
        <x:v>-1095</x:v>
      </x:c>
      <x:c r="H124" s="62" t="s">
        <x:v>818</x:v>
      </x:c>
      <x:c r="I124" s="62" t="s">
        <x:v>818</x:v>
      </x:c>
      <x:c r="J124" s="62">
        <x:v>762</x:v>
      </x:c>
      <x:c r="K124" s="62" t="s">
        <x:v>818</x:v>
      </x:c>
      <x:c r="L124" s="62">
        <x:v>133</x:v>
      </x:c>
      <x:c r="M124" s="62">
        <x:v>-5914</x:v>
      </x:c>
      <x:c r="N124" s="165">
        <x:v>-387</x:v>
      </x:c>
      <x:c r="O124" s="165">
        <x:v>-3307</x:v>
      </x:c>
      <x:c r="P124" s="165" t="s">
        <x:v>818</x:v>
      </x:c>
      <x:c r="Q124" s="165" t="s">
        <x:v>818</x:v>
      </x:c>
      <x:c r="U124" s="189">
        <x:f t="shared" si="3"/>
        <x:v>1</x:v>
      </x:c>
    </x:row>
    <x:row r="125" spans="2:21">
      <x:c r="B125" s="46" t="s">
        <x:v>230</x:v>
      </x:c>
      <x:c r="C125" s="60" t="s">
        <x:v>1266</x:v>
      </x:c>
      <x:c r="D125" s="58"/>
      <x:c r="E125" s="62" t="s">
        <x:v>818</x:v>
      </x:c>
      <x:c r="F125" s="62" t="s">
        <x:v>818</x:v>
      </x:c>
      <x:c r="G125" s="62" t="s">
        <x:v>818</x:v>
      </x:c>
      <x:c r="H125" s="62" t="s">
        <x:v>818</x:v>
      </x:c>
      <x:c r="I125" s="62" t="s">
        <x:v>818</x:v>
      </x:c>
      <x:c r="J125" s="62" t="s">
        <x:v>818</x:v>
      </x:c>
      <x:c r="K125" s="62" t="s">
        <x:v>818</x:v>
      </x:c>
      <x:c r="L125" s="62" t="s">
        <x:v>818</x:v>
      </x:c>
      <x:c r="M125" s="62" t="s">
        <x:v>818</x:v>
      </x:c>
      <x:c r="N125" s="165" t="s">
        <x:v>818</x:v>
      </x:c>
      <x:c r="O125" s="165" t="s">
        <x:v>818</x:v>
      </x:c>
      <x:c r="P125" s="165" t="s">
        <x:v>818</x:v>
      </x:c>
      <x:c r="Q125" s="165" t="s">
        <x:v>818</x:v>
      </x:c>
      <x:c r="U125" s="189" t="str">
        <x:f t="shared" si="3"/>
        <x:v/>
      </x:c>
    </x:row>
    <x:row r="126" spans="2:21">
      <x:c r="B126" s="46" t="s">
        <x:v>2407</x:v>
      </x:c>
      <x:c r="C126" s="60" t="s">
        <x:v>2428</x:v>
      </x:c>
      <x:c r="D126" s="58"/>
      <x:c r="E126" s="62">
        <x:v>1675</x:v>
      </x:c>
      <x:c r="F126" s="62">
        <x:v>-193</x:v>
      </x:c>
      <x:c r="G126" s="62">
        <x:v>430</x:v>
      </x:c>
      <x:c r="H126" s="62">
        <x:v>2443</x:v>
      </x:c>
      <x:c r="I126" s="62">
        <x:v>-215</x:v>
      </x:c>
      <x:c r="J126" s="62">
        <x:v>272</x:v>
      </x:c>
      <x:c r="K126" s="62">
        <x:v>657</x:v>
      </x:c>
      <x:c r="L126" s="62">
        <x:v>535</x:v>
      </x:c>
      <x:c r="M126" s="62">
        <x:v>575</x:v>
      </x:c>
      <x:c r="N126" s="165">
        <x:v>687</x:v>
      </x:c>
      <x:c r="O126" s="165">
        <x:v>-183</x:v>
      </x:c>
      <x:c r="P126" s="165" t="s">
        <x:v>818</x:v>
      </x:c>
      <x:c r="Q126" s="165" t="s">
        <x:v>818</x:v>
      </x:c>
      <x:c r="U126" s="189">
        <x:f t="shared" si="3"/>
        <x:v>1</x:v>
      </x:c>
    </x:row>
    <x:row r="127" spans="2:21">
      <x:c r="B127" s="46" t="s">
        <x:v>2416</x:v>
      </x:c>
      <x:c r="C127" s="60" t="s">
        <x:v>2417</x:v>
      </x:c>
      <x:c r="D127" s="58"/>
      <x:c r="E127" s="62">
        <x:v>2825</x:v>
      </x:c>
      <x:c r="F127" s="62">
        <x:v>2101</x:v>
      </x:c>
      <x:c r="G127" s="62">
        <x:v>988</x:v>
      </x:c>
      <x:c r="H127" s="62">
        <x:v>3891</x:v>
      </x:c>
      <x:c r="I127" s="62">
        <x:v>2135</x:v>
      </x:c>
      <x:c r="J127" s="62">
        <x:v>1376</x:v>
      </x:c>
      <x:c r="K127" s="62">
        <x:v>1208</x:v>
      </x:c>
      <x:c r="L127" s="62">
        <x:v>1342</x:v>
      </x:c>
      <x:c r="M127" s="62">
        <x:v>1676</x:v>
      </x:c>
      <x:c r="N127" s="165">
        <x:v>1594</x:v>
      </x:c>
      <x:c r="O127" s="165">
        <x:v>2301</x:v>
      </x:c>
      <x:c r="P127" s="165" t="s">
        <x:v>818</x:v>
      </x:c>
      <x:c r="Q127" s="165" t="s">
        <x:v>818</x:v>
      </x:c>
      <x:c r="U127" s="189">
        <x:f t="shared" si="3"/>
        <x:v>1</x:v>
      </x:c>
    </x:row>
    <x:row r="128" spans="2:21">
      <x:c r="B128" s="46" t="s">
        <x:v>606</x:v>
      </x:c>
      <x:c r="C128" s="60" t="s">
        <x:v>2113</x:v>
      </x:c>
      <x:c r="D128" s="58"/>
      <x:c r="E128" s="62">
        <x:v>4500</x:v>
      </x:c>
      <x:c r="F128" s="62">
        <x:v>1908</x:v>
      </x:c>
      <x:c r="G128" s="62">
        <x:v>1418</x:v>
      </x:c>
      <x:c r="H128" s="62">
        <x:v>6334</x:v>
      </x:c>
      <x:c r="I128" s="62">
        <x:v>1920</x:v>
      </x:c>
      <x:c r="J128" s="62">
        <x:v>1648</x:v>
      </x:c>
      <x:c r="K128" s="62">
        <x:v>1865</x:v>
      </x:c>
      <x:c r="L128" s="62">
        <x:v>1877</x:v>
      </x:c>
      <x:c r="M128" s="62">
        <x:v>2251</x:v>
      </x:c>
      <x:c r="N128" s="165">
        <x:v>2281</x:v>
      </x:c>
      <x:c r="O128" s="165">
        <x:v>2118</x:v>
      </x:c>
      <x:c r="P128" s="165" t="s">
        <x:v>818</x:v>
      </x:c>
      <x:c r="Q128" s="165" t="s">
        <x:v>818</x:v>
      </x:c>
      <x:c r="U128" s="189">
        <x:f t="shared" si="3"/>
        <x:v>1</x:v>
      </x:c>
    </x:row>
    <x:row r="129" spans="2:21">
      <x:c r="B129" s="46" t="s">
        <x:v>2412</x:v>
      </x:c>
      <x:c r="C129" s="60" t="s">
        <x:v>1536</x:v>
      </x:c>
      <x:c r="D129" s="58"/>
      <x:c r="E129" s="62">
        <x:v>0</x:v>
      </x:c>
      <x:c r="F129" s="62">
        <x:v>669</x:v>
      </x:c>
      <x:c r="G129" s="62">
        <x:v>-790</x:v>
      </x:c>
      <x:c r="H129" s="62">
        <x:v>105</x:v>
      </x:c>
      <x:c r="I129" s="62">
        <x:v>1085</x:v>
      </x:c>
      <x:c r="J129" s="62">
        <x:v>-958</x:v>
      </x:c>
      <x:c r="K129" s="62">
        <x:v>744</x:v>
      </x:c>
      <x:c r="L129" s="62">
        <x:v>-1728</x:v>
      </x:c>
      <x:c r="M129" s="62">
        <x:v>-3131</x:v>
      </x:c>
      <x:c r="N129" s="165">
        <x:v>-1533</x:v>
      </x:c>
      <x:c r="O129" s="165">
        <x:v>-2539</x:v>
      </x:c>
      <x:c r="P129" s="165" t="s">
        <x:v>818</x:v>
      </x:c>
      <x:c r="Q129" s="165" t="s">
        <x:v>818</x:v>
      </x:c>
      <x:c r="U129" s="189">
        <x:f t="shared" si="3"/>
        <x:v>1</x:v>
      </x:c>
    </x:row>
    <x:row r="130" spans="2:21">
      <x:c r="B130" s="46" t="s">
        <x:v>2408</x:v>
      </x:c>
      <x:c r="C130" s="60" t="s">
        <x:v>1541</x:v>
      </x:c>
      <x:c r="D130" s="58"/>
      <x:c r="E130" s="62">
        <x:v>-266</x:v>
      </x:c>
      <x:c r="F130" s="62">
        <x:v>4</x:v>
      </x:c>
      <x:c r="G130" s="62">
        <x:v>-179</x:v>
      </x:c>
      <x:c r="H130" s="62">
        <x:v>-797</x:v>
      </x:c>
      <x:c r="I130" s="62">
        <x:v>-386</x:v>
      </x:c>
      <x:c r="J130" s="62">
        <x:v>-630</x:v>
      </x:c>
      <x:c r="K130" s="62">
        <x:v>-3969</x:v>
      </x:c>
      <x:c r="L130" s="62">
        <x:v>-25</x:v>
      </x:c>
      <x:c r="M130" s="62">
        <x:v>252</x:v>
      </x:c>
      <x:c r="N130" s="165">
        <x:v>428</x:v>
      </x:c>
      <x:c r="O130" s="165">
        <x:v>203</x:v>
      </x:c>
      <x:c r="P130" s="165" t="s">
        <x:v>818</x:v>
      </x:c>
      <x:c r="Q130" s="165" t="s">
        <x:v>818</x:v>
      </x:c>
      <x:c r="U130" s="189">
        <x:f t="shared" si="3"/>
        <x:v>1</x:v>
      </x:c>
    </x:row>
    <x:row r="131" spans="2:21">
      <x:c r="B131" s="46" t="s">
        <x:v>2413</x:v>
      </x:c>
      <x:c r="C131" s="60" t="s">
        <x:v>2405</x:v>
      </x:c>
      <x:c r="D131" s="58"/>
      <x:c r="E131" s="62">
        <x:v>-266</x:v>
      </x:c>
      <x:c r="F131" s="62">
        <x:v>673</x:v>
      </x:c>
      <x:c r="G131" s="62">
        <x:v>-969</x:v>
      </x:c>
      <x:c r="H131" s="62">
        <x:v>-692</x:v>
      </x:c>
      <x:c r="I131" s="62">
        <x:v>699</x:v>
      </x:c>
      <x:c r="J131" s="62">
        <x:v>-1588</x:v>
      </x:c>
      <x:c r="K131" s="62">
        <x:v>-3225</x:v>
      </x:c>
      <x:c r="L131" s="62">
        <x:v>-1753</x:v>
      </x:c>
      <x:c r="M131" s="62">
        <x:v>-2879</x:v>
      </x:c>
      <x:c r="N131" s="165">
        <x:v>-1105</x:v>
      </x:c>
      <x:c r="O131" s="165">
        <x:v>-2336</x:v>
      </x:c>
      <x:c r="P131" s="165" t="s">
        <x:v>818</x:v>
      </x:c>
      <x:c r="Q131" s="165" t="s">
        <x:v>818</x:v>
      </x:c>
      <x:c r="U131" s="189">
        <x:f t="shared" si="3"/>
        <x:v>1</x:v>
      </x:c>
    </x:row>
    <x:row r="132" spans="2:21">
      <x:c r="B132" s="46" t="s">
        <x:v>2409</x:v>
      </x:c>
      <x:c r="C132" s="60" t="s">
        <x:v>1268</x:v>
      </x:c>
      <x:c r="D132" s="58"/>
      <x:c r="E132" s="62">
        <x:v>13338.75</x:v>
      </x:c>
      <x:c r="F132" s="62">
        <x:v>10511.875</x:v>
      </x:c>
      <x:c r="G132" s="62">
        <x:v>8390.625</x:v>
      </x:c>
      <x:c r="H132" s="62">
        <x:v>7125</x:v>
      </x:c>
      <x:c r="I132" s="62">
        <x:v>7088.75</x:v>
      </x:c>
      <x:c r="J132" s="62">
        <x:v>4027.5</x:v>
      </x:c>
      <x:c r="K132" s="62">
        <x:v>1607.5</x:v>
      </x:c>
      <x:c r="L132" s="62">
        <x:v>2940</x:v>
      </x:c>
      <x:c r="M132" s="62">
        <x:v>4418.75</x:v>
      </x:c>
      <x:c r="N132" s="165">
        <x:v>5673.125</x:v>
      </x:c>
      <x:c r="O132" s="165">
        <x:v>5690</x:v>
      </x:c>
      <x:c r="P132" s="165">
        <x:v>6455.625</x:v>
      </x:c>
      <x:c r="Q132" s="165">
        <x:v>6455.625</x:v>
      </x:c>
      <x:c r="U132" s="189">
        <x:f t="shared" si="3"/>
        <x:v>1</x:v>
      </x:c>
    </x:row>
    <x:row r="133" spans="2:21">
      <x:c r="B133" s="46" t="s">
        <x:v>603</x:v>
      </x:c>
      <x:c r="C133" s="60" t="s">
        <x:v>1269</x:v>
      </x:c>
      <x:c r="D133" s="58"/>
      <x:c r="E133" s="62">
        <x:v>15749</x:v>
      </x:c>
      <x:c r="F133" s="62">
        <x:v>13363</x:v>
      </x:c>
      <x:c r="G133" s="62">
        <x:v>11878.467662000001</x:v>
      </x:c>
      <x:c r="H133" s="62">
        <x:v>5756</x:v>
      </x:c>
      <x:c r="I133" s="62">
        <x:v>8718</x:v>
      </x:c>
      <x:c r="J133" s="62">
        <x:v>7142.5070080000005</x:v>
      </x:c>
      <x:c r="K133" s="62">
        <x:v>3930</x:v>
      </x:c>
      <x:c r="L133" s="62">
        <x:v>4713.179615</x:v>
      </x:c>
      <x:c r="M133" s="62">
        <x:v>1778.9246710000002</x:v>
      </x:c>
      <x:c r="N133" s="165">
        <x:v>7514.9016979999997</x:v>
      </x:c>
      <x:c r="O133" s="165">
        <x:v>6016.5750580000004</x:v>
      </x:c>
      <x:c r="P133" s="165">
        <x:v>10568.518</x:v>
      </x:c>
      <x:c r="Q133" s="165">
        <x:v>10568.518</x:v>
      </x:c>
      <x:c r="U133" s="189">
        <x:f t="shared" si="3"/>
        <x:v>1</x:v>
      </x:c>
    </x:row>
    <x:row r="134" spans="2:21">
      <x:c r="B134" s="46" t="s">
        <x:v>1183</x:v>
      </x:c>
      <x:c r="C134" s="60" t="s">
        <x:v>589</x:v>
      </x:c>
      <x:c r="D134" s="58"/>
      <x:c r="E134" s="62" t="s">
        <x:v>818</x:v>
      </x:c>
      <x:c r="F134" s="62" t="s">
        <x:v>818</x:v>
      </x:c>
      <x:c r="G134" s="62" t="s">
        <x:v>818</x:v>
      </x:c>
      <x:c r="H134" s="62" t="s">
        <x:v>818</x:v>
      </x:c>
      <x:c r="I134" s="62" t="s">
        <x:v>818</x:v>
      </x:c>
      <x:c r="J134" s="62" t="s">
        <x:v>818</x:v>
      </x:c>
      <x:c r="K134" s="62" t="s">
        <x:v>818</x:v>
      </x:c>
      <x:c r="L134" s="62" t="s">
        <x:v>818</x:v>
      </x:c>
      <x:c r="M134" s="62" t="s">
        <x:v>818</x:v>
      </x:c>
      <x:c r="N134" s="165" t="s">
        <x:v>818</x:v>
      </x:c>
      <x:c r="O134" s="165" t="s">
        <x:v>818</x:v>
      </x:c>
      <x:c r="P134" s="165" t="s">
        <x:v>818</x:v>
      </x:c>
      <x:c r="Q134" s="165" t="s">
        <x:v>818</x:v>
      </x:c>
      <x:c r="U134" s="189" t="str">
        <x:f t="shared" si="3"/>
        <x:v/>
      </x:c>
    </x:row>
    <x:row r="135" spans="2:21">
      <x:c r="B135" s="46" t="s">
        <x:v>2422</x:v>
      </x:c>
      <x:c r="C135" s="60" t="s">
        <x:v>2418</x:v>
      </x:c>
      <x:c r="D135" s="58"/>
      <x:c r="E135" s="62">
        <x:v>4</x:v>
      </x:c>
      <x:c r="F135" s="62" t="s">
        <x:v>818</x:v>
      </x:c>
      <x:c r="G135" s="62">
        <x:v>2</x:v>
      </x:c>
      <x:c r="H135" s="62">
        <x:v>5</x:v>
      </x:c>
      <x:c r="I135" s="62">
        <x:v>3</x:v>
      </x:c>
      <x:c r="J135" s="62">
        <x:v>4</x:v>
      </x:c>
      <x:c r="K135" s="62">
        <x:v>5</x:v>
      </x:c>
      <x:c r="L135" s="62">
        <x:v>3</x:v>
      </x:c>
      <x:c r="M135" s="62">
        <x:v>5</x:v>
      </x:c>
      <x:c r="N135" s="165">
        <x:v>9</x:v>
      </x:c>
      <x:c r="O135" s="165">
        <x:v>12</x:v>
      </x:c>
      <x:c r="P135" s="165" t="s">
        <x:v>818</x:v>
      </x:c>
      <x:c r="Q135" s="165" t="s">
        <x:v>818</x:v>
      </x:c>
      <x:c r="U135" s="189">
        <x:f t="shared" si="3"/>
        <x:v>1</x:v>
      </x:c>
    </x:row>
    <x:row r="136" spans="2:21">
      <x:c r="B136" s="46" t="s">
        <x:v>1548</x:v>
      </x:c>
      <x:c r="C136" s="60" t="s">
        <x:v>2114</x:v>
      </x:c>
      <x:c r="D136" s="58"/>
      <x:c r="E136" s="62" t="s">
        <x:v>818</x:v>
      </x:c>
      <x:c r="F136" s="62" t="s">
        <x:v>818</x:v>
      </x:c>
      <x:c r="G136" s="62" t="s">
        <x:v>818</x:v>
      </x:c>
      <x:c r="H136" s="62" t="s">
        <x:v>818</x:v>
      </x:c>
      <x:c r="I136" s="62" t="s">
        <x:v>818</x:v>
      </x:c>
      <x:c r="J136" s="62" t="s">
        <x:v>818</x:v>
      </x:c>
      <x:c r="K136" s="62" t="s">
        <x:v>818</x:v>
      </x:c>
      <x:c r="L136" s="62" t="s">
        <x:v>818</x:v>
      </x:c>
      <x:c r="M136" s="62" t="s">
        <x:v>818</x:v>
      </x:c>
      <x:c r="N136" s="165" t="s">
        <x:v>818</x:v>
      </x:c>
      <x:c r="O136" s="165" t="s">
        <x:v>818</x:v>
      </x:c>
      <x:c r="P136" s="165" t="s">
        <x:v>818</x:v>
      </x:c>
      <x:c r="Q136" s="165" t="s">
        <x:v>818</x:v>
      </x:c>
      <x:c r="U136" s="189" t="str">
        <x:f t="shared" si="3"/>
        <x:v/>
      </x:c>
    </x:row>
    <x:row r="137" spans="2:21">
      <x:c r="B137" s="46" t="s">
        <x:v>1585</x:v>
      </x:c>
      <x:c r="C137" s="60" t="s">
        <x:v>2424</x:v>
      </x:c>
      <x:c r="D137" s="58"/>
      <x:c r="E137" s="62">
        <x:v>0</x:v>
      </x:c>
      <x:c r="F137" s="62">
        <x:v>706</x:v>
      </x:c>
      <x:c r="G137" s="62">
        <x:v>302</x:v>
      </x:c>
      <x:c r="H137" s="62">
        <x:v>1158</x:v>
      </x:c>
      <x:c r="I137" s="62">
        <x:v>1430</x:v>
      </x:c>
      <x:c r="J137" s="62">
        <x:v>396</x:v>
      </x:c>
      <x:c r="K137" s="62">
        <x:v>907</x:v>
      </x:c>
      <x:c r="L137" s="62">
        <x:v>1138</x:v>
      </x:c>
      <x:c r="M137" s="62">
        <x:v>6456</x:v>
      </x:c>
      <x:c r="N137" s="165">
        <x:v>-147</x:v>
      </x:c>
      <x:c r="O137" s="165">
        <x:v>3353</x:v>
      </x:c>
      <x:c r="P137" s="165" t="s">
        <x:v>818</x:v>
      </x:c>
      <x:c r="Q137" s="165" t="s">
        <x:v>818</x:v>
      </x:c>
      <x:c r="U137" s="189">
        <x:f t="shared" si="3"/>
        <x:v>1</x:v>
      </x:c>
    </x:row>
    <x:row r="138" spans="2:21">
      <x:c r="B138" s="46" t="s">
        <x:v>2122</x:v>
      </x:c>
      <x:c r="C138" s="60" t="s">
        <x:v>2123</x:v>
      </x:c>
      <x:c r="D138" s="58"/>
      <x:c r="E138" s="62">
        <x:v>4492</x:v>
      </x:c>
      <x:c r="F138" s="62">
        <x:v>3855</x:v>
      </x:c>
      <x:c r="G138" s="62">
        <x:v>4381</x:v>
      </x:c>
      <x:c r="H138" s="62">
        <x:v>4541</x:v>
      </x:c>
      <x:c r="I138" s="62">
        <x:v>4480</x:v>
      </x:c>
      <x:c r="J138" s="62">
        <x:v>6059</x:v>
      </x:c>
      <x:c r="K138" s="62">
        <x:v>6695</x:v>
      </x:c>
      <x:c r="L138" s="62">
        <x:v>5726</x:v>
      </x:c>
      <x:c r="M138" s="62">
        <x:v>3254</x:v>
      </x:c>
      <x:c r="N138" s="62">
        <x:v>2836</x:v>
      </x:c>
      <x:c r="O138" s="62">
        <x:v>3098</x:v>
      </x:c>
      <x:c r="P138" s="62">
        <x:v>5021</x:v>
      </x:c>
      <x:c r="Q138" s="62">
        <x:v>5021</x:v>
      </x:c>
      <x:c r="U138" s="189">
        <x:f t="shared" si="3"/>
        <x:v>1</x:v>
      </x:c>
    </x:row>
    <x:row r="139" spans="2:21">
      <x:c r="B139" s="46" t="s">
        <x:v>586</x:v>
      </x:c>
      <x:c r="C139" s="60" t="s">
        <x:v>2420</x:v>
      </x:c>
      <x:c r="D139" s="58"/>
      <x:c r="E139" s="62" t="s">
        <x:v>818</x:v>
      </x:c>
      <x:c r="F139" s="62" t="s">
        <x:v>818</x:v>
      </x:c>
      <x:c r="G139" s="62" t="s">
        <x:v>818</x:v>
      </x:c>
      <x:c r="H139" s="62" t="s">
        <x:v>818</x:v>
      </x:c>
      <x:c r="I139" s="62" t="s">
        <x:v>818</x:v>
      </x:c>
      <x:c r="J139" s="62" t="s">
        <x:v>818</x:v>
      </x:c>
      <x:c r="K139" s="62" t="s">
        <x:v>818</x:v>
      </x:c>
      <x:c r="L139" s="62" t="s">
        <x:v>818</x:v>
      </x:c>
      <x:c r="M139" s="62" t="s">
        <x:v>818</x:v>
      </x:c>
      <x:c r="N139" s="165" t="s">
        <x:v>818</x:v>
      </x:c>
      <x:c r="O139" s="165" t="s">
        <x:v>818</x:v>
      </x:c>
      <x:c r="P139" s="165" t="s">
        <x:v>818</x:v>
      </x:c>
      <x:c r="Q139" s="165" t="s">
        <x:v>818</x:v>
      </x:c>
      <x:c r="U139" s="189" t="str">
        <x:f t="shared" si="3"/>
        <x:v/>
      </x:c>
    </x:row>
    <x:row r="140" spans="2:21">
      <x:c r="B140" s="46" t="s">
        <x:v>1184</x:v>
      </x:c>
      <x:c r="C140" s="60" t="s">
        <x:v>726</x:v>
      </x:c>
      <x:c r="D140" s="58"/>
      <x:c r="E140" s="62" t="s">
        <x:v>818</x:v>
      </x:c>
      <x:c r="F140" s="62" t="s">
        <x:v>818</x:v>
      </x:c>
      <x:c r="G140" s="62" t="s">
        <x:v>818</x:v>
      </x:c>
      <x:c r="H140" s="62" t="s">
        <x:v>818</x:v>
      </x:c>
      <x:c r="I140" s="62" t="s">
        <x:v>818</x:v>
      </x:c>
      <x:c r="J140" s="62" t="s">
        <x:v>818</x:v>
      </x:c>
      <x:c r="K140" s="62" t="s">
        <x:v>818</x:v>
      </x:c>
      <x:c r="L140" s="62" t="s">
        <x:v>818</x:v>
      </x:c>
      <x:c r="M140" s="62" t="s">
        <x:v>818</x:v>
      </x:c>
      <x:c r="N140" s="165" t="s">
        <x:v>818</x:v>
      </x:c>
      <x:c r="O140" s="165" t="s">
        <x:v>818</x:v>
      </x:c>
      <x:c r="P140" s="165" t="s">
        <x:v>818</x:v>
      </x:c>
      <x:c r="Q140" s="165" t="s">
        <x:v>818</x:v>
      </x:c>
      <x:c r="U140" s="189" t="str">
        <x:f t="shared" si="3"/>
        <x:v/>
      </x:c>
    </x:row>
    <x:row r="141" spans="2:21">
      <x:c r="B141" s="46" t="s">
        <x:v>135</x:v>
      </x:c>
      <x:c r="C141" s="60" t="s">
        <x:v>727</x:v>
      </x:c>
      <x:c r="D141" s="58"/>
      <x:c r="E141" s="62" t="s">
        <x:v>818</x:v>
      </x:c>
      <x:c r="F141" s="62" t="s">
        <x:v>818</x:v>
      </x:c>
      <x:c r="G141" s="62" t="s">
        <x:v>818</x:v>
      </x:c>
      <x:c r="H141" s="62" t="s">
        <x:v>818</x:v>
      </x:c>
      <x:c r="I141" s="62" t="s">
        <x:v>818</x:v>
      </x:c>
      <x:c r="J141" s="62" t="s">
        <x:v>818</x:v>
      </x:c>
      <x:c r="K141" s="62" t="s">
        <x:v>818</x:v>
      </x:c>
      <x:c r="L141" s="62" t="s">
        <x:v>818</x:v>
      </x:c>
      <x:c r="M141" s="62" t="s">
        <x:v>818</x:v>
      </x:c>
      <x:c r="N141" s="165" t="s">
        <x:v>818</x:v>
      </x:c>
      <x:c r="O141" s="165" t="s">
        <x:v>818</x:v>
      </x:c>
      <x:c r="P141" s="165" t="s">
        <x:v>818</x:v>
      </x:c>
      <x:c r="Q141" s="165" t="s">
        <x:v>818</x:v>
      </x:c>
      <x:c r="U141" s="189" t="str">
        <x:f t="shared" si="3"/>
        <x:v/>
      </x:c>
    </x:row>
    <x:row r="142" spans="2:21">
      <x:c r="B142" s="46" t="s">
        <x:v>93</x:v>
      </x:c>
      <x:c r="C142" s="60" t="s">
        <x:v>235</x:v>
      </x:c>
      <x:c r="D142" s="58"/>
      <x:c r="E142" s="62" t="s">
        <x:v>818</x:v>
      </x:c>
      <x:c r="F142" s="62" t="s">
        <x:v>818</x:v>
      </x:c>
      <x:c r="G142" s="62" t="s">
        <x:v>818</x:v>
      </x:c>
      <x:c r="H142" s="62" t="s">
        <x:v>818</x:v>
      </x:c>
      <x:c r="I142" s="62" t="s">
        <x:v>818</x:v>
      </x:c>
      <x:c r="J142" s="62" t="s">
        <x:v>818</x:v>
      </x:c>
      <x:c r="K142" s="62" t="s">
        <x:v>818</x:v>
      </x:c>
      <x:c r="L142" s="62" t="s">
        <x:v>818</x:v>
      </x:c>
      <x:c r="M142" s="62" t="s">
        <x:v>818</x:v>
      </x:c>
      <x:c r="N142" s="165" t="s">
        <x:v>818</x:v>
      </x:c>
      <x:c r="O142" s="165" t="s">
        <x:v>818</x:v>
      </x:c>
      <x:c r="P142" s="165" t="s">
        <x:v>818</x:v>
      </x:c>
      <x:c r="Q142" s="165" t="s">
        <x:v>818</x:v>
      </x:c>
      <x:c r="U142" s="189" t="str">
        <x:f t="shared" si="3"/>
        <x:v/>
      </x:c>
    </x:row>
    <x:row r="143" spans="2:21">
      <x:c r="B143" s="46" t="s">
        <x:v>736</x:v>
      </x:c>
      <x:c r="C143" s="60" t="s">
        <x:v>1577</x:v>
      </x:c>
      <x:c r="D143" s="58"/>
      <x:c r="E143" s="62" t="s">
        <x:v>818</x:v>
      </x:c>
      <x:c r="F143" s="62" t="s">
        <x:v>818</x:v>
      </x:c>
      <x:c r="G143" s="62" t="s">
        <x:v>818</x:v>
      </x:c>
      <x:c r="H143" s="62" t="s">
        <x:v>818</x:v>
      </x:c>
      <x:c r="I143" s="62" t="s">
        <x:v>818</x:v>
      </x:c>
      <x:c r="J143" s="62" t="s">
        <x:v>818</x:v>
      </x:c>
      <x:c r="K143" s="62" t="s">
        <x:v>818</x:v>
      </x:c>
      <x:c r="L143" s="62" t="s">
        <x:v>818</x:v>
      </x:c>
      <x:c r="M143" s="62" t="s">
        <x:v>818</x:v>
      </x:c>
      <x:c r="N143" s="165" t="s">
        <x:v>818</x:v>
      </x:c>
      <x:c r="O143" s="165" t="s">
        <x:v>818</x:v>
      </x:c>
      <x:c r="P143" s="165" t="s">
        <x:v>818</x:v>
      </x:c>
      <x:c r="Q143" s="165" t="s">
        <x:v>818</x:v>
      </x:c>
      <x:c r="U143" s="189" t="str">
        <x:f t="shared" si="3"/>
        <x:v/>
      </x:c>
    </x:row>
    <x:row r="144" spans="2:21">
      <x:c r="B144" s="168" t="s">
        <x:v>97</x:v>
      </x:c>
      <x:c r="C144" s="60" t="s">
        <x:v>1185</x:v>
      </x:c>
      <x:c r="D144" s="58"/>
      <x:c r="E144" s="62" t="s">
        <x:v>818</x:v>
      </x:c>
      <x:c r="F144" s="62" t="s">
        <x:v>818</x:v>
      </x:c>
      <x:c r="G144" s="62" t="s">
        <x:v>818</x:v>
      </x:c>
      <x:c r="H144" s="62" t="s">
        <x:v>818</x:v>
      </x:c>
      <x:c r="I144" s="62" t="s">
        <x:v>818</x:v>
      </x:c>
      <x:c r="J144" s="62" t="s">
        <x:v>818</x:v>
      </x:c>
      <x:c r="K144" s="62" t="s">
        <x:v>818</x:v>
      </x:c>
      <x:c r="L144" s="62" t="s">
        <x:v>818</x:v>
      </x:c>
      <x:c r="M144" s="62" t="s">
        <x:v>818</x:v>
      </x:c>
      <x:c r="N144" s="165" t="s">
        <x:v>818</x:v>
      </x:c>
      <x:c r="O144" s="165" t="s">
        <x:v>818</x:v>
      </x:c>
      <x:c r="P144" s="165" t="s">
        <x:v>818</x:v>
      </x:c>
      <x:c r="Q144" s="165" t="s">
        <x:v>818</x:v>
      </x:c>
      <x:c r="U144" s="189" t="str">
        <x:f t="shared" si="3"/>
        <x:v/>
      </x:c>
    </x:row>
    <x:row r="145" spans="2:21">
      <x:c r="B145" s="46" t="s">
        <x:v>584</x:v>
      </x:c>
      <x:c r="C145" s="60" t="s">
        <x:v>2425</x:v>
      </x:c>
      <x:c r="D145" s="58"/>
      <x:c r="E145" s="164">
        <x:v>4.25</x:v>
      </x:c>
      <x:c r="F145" s="164">
        <x:v>5</x:v>
      </x:c>
      <x:c r="G145" s="164">
        <x:v>5.5</x:v>
      </x:c>
      <x:c r="H145" s="164">
        <x:v>5.9000000000000004</x:v>
      </x:c>
      <x:c r="I145" s="164">
        <x:v>6.21</x:v>
      </x:c>
      <x:c r="J145" s="164">
        <x:v>6.4299999999999997</x:v>
      </x:c>
      <x:c r="K145" s="164">
        <x:v>6.5099999999999998</x:v>
      </x:c>
      <x:c r="L145" s="164">
        <x:v>6.5499999999999998</x:v>
      </x:c>
      <x:c r="M145" s="164">
        <x:v>6.5899999999999999</x:v>
      </x:c>
      <x:c r="N145" s="164">
        <x:v>6.6299999999999999</x:v>
      </x:c>
      <x:c r="O145" s="164">
        <x:v>6.6699999999999999</x:v>
      </x:c>
      <x:c r="P145" s="164">
        <x:v>6.71</x:v>
      </x:c>
      <x:c r="Q145" s="164">
        <x:v>6.71</x:v>
      </x:c>
      <x:c r="U145" s="189">
        <x:f t="shared" ref="U145:U184" si="4">IF(COUNT(E145:Q145)&lt;&gt;0,1,"")</x:f>
        <x:v>1</x:v>
      </x:c>
    </x:row>
    <x:row r="146" spans="2:21">
      <x:c r="B146" s="46" t="s">
        <x:v>2419</x:v>
      </x:c>
      <x:c r="C146" s="60" t="s">
        <x:v>607</x:v>
      </x:c>
      <x:c r="D146" s="58"/>
      <x:c r="E146" s="164">
        <x:v>21.186</x:v>
      </x:c>
      <x:c r="F146" s="164">
        <x:v>16.187000000000001</x:v>
      </x:c>
      <x:c r="G146" s="164">
        <x:v>3.6419999999999999</x:v>
      </x:c>
      <x:c r="H146" s="164">
        <x:v>49.491</x:v>
      </x:c>
      <x:c r="I146" s="164">
        <x:v>23.091000000000001</x:v>
      </x:c>
      <x:c r="J146" s="164">
        <x:v>0.83299999999999996</x:v>
      </x:c>
      <x:c r="K146" s="164" t="s">
        <x:v>821</x:v>
      </x:c>
      <x:c r="L146" s="164">
        <x:v>2.5640000000000001</x:v>
      </x:c>
      <x:c r="M146" s="164" t="s">
        <x:v>821</x:v>
      </x:c>
      <x:c r="N146" s="164">
        <x:v>13.532999999999999</x:v>
      </x:c>
      <x:c r="O146" s="164" t="s">
        <x:v>821</x:v>
      </x:c>
      <x:c r="P146" s="164" t="s">
        <x:v>821</x:v>
      </x:c>
      <x:c r="Q146" s="164" t="s">
        <x:v>821</x:v>
      </x:c>
      <x:c r="U146" s="189">
        <x:f t="shared" si="4"/>
        <x:v>1</x:v>
      </x:c>
    </x:row>
    <x:row r="147" spans="2:21">
      <x:c r="B147" s="46" t="s">
        <x:v>588</x:v>
      </x:c>
      <x:c r="C147" s="60" t="s">
        <x:v>2119</x:v>
      </x:c>
      <x:c r="D147" s="58"/>
      <x:c r="E147" s="164">
        <x:v>35.476999999999997</x:v>
      </x:c>
      <x:c r="F147" s="164">
        <x:v>37.127000000000002</x:v>
      </x:c>
      <x:c r="G147" s="164">
        <x:v>44.271999999999998</x:v>
      </x:c>
      <x:c r="H147" s="164">
        <x:v>95.706999999999994</x:v>
      </x:c>
      <x:c r="I147" s="164">
        <x:v>64.918000000000006</x:v>
      </x:c>
      <x:c r="J147" s="164">
        <x:v>60.512999999999998</x:v>
      </x:c>
      <x:c r="K147" s="164">
        <x:v>103.703</x:v>
      </x:c>
      <x:c r="L147" s="164">
        <x:v>102.194</x:v>
      </x:c>
      <x:c r="M147" s="164">
        <x:v>362.904</x:v>
      </x:c>
      <x:c r="N147" s="164">
        <x:v>80.512</x:v>
      </x:c>
      <x:c r="O147" s="164">
        <x:v>102.059</x:v>
      </x:c>
      <x:c r="P147" s="164">
        <x:v>59.048000000000002</x:v>
      </x:c>
      <x:c r="Q147" s="164">
        <x:v>59.048000000000002</x:v>
      </x:c>
      <x:c r="U147" s="189">
        <x:f t="shared" si="4"/>
        <x:v>1</x:v>
      </x:c>
    </x:row>
    <x:row r="148" spans="2:21">
      <x:c r="B148" s="46"/>
      <x:c r="C148" s="60"/>
      <x:c r="D148" s="58"/>
      <x:c r="E148" s="62"/>
      <x:c r="F148" s="62"/>
      <x:c r="G148" s="62"/>
      <x:c r="H148" s="62"/>
      <x:c r="I148" s="62"/>
      <x:c r="J148" s="62"/>
      <x:c r="K148" s="62"/>
      <x:c r="L148" s="62"/>
      <x:c r="M148" s="62"/>
      <x:c r="N148" s="161"/>
      <x:c r="O148" s="161"/>
      <x:c r="P148" s="161"/>
      <x:c r="Q148" s="161"/>
      <x:c r="U148" s="188">
        <x:v>1</x:v>
      </x:c>
    </x:row>
    <x:row r="149" spans="2:21">
      <x:c r="B149" s="61" t="s">
        <x:v>225</x:v>
      </x:c>
      <x:c r="C149" s="60"/>
      <x:c r="D149" s="58"/>
      <x:c r="E149" s="245"/>
      <x:c r="F149" s="245"/>
      <x:c r="G149" s="161"/>
      <x:c r="H149" s="161"/>
      <x:c r="I149" s="161"/>
      <x:c r="J149" s="161"/>
      <x:c r="K149" s="161"/>
      <x:c r="L149" s="161"/>
      <x:c r="M149" s="161"/>
      <x:c r="N149" s="161"/>
      <x:c r="O149" s="161"/>
      <x:c r="P149" s="161"/>
      <x:c r="Q149" s="161"/>
      <x:c r="U149" s="188">
        <x:v>1</x:v>
      </x:c>
    </x:row>
    <x:row r="150" spans="2:21">
      <x:c r="B150" s="46" t="s">
        <x:v>594</x:v>
      </x:c>
      <x:c r="C150" s="60" t="s">
        <x:v>2149</x:v>
      </x:c>
      <x:c r="D150" s="58"/>
      <x:c r="E150" s="62">
        <x:v>1307</x:v>
      </x:c>
      <x:c r="F150" s="62">
        <x:v>1290</x:v>
      </x:c>
      <x:c r="G150" s="62">
        <x:v>1327</x:v>
      </x:c>
      <x:c r="H150" s="62">
        <x:v>1445</x:v>
      </x:c>
      <x:c r="I150" s="62">
        <x:v>1466</x:v>
      </x:c>
      <x:c r="J150" s="62">
        <x:v>1509</x:v>
      </x:c>
      <x:c r="K150" s="62">
        <x:v>1509</x:v>
      </x:c>
      <x:c r="L150" s="62">
        <x:v>1413</x:v>
      </x:c>
      <x:c r="M150" s="62">
        <x:v>1330</x:v>
      </x:c>
      <x:c r="N150" s="62">
        <x:v>1237</x:v>
      </x:c>
      <x:c r="O150" s="62">
        <x:v>1173</x:v>
      </x:c>
      <x:c r="P150" s="62" t="s">
        <x:v>818</x:v>
      </x:c>
      <x:c r="Q150" s="62" t="s">
        <x:v>818</x:v>
      </x:c>
      <x:c r="U150" s="189">
        <x:f t="shared" si="4"/>
        <x:v>1</x:v>
      </x:c>
    </x:row>
    <x:row r="151" spans="2:21">
      <x:c r="B151" s="46" t="s">
        <x:v>609</x:v>
      </x:c>
      <x:c r="C151" s="60" t="s">
        <x:v>2151</x:v>
      </x:c>
      <x:c r="D151" s="58"/>
      <x:c r="E151" s="62" t="s">
        <x:v>818</x:v>
      </x:c>
      <x:c r="F151" s="62" t="s">
        <x:v>818</x:v>
      </x:c>
      <x:c r="G151" s="62" t="s">
        <x:v>818</x:v>
      </x:c>
      <x:c r="H151" s="62" t="s">
        <x:v>818</x:v>
      </x:c>
      <x:c r="I151" s="62" t="s">
        <x:v>818</x:v>
      </x:c>
      <x:c r="J151" s="62" t="s">
        <x:v>818</x:v>
      </x:c>
      <x:c r="K151" s="62" t="s">
        <x:v>818</x:v>
      </x:c>
      <x:c r="L151" s="62" t="s">
        <x:v>818</x:v>
      </x:c>
      <x:c r="M151" s="62" t="s">
        <x:v>818</x:v>
      </x:c>
      <x:c r="N151" s="62" t="s">
        <x:v>818</x:v>
      </x:c>
      <x:c r="O151" s="62" t="s">
        <x:v>818</x:v>
      </x:c>
      <x:c r="P151" s="62" t="s">
        <x:v>818</x:v>
      </x:c>
      <x:c r="Q151" s="62" t="s">
        <x:v>818</x:v>
      </x:c>
      <x:c r="U151" s="189" t="str">
        <x:f t="shared" si="4"/>
        <x:v/>
      </x:c>
    </x:row>
    <x:row r="152" spans="2:21">
      <x:c r="B152" s="46" t="s">
        <x:v>1186</x:v>
      </x:c>
      <x:c r="C152" s="60" t="s">
        <x:v>590</x:v>
      </x:c>
      <x:c r="D152" s="58"/>
      <x:c r="E152" s="62">
        <x:v>1307</x:v>
      </x:c>
      <x:c r="F152" s="62">
        <x:v>1290</x:v>
      </x:c>
      <x:c r="G152" s="62">
        <x:v>1327</x:v>
      </x:c>
      <x:c r="H152" s="62">
        <x:v>1445</x:v>
      </x:c>
      <x:c r="I152" s="62">
        <x:v>1466</x:v>
      </x:c>
      <x:c r="J152" s="62">
        <x:v>1509</x:v>
      </x:c>
      <x:c r="K152" s="62">
        <x:v>1509</x:v>
      </x:c>
      <x:c r="L152" s="62">
        <x:v>1413</x:v>
      </x:c>
      <x:c r="M152" s="62">
        <x:v>1330</x:v>
      </x:c>
      <x:c r="N152" s="62">
        <x:v>1237</x:v>
      </x:c>
      <x:c r="O152" s="62">
        <x:v>1173</x:v>
      </x:c>
      <x:c r="P152" s="62" t="s">
        <x:v>818</x:v>
      </x:c>
      <x:c r="Q152" s="62" t="s">
        <x:v>818</x:v>
      </x:c>
      <x:c r="U152" s="189">
        <x:f t="shared" si="4"/>
        <x:v>1</x:v>
      </x:c>
    </x:row>
    <x:row r="153" spans="2:21">
      <x:c r="B153" s="46" t="s">
        <x:v>732</x:v>
      </x:c>
      <x:c r="C153" s="60" t="s">
        <x:v>1273</x:v>
      </x:c>
      <x:c r="D153" s="58"/>
      <x:c r="E153" s="62" t="s">
        <x:v>818</x:v>
      </x:c>
      <x:c r="F153" s="62" t="s">
        <x:v>818</x:v>
      </x:c>
      <x:c r="G153" s="62" t="s">
        <x:v>818</x:v>
      </x:c>
      <x:c r="H153" s="62" t="s">
        <x:v>818</x:v>
      </x:c>
      <x:c r="I153" s="62" t="s">
        <x:v>818</x:v>
      </x:c>
      <x:c r="J153" s="62" t="s">
        <x:v>818</x:v>
      </x:c>
      <x:c r="K153" s="62" t="s">
        <x:v>818</x:v>
      </x:c>
      <x:c r="L153" s="62" t="s">
        <x:v>818</x:v>
      </x:c>
      <x:c r="M153" s="62" t="s">
        <x:v>818</x:v>
      </x:c>
      <x:c r="N153" s="62" t="s">
        <x:v>818</x:v>
      </x:c>
      <x:c r="O153" s="62" t="s">
        <x:v>818</x:v>
      </x:c>
      <x:c r="P153" s="62" t="s">
        <x:v>818</x:v>
      </x:c>
      <x:c r="Q153" s="62" t="s">
        <x:v>818</x:v>
      </x:c>
      <x:c r="U153" s="189" t="str">
        <x:f t="shared" si="4"/>
        <x:v/>
      </x:c>
    </x:row>
    <x:row r="154" spans="2:21">
      <x:c r="B154" s="46" t="s">
        <x:v>1270</x:v>
      </x:c>
      <x:c r="C154" s="60" t="s">
        <x:v>2150</x:v>
      </x:c>
      <x:c r="D154" s="58"/>
      <x:c r="E154" s="62">
        <x:v>5437</x:v>
      </x:c>
      <x:c r="F154" s="62">
        <x:v>5247</x:v>
      </x:c>
      <x:c r="G154" s="62">
        <x:v>5726</x:v>
      </x:c>
      <x:c r="H154" s="62">
        <x:v>5590</x:v>
      </x:c>
      <x:c r="I154" s="62">
        <x:v>5379</x:v>
      </x:c>
      <x:c r="J154" s="62">
        <x:v>5910</x:v>
      </x:c>
      <x:c r="K154" s="62">
        <x:v>6262</x:v>
      </x:c>
      <x:c r="L154" s="62">
        <x:v>6488</x:v>
      </x:c>
      <x:c r="M154" s="62">
        <x:v>6567</x:v>
      </x:c>
      <x:c r="N154" s="62">
        <x:v>6775</x:v>
      </x:c>
      <x:c r="O154" s="62">
        <x:v>7479</x:v>
      </x:c>
      <x:c r="P154" s="62">
        <x:v>8316</x:v>
      </x:c>
      <x:c r="Q154" s="62">
        <x:v>8316</x:v>
      </x:c>
      <x:c r="U154" s="189">
        <x:f t="shared" si="4"/>
        <x:v>1</x:v>
      </x:c>
    </x:row>
    <x:row r="155" spans="2:21">
      <x:c r="B155" s="46" t="s">
        <x:v>1564</x:v>
      </x:c>
      <x:c r="C155" s="60" t="s">
        <x:v>2429</x:v>
      </x:c>
      <x:c r="D155" s="58"/>
      <x:c r="E155" s="62">
        <x:v>1497</x:v>
      </x:c>
      <x:c r="F155" s="62">
        <x:v>1445</x:v>
      </x:c>
      <x:c r="G155" s="62" t="s">
        <x:v>818</x:v>
      </x:c>
      <x:c r="H155" s="62" t="s">
        <x:v>818</x:v>
      </x:c>
      <x:c r="I155" s="62" t="s">
        <x:v>818</x:v>
      </x:c>
      <x:c r="J155" s="62">
        <x:v>1623</x:v>
      </x:c>
      <x:c r="K155" s="62">
        <x:v>1524</x:v>
      </x:c>
      <x:c r="L155" s="62">
        <x:v>1437</x:v>
      </x:c>
      <x:c r="M155" s="62">
        <x:v>1247</x:v>
      </x:c>
      <x:c r="N155" s="62">
        <x:v>1292</x:v>
      </x:c>
      <x:c r="O155" s="62">
        <x:v>1309</x:v>
      </x:c>
      <x:c r="P155" s="62" t="s">
        <x:v>818</x:v>
      </x:c>
      <x:c r="Q155" s="62" t="s">
        <x:v>818</x:v>
      </x:c>
      <x:c r="U155" s="189">
        <x:f t="shared" si="4"/>
        <x:v>1</x:v>
      </x:c>
    </x:row>
    <x:row r="156" spans="2:21">
      <x:c r="B156" s="46" t="s">
        <x:v>1579</x:v>
      </x:c>
      <x:c r="C156" s="60" t="s">
        <x:v>635</x:v>
      </x:c>
      <x:c r="D156" s="58"/>
      <x:c r="E156" s="62" t="s">
        <x:v>818</x:v>
      </x:c>
      <x:c r="F156" s="62" t="s">
        <x:v>818</x:v>
      </x:c>
      <x:c r="G156" s="62" t="s">
        <x:v>818</x:v>
      </x:c>
      <x:c r="H156" s="62" t="s">
        <x:v>818</x:v>
      </x:c>
      <x:c r="I156" s="62" t="s">
        <x:v>818</x:v>
      </x:c>
      <x:c r="J156" s="62" t="s">
        <x:v>818</x:v>
      </x:c>
      <x:c r="K156" s="62" t="s">
        <x:v>818</x:v>
      </x:c>
      <x:c r="L156" s="62" t="s">
        <x:v>818</x:v>
      </x:c>
      <x:c r="M156" s="62" t="s">
        <x:v>818</x:v>
      </x:c>
      <x:c r="N156" s="62" t="s">
        <x:v>818</x:v>
      </x:c>
      <x:c r="O156" s="62" t="s">
        <x:v>818</x:v>
      </x:c>
      <x:c r="P156" s="62" t="s">
        <x:v>818</x:v>
      </x:c>
      <x:c r="Q156" s="62" t="s">
        <x:v>818</x:v>
      </x:c>
      <x:c r="U156" s="189" t="str">
        <x:f t="shared" si="4"/>
        <x:v/>
      </x:c>
    </x:row>
    <x:row r="157" spans="2:21">
      <x:c r="B157" s="46" t="s">
        <x:v>1187</x:v>
      </x:c>
      <x:c r="C157" s="60" t="s">
        <x:v>2126</x:v>
      </x:c>
      <x:c r="D157" s="58"/>
      <x:c r="E157" s="62" t="s">
        <x:v>818</x:v>
      </x:c>
      <x:c r="F157" s="62" t="s">
        <x:v>818</x:v>
      </x:c>
      <x:c r="G157" s="62" t="s">
        <x:v>818</x:v>
      </x:c>
      <x:c r="H157" s="62" t="s">
        <x:v>818</x:v>
      </x:c>
      <x:c r="I157" s="62" t="s">
        <x:v>818</x:v>
      </x:c>
      <x:c r="J157" s="62" t="s">
        <x:v>818</x:v>
      </x:c>
      <x:c r="K157" s="62" t="s">
        <x:v>818</x:v>
      </x:c>
      <x:c r="L157" s="62" t="s">
        <x:v>818</x:v>
      </x:c>
      <x:c r="M157" s="62" t="s">
        <x:v>818</x:v>
      </x:c>
      <x:c r="N157" s="62" t="s">
        <x:v>818</x:v>
      </x:c>
      <x:c r="O157" s="62" t="s">
        <x:v>818</x:v>
      </x:c>
      <x:c r="P157" s="62" t="s">
        <x:v>818</x:v>
      </x:c>
      <x:c r="Q157" s="62" t="s">
        <x:v>818</x:v>
      </x:c>
      <x:c r="U157" s="189" t="str">
        <x:f t="shared" si="4"/>
        <x:v/>
      </x:c>
    </x:row>
    <x:row r="158" spans="2:21">
      <x:c r="B158" s="46" t="s">
        <x:v>735</x:v>
      </x:c>
      <x:c r="C158" s="60" t="s">
        <x:v>1593</x:v>
      </x:c>
      <x:c r="D158" s="58"/>
      <x:c r="E158" s="62">
        <x:v>145.280856</x:v>
      </x:c>
      <x:c r="F158" s="62">
        <x:v>134.2116</x:v>
      </x:c>
      <x:c r="G158" s="62" t="s">
        <x:v>818</x:v>
      </x:c>
      <x:c r="H158" s="62" t="s">
        <x:v>818</x:v>
      </x:c>
      <x:c r="I158" s="62" t="s">
        <x:v>818</x:v>
      </x:c>
      <x:c r="J158" s="62">
        <x:v>307.13652000000002</x:v>
      </x:c>
      <x:c r="K158" s="62">
        <x:v>236.61014399999999</x:v>
      </x:c>
      <x:c r="L158" s="62">
        <x:v>221.44744800000001</x:v>
      </x:c>
      <x:c r="M158" s="62">
        <x:v>223.18307199999998</x:v>
      </x:c>
      <x:c r="N158" s="62">
        <x:v>293.15996799999999</x:v>
      </x:c>
      <x:c r="O158" s="62">
        <x:v>305.13313599999998</x:v>
      </x:c>
      <x:c r="P158" s="62" t="s">
        <x:v>818</x:v>
      </x:c>
      <x:c r="Q158" s="62" t="s">
        <x:v>818</x:v>
      </x:c>
      <x:c r="U158" s="189">
        <x:f t="shared" si="4"/>
        <x:v>1</x:v>
      </x:c>
    </x:row>
    <x:row r="159" spans="2:21">
      <x:c r="B159" s="46" t="s">
        <x:v>697</x:v>
      </x:c>
      <x:c r="C159" s="60" t="s">
        <x:v>1580</x:v>
      </x:c>
      <x:c r="D159" s="58"/>
      <x:c r="E159" s="62">
        <x:v>1351.7191440000001</x:v>
      </x:c>
      <x:c r="F159" s="62">
        <x:v>1310.7883999999999</x:v>
      </x:c>
      <x:c r="G159" s="62" t="s">
        <x:v>818</x:v>
      </x:c>
      <x:c r="H159" s="62" t="s">
        <x:v>818</x:v>
      </x:c>
      <x:c r="I159" s="62" t="s">
        <x:v>818</x:v>
      </x:c>
      <x:c r="J159" s="62">
        <x:v>1315.86348</x:v>
      </x:c>
      <x:c r="K159" s="62">
        <x:v>1287.389856</x:v>
      </x:c>
      <x:c r="L159" s="62">
        <x:v>1215.5525519999999</x:v>
      </x:c>
      <x:c r="M159" s="62">
        <x:v>1023.816928</x:v>
      </x:c>
      <x:c r="N159" s="62">
        <x:v>998.84003200000006</x:v>
      </x:c>
      <x:c r="O159" s="62">
        <x:v>1003.866864</x:v>
      </x:c>
      <x:c r="P159" s="62" t="s">
        <x:v>818</x:v>
      </x:c>
      <x:c r="Q159" s="62" t="s">
        <x:v>818</x:v>
      </x:c>
      <x:c r="U159" s="189">
        <x:f t="shared" si="4"/>
        <x:v>1</x:v>
      </x:c>
    </x:row>
    <x:row r="160" spans="2:21">
      <x:c r="B160" s="46" t="s">
        <x:v>1188</x:v>
      </x:c>
      <x:c r="C160" s="60">
        <x:v>275448</x:v>
      </x:c>
      <x:c r="D160" s="58"/>
      <x:c r="E160" s="62" t="s">
        <x:v>818</x:v>
      </x:c>
      <x:c r="F160" s="62" t="s">
        <x:v>818</x:v>
      </x:c>
      <x:c r="G160" s="62" t="s">
        <x:v>818</x:v>
      </x:c>
      <x:c r="H160" s="62" t="s">
        <x:v>818</x:v>
      </x:c>
      <x:c r="I160" s="62" t="s">
        <x:v>818</x:v>
      </x:c>
      <x:c r="J160" s="62" t="s">
        <x:v>818</x:v>
      </x:c>
      <x:c r="K160" s="62" t="s">
        <x:v>818</x:v>
      </x:c>
      <x:c r="L160" s="62" t="s">
        <x:v>818</x:v>
      </x:c>
      <x:c r="M160" s="62" t="s">
        <x:v>818</x:v>
      </x:c>
      <x:c r="N160" s="62" t="s">
        <x:v>818</x:v>
      </x:c>
      <x:c r="O160" s="62" t="s">
        <x:v>818</x:v>
      </x:c>
      <x:c r="P160" s="62" t="s">
        <x:v>818</x:v>
      </x:c>
      <x:c r="Q160" s="62" t="s">
        <x:v>818</x:v>
      </x:c>
      <x:c r="U160" s="189" t="str">
        <x:f t="shared" si="4"/>
        <x:v/>
      </x:c>
    </x:row>
    <x:row r="161" spans="2:21">
      <x:c r="B161" s="46" t="s">
        <x:v>1592</x:v>
      </x:c>
      <x:c r="C161" s="60" t="s">
        <x:v>2344</x:v>
      </x:c>
      <x:c r="D161" s="58"/>
      <x:c r="E161" s="62" t="s">
        <x:v>818</x:v>
      </x:c>
      <x:c r="F161" s="62" t="s">
        <x:v>818</x:v>
      </x:c>
      <x:c r="G161" s="62" t="s">
        <x:v>818</x:v>
      </x:c>
      <x:c r="H161" s="62" t="s">
        <x:v>818</x:v>
      </x:c>
      <x:c r="I161" s="62" t="s">
        <x:v>818</x:v>
      </x:c>
      <x:c r="J161" s="62" t="s">
        <x:v>818</x:v>
      </x:c>
      <x:c r="K161" s="62" t="s">
        <x:v>818</x:v>
      </x:c>
      <x:c r="L161" s="62" t="s">
        <x:v>818</x:v>
      </x:c>
      <x:c r="M161" s="62" t="s">
        <x:v>818</x:v>
      </x:c>
      <x:c r="N161" s="62" t="s">
        <x:v>818</x:v>
      </x:c>
      <x:c r="O161" s="62" t="s">
        <x:v>818</x:v>
      </x:c>
      <x:c r="P161" s="62" t="s">
        <x:v>818</x:v>
      </x:c>
      <x:c r="Q161" s="62" t="s">
        <x:v>818</x:v>
      </x:c>
      <x:c r="U161" s="189" t="str">
        <x:f t="shared" si="4"/>
        <x:v/>
      </x:c>
    </x:row>
    <x:row r="162" spans="2:21">
      <x:c r="B162" s="46" t="s">
        <x:v>239</x:v>
      </x:c>
      <x:c r="C162" s="60" t="s">
        <x:v>1582</x:v>
      </x:c>
      <x:c r="D162" s="58"/>
      <x:c r="E162" s="62" t="s">
        <x:v>818</x:v>
      </x:c>
      <x:c r="F162" s="62" t="s">
        <x:v>818</x:v>
      </x:c>
      <x:c r="G162" s="62" t="s">
        <x:v>818</x:v>
      </x:c>
      <x:c r="H162" s="62" t="s">
        <x:v>818</x:v>
      </x:c>
      <x:c r="I162" s="62" t="s">
        <x:v>818</x:v>
      </x:c>
      <x:c r="J162" s="62" t="s">
        <x:v>818</x:v>
      </x:c>
      <x:c r="K162" s="62" t="s">
        <x:v>818</x:v>
      </x:c>
      <x:c r="L162" s="62" t="s">
        <x:v>818</x:v>
      </x:c>
      <x:c r="M162" s="62" t="s">
        <x:v>818</x:v>
      </x:c>
      <x:c r="N162" s="62" t="s">
        <x:v>818</x:v>
      </x:c>
      <x:c r="O162" s="62" t="s">
        <x:v>818</x:v>
      </x:c>
      <x:c r="P162" s="62" t="s">
        <x:v>818</x:v>
      </x:c>
      <x:c r="Q162" s="62" t="s">
        <x:v>818</x:v>
      </x:c>
      <x:c r="U162" s="189" t="str">
        <x:f t="shared" si="4"/>
        <x:v/>
      </x:c>
    </x:row>
    <x:row r="163" spans="2:21">
      <x:c r="B163" s="46" t="s">
        <x:v>616</x:v>
      </x:c>
      <x:c r="C163" s="60" t="s">
        <x:v>2402</x:v>
      </x:c>
      <x:c r="D163" s="58"/>
      <x:c r="E163" s="62">
        <x:v>13</x:v>
      </x:c>
      <x:c r="F163" s="62">
        <x:v>6</x:v>
      </x:c>
      <x:c r="G163" s="62" t="s">
        <x:v>818</x:v>
      </x:c>
      <x:c r="H163" s="62" t="s">
        <x:v>818</x:v>
      </x:c>
      <x:c r="I163" s="62" t="s">
        <x:v>818</x:v>
      </x:c>
      <x:c r="J163" s="62" t="s">
        <x:v>818</x:v>
      </x:c>
      <x:c r="K163" s="62" t="s">
        <x:v>818</x:v>
      </x:c>
      <x:c r="L163" s="62" t="s">
        <x:v>818</x:v>
      </x:c>
      <x:c r="M163" s="62">
        <x:v>-5894</x:v>
      </x:c>
      <x:c r="N163" s="62" t="s">
        <x:v>818</x:v>
      </x:c>
      <x:c r="O163" s="62">
        <x:v>-3113</x:v>
      </x:c>
      <x:c r="P163" s="62" t="s">
        <x:v>818</x:v>
      </x:c>
      <x:c r="Q163" s="62" t="s">
        <x:v>818</x:v>
      </x:c>
      <x:c r="U163" s="189">
        <x:f t="shared" si="4"/>
        <x:v>1</x:v>
      </x:c>
    </x:row>
    <x:row r="164" spans="2:21">
      <x:c r="B164" s="46" t="s">
        <x:v>1571</x:v>
      </x:c>
      <x:c r="C164" s="60" t="s">
        <x:v>591</x:v>
      </x:c>
      <x:c r="D164" s="58"/>
      <x:c r="E164" s="62">
        <x:v>72664</x:v>
      </x:c>
      <x:c r="F164" s="62">
        <x:v>65224</x:v>
      </x:c>
      <x:c r="G164" s="62">
        <x:v>65749</x:v>
      </x:c>
      <x:c r="H164" s="62">
        <x:v>67457</x:v>
      </x:c>
      <x:c r="I164" s="62">
        <x:v>66373</x:v>
      </x:c>
      <x:c r="J164" s="62">
        <x:v>50175</x:v>
      </x:c>
      <x:c r="K164" s="62">
        <x:v>50517</x:v>
      </x:c>
      <x:c r="L164" s="62">
        <x:v>51768</x:v>
      </x:c>
      <x:c r="M164" s="62">
        <x:v>53009</x:v>
      </x:c>
      <x:c r="N164" s="62">
        <x:v>51957</x:v>
      </x:c>
      <x:c r="O164" s="62">
        <x:v>52965</x:v>
      </x:c>
      <x:c r="P164" s="62">
        <x:v>55778</x:v>
      </x:c>
      <x:c r="Q164" s="62">
        <x:v>55778</x:v>
      </x:c>
      <x:c r="U164" s="189">
        <x:f t="shared" si="4"/>
        <x:v>1</x:v>
      </x:c>
    </x:row>
    <x:row r="165" spans="2:21">
      <x:c r="B165" s="63"/>
      <x:c r="C165" s="60"/>
      <x:c r="D165" s="58"/>
      <x:c r="E165" s="62"/>
      <x:c r="F165" s="62"/>
      <x:c r="G165" s="62"/>
      <x:c r="H165" s="62"/>
      <x:c r="I165" s="62"/>
      <x:c r="J165" s="62"/>
      <x:c r="K165" s="62"/>
      <x:c r="L165" s="62"/>
      <x:c r="M165" s="62"/>
      <x:c r="N165" s="62"/>
      <x:c r="O165" s="62"/>
      <x:c r="P165" s="62"/>
      <x:c r="Q165" s="62"/>
      <x:c r="U165" s="189">
        <x:v>1</x:v>
      </x:c>
    </x:row>
    <x:row r="166" spans="2:21">
      <x:c r="B166" s="46" t="s">
        <x:v>2426</x:v>
      </x:c>
      <x:c r="C166" s="60" t="s">
        <x:v>596</x:v>
      </x:c>
      <x:c r="D166" s="58"/>
      <x:c r="E166" s="62">
        <x:v>121</x:v>
      </x:c>
      <x:c r="F166" s="62">
        <x:v>100</x:v>
      </x:c>
      <x:c r="G166" s="62">
        <x:v>88</x:v>
      </x:c>
      <x:c r="H166" s="62">
        <x:v>91</x:v>
      </x:c>
      <x:c r="I166" s="62">
        <x:v>82</x:v>
      </x:c>
      <x:c r="J166" s="62">
        <x:v>85</x:v>
      </x:c>
      <x:c r="K166" s="62">
        <x:v>126</x:v>
      </x:c>
      <x:c r="L166" s="62">
        <x:v>145</x:v>
      </x:c>
      <x:c r="M166" s="62">
        <x:v>164</x:v>
      </x:c>
      <x:c r="N166" s="62">
        <x:v>190</x:v>
      </x:c>
      <x:c r="O166" s="62">
        <x:v>223</x:v>
      </x:c>
      <x:c r="P166" s="62" t="s">
        <x:v>818</x:v>
      </x:c>
      <x:c r="Q166" s="62" t="s">
        <x:v>818</x:v>
      </x:c>
      <x:c r="U166" s="189">
        <x:f t="shared" si="4"/>
        <x:v>1</x:v>
      </x:c>
    </x:row>
    <x:row r="167" spans="2:21">
      <x:c r="B167" s="46" t="s">
        <x:v>1594</x:v>
      </x:c>
      <x:c r="C167" s="60" t="s">
        <x:v>611</x:v>
      </x:c>
      <x:c r="D167" s="58"/>
      <x:c r="E167" s="62">
        <x:v>54</x:v>
      </x:c>
      <x:c r="F167" s="62">
        <x:v>51</x:v>
      </x:c>
      <x:c r="G167" s="62">
        <x:v>55</x:v>
      </x:c>
      <x:c r="H167" s="62">
        <x:v>59</x:v>
      </x:c>
      <x:c r="I167" s="62">
        <x:v>67</x:v>
      </x:c>
      <x:c r="J167" s="62">
        <x:v>125</x:v>
      </x:c>
      <x:c r="K167" s="62">
        <x:v>197</x:v>
      </x:c>
      <x:c r="L167" s="62">
        <x:v>218</x:v>
      </x:c>
      <x:c r="M167" s="62">
        <x:v>258</x:v>
      </x:c>
      <x:c r="N167" s="62">
        <x:v>328</x:v>
      </x:c>
      <x:c r="O167" s="62">
        <x:v>398</x:v>
      </x:c>
      <x:c r="P167" s="62" t="s">
        <x:v>818</x:v>
      </x:c>
      <x:c r="Q167" s="62" t="s">
        <x:v>818</x:v>
      </x:c>
      <x:c r="U167" s="189">
        <x:f t="shared" si="4"/>
        <x:v>1</x:v>
      </x:c>
    </x:row>
    <x:row r="168" spans="2:21">
      <x:c r="B168" s="46" t="s">
        <x:v>1572</x:v>
      </x:c>
      <x:c r="C168" s="60" t="s">
        <x:v>597</x:v>
      </x:c>
      <x:c r="D168" s="58"/>
      <x:c r="E168" s="62" t="s">
        <x:v>818</x:v>
      </x:c>
      <x:c r="F168" s="62" t="s">
        <x:v>818</x:v>
      </x:c>
      <x:c r="G168" s="62" t="s">
        <x:v>818</x:v>
      </x:c>
      <x:c r="H168" s="62" t="s">
        <x:v>818</x:v>
      </x:c>
      <x:c r="I168" s="62" t="s">
        <x:v>818</x:v>
      </x:c>
      <x:c r="J168" s="62" t="s">
        <x:v>818</x:v>
      </x:c>
      <x:c r="K168" s="62" t="s">
        <x:v>818</x:v>
      </x:c>
      <x:c r="L168" s="62" t="s">
        <x:v>818</x:v>
      </x:c>
      <x:c r="M168" s="62" t="s">
        <x:v>818</x:v>
      </x:c>
      <x:c r="N168" s="62" t="s">
        <x:v>818</x:v>
      </x:c>
      <x:c r="O168" s="62" t="s">
        <x:v>818</x:v>
      </x:c>
      <x:c r="P168" s="62" t="s">
        <x:v>818</x:v>
      </x:c>
      <x:c r="Q168" s="62" t="s">
        <x:v>818</x:v>
      </x:c>
      <x:c r="U168" s="189" t="str">
        <x:f t="shared" si="4"/>
        <x:v/>
      </x:c>
    </x:row>
    <x:row r="169" spans="2:21">
      <x:c r="B169" s="46" t="s">
        <x:v>1565</x:v>
      </x:c>
      <x:c r="C169" s="60" t="s">
        <x:v>600</x:v>
      </x:c>
      <x:c r="D169" s="58"/>
      <x:c r="E169" s="62" t="s">
        <x:v>818</x:v>
      </x:c>
      <x:c r="F169" s="62" t="s">
        <x:v>818</x:v>
      </x:c>
      <x:c r="G169" s="62" t="s">
        <x:v>818</x:v>
      </x:c>
      <x:c r="H169" s="62" t="s">
        <x:v>818</x:v>
      </x:c>
      <x:c r="I169" s="62" t="s">
        <x:v>818</x:v>
      </x:c>
      <x:c r="J169" s="62" t="s">
        <x:v>818</x:v>
      </x:c>
      <x:c r="K169" s="62" t="s">
        <x:v>818</x:v>
      </x:c>
      <x:c r="L169" s="62" t="s">
        <x:v>818</x:v>
      </x:c>
      <x:c r="M169" s="62" t="s">
        <x:v>818</x:v>
      </x:c>
      <x:c r="N169" s="62" t="s">
        <x:v>818</x:v>
      </x:c>
      <x:c r="O169" s="62" t="s">
        <x:v>818</x:v>
      </x:c>
      <x:c r="P169" s="62" t="s">
        <x:v>818</x:v>
      </x:c>
      <x:c r="Q169" s="62" t="s">
        <x:v>818</x:v>
      </x:c>
      <x:c r="U169" s="189" t="str">
        <x:f t="shared" si="4"/>
        <x:v/>
      </x:c>
    </x:row>
    <x:row r="170" spans="2:21">
      <x:c r="B170" s="46" t="s">
        <x:v>1586</x:v>
      </x:c>
      <x:c r="C170" s="60" t="s">
        <x:v>601</x:v>
      </x:c>
      <x:c r="D170" s="58"/>
      <x:c r="E170" s="62">
        <x:v>350</x:v>
      </x:c>
      <x:c r="F170" s="62">
        <x:v>322</x:v>
      </x:c>
      <x:c r="G170" s="62">
        <x:v>401</x:v>
      </x:c>
      <x:c r="H170" s="62">
        <x:v>384</x:v>
      </x:c>
      <x:c r="I170" s="62">
        <x:v>361</x:v>
      </x:c>
      <x:c r="J170" s="62">
        <x:v>419</x:v>
      </x:c>
      <x:c r="K170" s="62">
        <x:v>550</x:v>
      </x:c>
      <x:c r="L170" s="62">
        <x:v>555</x:v>
      </x:c>
      <x:c r="M170" s="62">
        <x:v>566</x:v>
      </x:c>
      <x:c r="N170" s="62">
        <x:v>616</x:v>
      </x:c>
      <x:c r="O170" s="62">
        <x:v>690</x:v>
      </x:c>
      <x:c r="P170" s="62" t="s">
        <x:v>818</x:v>
      </x:c>
      <x:c r="Q170" s="62" t="s">
        <x:v>818</x:v>
      </x:c>
      <x:c r="U170" s="189">
        <x:f t="shared" si="4"/>
        <x:v>1</x:v>
      </x:c>
    </x:row>
    <x:row r="171" spans="2:21">
      <x:c r="B171" s="46" t="s">
        <x:v>94</x:v>
      </x:c>
      <x:c r="C171" s="60" t="s">
        <x:v>1191</x:v>
      </x:c>
      <x:c r="D171" s="58"/>
      <x:c r="E171" s="62" t="s">
        <x:v>818</x:v>
      </x:c>
      <x:c r="F171" s="62" t="s">
        <x:v>818</x:v>
      </x:c>
      <x:c r="G171" s="62" t="s">
        <x:v>818</x:v>
      </x:c>
      <x:c r="H171" s="62" t="s">
        <x:v>818</x:v>
      </x:c>
      <x:c r="I171" s="62" t="s">
        <x:v>818</x:v>
      </x:c>
      <x:c r="J171" s="62" t="s">
        <x:v>818</x:v>
      </x:c>
      <x:c r="K171" s="62" t="s">
        <x:v>818</x:v>
      </x:c>
      <x:c r="L171" s="62" t="s">
        <x:v>818</x:v>
      </x:c>
      <x:c r="M171" s="62" t="s">
        <x:v>818</x:v>
      </x:c>
      <x:c r="N171" s="62" t="s">
        <x:v>818</x:v>
      </x:c>
      <x:c r="O171" s="62" t="s">
        <x:v>818</x:v>
      </x:c>
      <x:c r="P171" s="62" t="s">
        <x:v>818</x:v>
      </x:c>
      <x:c r="Q171" s="62" t="s">
        <x:v>818</x:v>
      </x:c>
      <x:c r="U171" s="189" t="str">
        <x:f t="shared" si="4"/>
        <x:v/>
      </x:c>
    </x:row>
    <x:row r="172" spans="2:21">
      <x:c r="B172" s="46" t="s">
        <x:v>1192</x:v>
      </x:c>
      <x:c r="C172" s="60" t="s">
        <x:v>2410</x:v>
      </x:c>
      <x:c r="D172" s="58"/>
      <x:c r="E172" s="62">
        <x:v>-13</x:v>
      </x:c>
      <x:c r="F172" s="62">
        <x:v>-5</x:v>
      </x:c>
      <x:c r="G172" s="62" t="s">
        <x:v>818</x:v>
      </x:c>
      <x:c r="H172" s="62" t="s">
        <x:v>818</x:v>
      </x:c>
      <x:c r="I172" s="62" t="s">
        <x:v>818</x:v>
      </x:c>
      <x:c r="J172" s="62">
        <x:v>50</x:v>
      </x:c>
      <x:c r="K172" s="62">
        <x:v>64</x:v>
      </x:c>
      <x:c r="L172" s="62">
        <x:v>64</x:v>
      </x:c>
      <x:c r="M172" s="62" t="s">
        <x:v>818</x:v>
      </x:c>
      <x:c r="N172" s="62" t="s">
        <x:v>818</x:v>
      </x:c>
      <x:c r="O172" s="62" t="s">
        <x:v>818</x:v>
      </x:c>
      <x:c r="P172" s="62">
        <x:v>1715</x:v>
      </x:c>
      <x:c r="Q172" s="62">
        <x:v>1715</x:v>
      </x:c>
      <x:c r="U172" s="189">
        <x:f t="shared" si="4"/>
        <x:v>1</x:v>
      </x:c>
    </x:row>
    <x:row r="173" spans="2:21">
      <x:c r="B173" s="46" t="s">
        <x:v>1190</x:v>
      </x:c>
      <x:c r="C173" s="60" t="s">
        <x:v>582</x:v>
      </x:c>
      <x:c r="D173" s="58"/>
      <x:c r="E173" s="62" t="s">
        <x:v>818</x:v>
      </x:c>
      <x:c r="F173" s="62" t="s">
        <x:v>818</x:v>
      </x:c>
      <x:c r="G173" s="62" t="s">
        <x:v>818</x:v>
      </x:c>
      <x:c r="H173" s="62" t="s">
        <x:v>818</x:v>
      </x:c>
      <x:c r="I173" s="62" t="s">
        <x:v>818</x:v>
      </x:c>
      <x:c r="J173" s="62" t="s">
        <x:v>818</x:v>
      </x:c>
      <x:c r="K173" s="62" t="s">
        <x:v>818</x:v>
      </x:c>
      <x:c r="L173" s="62" t="s">
        <x:v>818</x:v>
      </x:c>
      <x:c r="M173" s="62" t="s">
        <x:v>818</x:v>
      </x:c>
      <x:c r="N173" s="62" t="s">
        <x:v>818</x:v>
      </x:c>
      <x:c r="O173" s="62" t="s">
        <x:v>818</x:v>
      </x:c>
      <x:c r="P173" s="62" t="s">
        <x:v>818</x:v>
      </x:c>
      <x:c r="Q173" s="62" t="s">
        <x:v>818</x:v>
      </x:c>
      <x:c r="U173" s="189" t="str">
        <x:f t="shared" si="4"/>
        <x:v/>
      </x:c>
    </x:row>
    <x:row r="174" spans="2:21">
      <x:c r="B174" s="46" t="s">
        <x:v>1566</x:v>
      </x:c>
      <x:c r="C174" s="60" t="s">
        <x:v>2431</x:v>
      </x:c>
      <x:c r="D174" s="58"/>
      <x:c r="E174" s="62">
        <x:v>512</x:v>
      </x:c>
      <x:c r="F174" s="62">
        <x:v>468</x:v>
      </x:c>
      <x:c r="G174" s="62">
        <x:v>544</x:v>
      </x:c>
      <x:c r="H174" s="62">
        <x:v>534</x:v>
      </x:c>
      <x:c r="I174" s="62">
        <x:v>510</x:v>
      </x:c>
      <x:c r="J174" s="62">
        <x:v>679</x:v>
      </x:c>
      <x:c r="K174" s="62">
        <x:v>937</x:v>
      </x:c>
      <x:c r="L174" s="62">
        <x:v>982</x:v>
      </x:c>
      <x:c r="M174" s="62">
        <x:v>988</x:v>
      </x:c>
      <x:c r="N174" s="62">
        <x:v>1134</x:v>
      </x:c>
      <x:c r="O174" s="62">
        <x:v>1311</x:v>
      </x:c>
      <x:c r="P174" s="62">
        <x:v>1715</x:v>
      </x:c>
      <x:c r="Q174" s="62">
        <x:v>1715</x:v>
      </x:c>
      <x:c r="U174" s="189">
        <x:f t="shared" si="4"/>
        <x:v>1</x:v>
      </x:c>
    </x:row>
    <x:row r="175" spans="2:21">
      <x:c r="B175" s="46" t="s">
        <x:v>227</x:v>
      </x:c>
      <x:c r="C175" s="60" t="s">
        <x:v>1189</x:v>
      </x:c>
      <x:c r="D175" s="58"/>
      <x:c r="E175" s="62" t="s">
        <x:v>818</x:v>
      </x:c>
      <x:c r="F175" s="62" t="s">
        <x:v>818</x:v>
      </x:c>
      <x:c r="G175" s="62" t="s">
        <x:v>818</x:v>
      </x:c>
      <x:c r="H175" s="62" t="s">
        <x:v>818</x:v>
      </x:c>
      <x:c r="I175" s="62" t="s">
        <x:v>818</x:v>
      </x:c>
      <x:c r="J175" s="62" t="s">
        <x:v>818</x:v>
      </x:c>
      <x:c r="K175" s="62" t="s">
        <x:v>818</x:v>
      </x:c>
      <x:c r="L175" s="62" t="s">
        <x:v>818</x:v>
      </x:c>
      <x:c r="M175" s="62" t="s">
        <x:v>818</x:v>
      </x:c>
      <x:c r="N175" s="62" t="s">
        <x:v>818</x:v>
      </x:c>
      <x:c r="O175" s="62" t="s">
        <x:v>818</x:v>
      </x:c>
      <x:c r="P175" s="62" t="s">
        <x:v>818</x:v>
      </x:c>
      <x:c r="Q175" s="62" t="s">
        <x:v>818</x:v>
      </x:c>
      <x:c r="U175" s="189" t="str">
        <x:f t="shared" si="4"/>
        <x:v/>
      </x:c>
    </x:row>
    <x:row r="176" spans="2:21">
      <x:c r="B176" s="46" t="s">
        <x:v>704</x:v>
      </x:c>
      <x:c r="C176" s="60" t="s">
        <x:v>1583</x:v>
      </x:c>
      <x:c r="D176" s="58"/>
      <x:c r="E176" s="62" t="s">
        <x:v>818</x:v>
      </x:c>
      <x:c r="F176" s="62" t="s">
        <x:v>818</x:v>
      </x:c>
      <x:c r="G176" s="62" t="s">
        <x:v>818</x:v>
      </x:c>
      <x:c r="H176" s="62" t="s">
        <x:v>818</x:v>
      </x:c>
      <x:c r="I176" s="62" t="s">
        <x:v>818</x:v>
      </x:c>
      <x:c r="J176" s="62" t="s">
        <x:v>818</x:v>
      </x:c>
      <x:c r="K176" s="62" t="s">
        <x:v>818</x:v>
      </x:c>
      <x:c r="L176" s="62" t="s">
        <x:v>818</x:v>
      </x:c>
      <x:c r="M176" s="62" t="s">
        <x:v>818</x:v>
      </x:c>
      <x:c r="N176" s="62" t="s">
        <x:v>818</x:v>
      </x:c>
      <x:c r="O176" s="62" t="s">
        <x:v>818</x:v>
      </x:c>
      <x:c r="P176" s="62" t="s">
        <x:v>818</x:v>
      </x:c>
      <x:c r="Q176" s="62" t="s">
        <x:v>818</x:v>
      </x:c>
      <x:c r="U176" s="189" t="str">
        <x:f t="shared" si="4"/>
        <x:v/>
      </x:c>
    </x:row>
    <x:row r="177" spans="2:21">
      <x:c r="B177" s="46" t="s">
        <x:v>705</x:v>
      </x:c>
      <x:c r="C177" s="60" t="s">
        <x:v>2427</x:v>
      </x:c>
      <x:c r="D177" s="58"/>
      <x:c r="E177" s="62" t="s">
        <x:v>818</x:v>
      </x:c>
      <x:c r="F177" s="62" t="s">
        <x:v>818</x:v>
      </x:c>
      <x:c r="G177" s="62" t="s">
        <x:v>818</x:v>
      </x:c>
      <x:c r="H177" s="62" t="s">
        <x:v>818</x:v>
      </x:c>
      <x:c r="I177" s="62" t="s">
        <x:v>818</x:v>
      </x:c>
      <x:c r="J177" s="62" t="s">
        <x:v>818</x:v>
      </x:c>
      <x:c r="K177" s="62" t="s">
        <x:v>818</x:v>
      </x:c>
      <x:c r="L177" s="62" t="s">
        <x:v>818</x:v>
      </x:c>
      <x:c r="M177" s="62" t="s">
        <x:v>818</x:v>
      </x:c>
      <x:c r="N177" s="62" t="s">
        <x:v>818</x:v>
      </x:c>
      <x:c r="O177" s="62" t="s">
        <x:v>818</x:v>
      </x:c>
      <x:c r="P177" s="62" t="s">
        <x:v>818</x:v>
      </x:c>
      <x:c r="Q177" s="62" t="s">
        <x:v>818</x:v>
      </x:c>
      <x:c r="U177" s="189" t="str">
        <x:f t="shared" si="4"/>
        <x:v/>
      </x:c>
    </x:row>
    <x:row r="178" spans="2:21">
      <x:c r="B178" s="46" t="s">
        <x:v>715</x:v>
      </x:c>
      <x:c r="C178" s="60" t="s">
        <x:v>1573</x:v>
      </x:c>
      <x:c r="D178" s="58"/>
      <x:c r="E178" s="62">
        <x:v>512</x:v>
      </x:c>
      <x:c r="F178" s="62">
        <x:v>468</x:v>
      </x:c>
      <x:c r="G178" s="62">
        <x:v>544</x:v>
      </x:c>
      <x:c r="H178" s="62">
        <x:v>534</x:v>
      </x:c>
      <x:c r="I178" s="62">
        <x:v>510</x:v>
      </x:c>
      <x:c r="J178" s="62">
        <x:v>679</x:v>
      </x:c>
      <x:c r="K178" s="62">
        <x:v>937</x:v>
      </x:c>
      <x:c r="L178" s="62">
        <x:v>982</x:v>
      </x:c>
      <x:c r="M178" s="62">
        <x:v>988</x:v>
      </x:c>
      <x:c r="N178" s="62">
        <x:v>1134</x:v>
      </x:c>
      <x:c r="O178" s="62">
        <x:v>1311</x:v>
      </x:c>
      <x:c r="P178" s="62">
        <x:v>1715</x:v>
      </x:c>
      <x:c r="Q178" s="62">
        <x:v>1715</x:v>
      </x:c>
      <x:c r="U178" s="189">
        <x:f t="shared" si="4"/>
        <x:v>1</x:v>
      </x:c>
    </x:row>
    <x:row r="179" spans="2:21">
      <x:c r="B179" s="46" t="s">
        <x:v>700</x:v>
      </x:c>
      <x:c r="C179" s="60" t="s">
        <x:v>2403</x:v>
      </x:c>
      <x:c r="D179" s="58"/>
      <x:c r="E179" s="62">
        <x:v>-174</x:v>
      </x:c>
      <x:c r="F179" s="62">
        <x:v>-156</x:v>
      </x:c>
      <x:c r="G179" s="62">
        <x:v>-179</x:v>
      </x:c>
      <x:c r="H179" s="62">
        <x:v>-131</x:v>
      </x:c>
      <x:c r="I179" s="62">
        <x:v>-116</x:v>
      </x:c>
      <x:c r="J179" s="62">
        <x:v>-143</x:v>
      </x:c>
      <x:c r="K179" s="62">
        <x:v>-198</x:v>
      </x:c>
      <x:c r="L179" s="62">
        <x:v>-223</x:v>
      </x:c>
      <x:c r="M179" s="62">
        <x:v>-249</x:v>
      </x:c>
      <x:c r="N179" s="62">
        <x:v>-290</x:v>
      </x:c>
      <x:c r="O179" s="62">
        <x:v>-469</x:v>
      </x:c>
      <x:c r="P179" s="62" t="s">
        <x:v>818</x:v>
      </x:c>
      <x:c r="Q179" s="62" t="s">
        <x:v>818</x:v>
      </x:c>
      <x:c r="U179" s="189">
        <x:f t="shared" si="4"/>
        <x:v>1</x:v>
      </x:c>
    </x:row>
    <x:row r="180" spans="2:21">
      <x:c r="B180" s="46" t="s">
        <x:v>718</x:v>
      </x:c>
      <x:c r="C180" s="60" t="s">
        <x:v>614</x:v>
      </x:c>
      <x:c r="D180" s="58"/>
      <x:c r="E180" s="62">
        <x:v>338</x:v>
      </x:c>
      <x:c r="F180" s="62">
        <x:v>312</x:v>
      </x:c>
      <x:c r="G180" s="62">
        <x:v>364</x:v>
      </x:c>
      <x:c r="H180" s="62">
        <x:v>403</x:v>
      </x:c>
      <x:c r="I180" s="62">
        <x:v>393</x:v>
      </x:c>
      <x:c r="J180" s="62">
        <x:v>484</x:v>
      </x:c>
      <x:c r="K180" s="62">
        <x:v>675</x:v>
      </x:c>
      <x:c r="L180" s="62">
        <x:v>695</x:v>
      </x:c>
      <x:c r="M180" s="62">
        <x:v>738</x:v>
      </x:c>
      <x:c r="N180" s="62">
        <x:v>843</x:v>
      </x:c>
      <x:c r="O180" s="62">
        <x:v>842</x:v>
      </x:c>
      <x:c r="P180" s="62" t="s">
        <x:v>818</x:v>
      </x:c>
      <x:c r="Q180" s="62" t="s">
        <x:v>818</x:v>
      </x:c>
      <x:c r="U180" s="189">
        <x:f t="shared" si="4"/>
        <x:v>1</x:v>
      </x:c>
    </x:row>
    <x:row r="181" spans="2:21">
      <x:c r="B181" s="46" t="s">
        <x:v>709</x:v>
      </x:c>
      <x:c r="C181" s="60" t="s">
        <x:v>1567</x:v>
      </x:c>
      <x:c r="D181" s="58"/>
      <x:c r="E181" s="62" t="s">
        <x:v>818</x:v>
      </x:c>
      <x:c r="F181" s="62" t="s">
        <x:v>818</x:v>
      </x:c>
      <x:c r="G181" s="62" t="s">
        <x:v>818</x:v>
      </x:c>
      <x:c r="H181" s="62" t="s">
        <x:v>818</x:v>
      </x:c>
      <x:c r="I181" s="62" t="s">
        <x:v>818</x:v>
      </x:c>
      <x:c r="J181" s="62" t="s">
        <x:v>818</x:v>
      </x:c>
      <x:c r="K181" s="62" t="s">
        <x:v>818</x:v>
      </x:c>
      <x:c r="L181" s="62" t="s">
        <x:v>818</x:v>
      </x:c>
      <x:c r="M181" s="62" t="s">
        <x:v>818</x:v>
      </x:c>
      <x:c r="N181" s="62" t="s">
        <x:v>818</x:v>
      </x:c>
      <x:c r="O181" s="62" t="s">
        <x:v>818</x:v>
      </x:c>
      <x:c r="P181" s="62" t="s">
        <x:v>818</x:v>
      </x:c>
      <x:c r="Q181" s="62" t="s">
        <x:v>818</x:v>
      </x:c>
      <x:c r="U181" s="189" t="str">
        <x:f t="shared" si="4"/>
        <x:v/>
      </x:c>
    </x:row>
    <x:row r="182" spans="2:21">
      <x:c r="B182" s="46" t="s">
        <x:v>710</x:v>
      </x:c>
      <x:c r="C182" s="60" t="s">
        <x:v>2432</x:v>
      </x:c>
      <x:c r="D182" s="58"/>
      <x:c r="E182" s="62" t="s">
        <x:v>818</x:v>
      </x:c>
      <x:c r="F182" s="62" t="s">
        <x:v>818</x:v>
      </x:c>
      <x:c r="G182" s="62" t="s">
        <x:v>818</x:v>
      </x:c>
      <x:c r="H182" s="62" t="s">
        <x:v>818</x:v>
      </x:c>
      <x:c r="I182" s="62" t="s">
        <x:v>818</x:v>
      </x:c>
      <x:c r="J182" s="62" t="s">
        <x:v>818</x:v>
      </x:c>
      <x:c r="K182" s="62" t="s">
        <x:v>818</x:v>
      </x:c>
      <x:c r="L182" s="62" t="s">
        <x:v>818</x:v>
      </x:c>
      <x:c r="M182" s="62" t="s">
        <x:v>818</x:v>
      </x:c>
      <x:c r="N182" s="62" t="s">
        <x:v>818</x:v>
      </x:c>
      <x:c r="O182" s="62" t="s">
        <x:v>818</x:v>
      </x:c>
      <x:c r="P182" s="62" t="s">
        <x:v>818</x:v>
      </x:c>
      <x:c r="Q182" s="62" t="s">
        <x:v>818</x:v>
      </x:c>
      <x:c r="U182" s="189" t="str">
        <x:f t="shared" si="4"/>
        <x:v/>
      </x:c>
    </x:row>
    <x:row r="183" spans="2:21">
      <x:c r="B183" s="46" t="s">
        <x:v>708</x:v>
      </x:c>
      <x:c r="C183" s="60" t="s">
        <x:v>583</x:v>
      </x:c>
      <x:c r="D183" s="58"/>
      <x:c r="E183" s="62" t="s">
        <x:v>818</x:v>
      </x:c>
      <x:c r="F183" s="62" t="s">
        <x:v>818</x:v>
      </x:c>
      <x:c r="G183" s="62" t="s">
        <x:v>818</x:v>
      </x:c>
      <x:c r="H183" s="62" t="s">
        <x:v>818</x:v>
      </x:c>
      <x:c r="I183" s="62" t="s">
        <x:v>818</x:v>
      </x:c>
      <x:c r="J183" s="62" t="s">
        <x:v>818</x:v>
      </x:c>
      <x:c r="K183" s="62" t="s">
        <x:v>818</x:v>
      </x:c>
      <x:c r="L183" s="62" t="s">
        <x:v>818</x:v>
      </x:c>
      <x:c r="M183" s="62" t="s">
        <x:v>818</x:v>
      </x:c>
      <x:c r="N183" s="62" t="s">
        <x:v>818</x:v>
      </x:c>
      <x:c r="O183" s="62" t="s">
        <x:v>818</x:v>
      </x:c>
      <x:c r="P183" s="62" t="s">
        <x:v>818</x:v>
      </x:c>
      <x:c r="Q183" s="62" t="s">
        <x:v>818</x:v>
      </x:c>
      <x:c r="U183" s="189" t="str">
        <x:f t="shared" si="4"/>
        <x:v/>
      </x:c>
    </x:row>
    <x:row r="184" spans="2:21">
      <x:c r="B184" s="46" t="s">
        <x:v>711</x:v>
      </x:c>
      <x:c r="C184" s="60" t="s">
        <x:v>1581</x:v>
      </x:c>
      <x:c r="D184" s="58"/>
      <x:c r="E184" s="62" t="s">
        <x:v>818</x:v>
      </x:c>
      <x:c r="F184" s="62" t="s">
        <x:v>818</x:v>
      </x:c>
      <x:c r="G184" s="62" t="s">
        <x:v>818</x:v>
      </x:c>
      <x:c r="H184" s="62" t="s">
        <x:v>818</x:v>
      </x:c>
      <x:c r="I184" s="62" t="s">
        <x:v>818</x:v>
      </x:c>
      <x:c r="J184" s="62" t="s">
        <x:v>818</x:v>
      </x:c>
      <x:c r="K184" s="62" t="s">
        <x:v>818</x:v>
      </x:c>
      <x:c r="L184" s="62" t="s">
        <x:v>818</x:v>
      </x:c>
      <x:c r="M184" s="62" t="s">
        <x:v>818</x:v>
      </x:c>
      <x:c r="N184" s="62" t="s">
        <x:v>818</x:v>
      </x:c>
      <x:c r="O184" s="62" t="s">
        <x:v>818</x:v>
      </x:c>
      <x:c r="P184" s="62" t="s">
        <x:v>818</x:v>
      </x:c>
      <x:c r="Q184" s="62" t="s">
        <x:v>818</x:v>
      </x:c>
      <x:c r="U184" s="189" t="str">
        <x:f t="shared" si="4"/>
        <x:v/>
      </x:c>
    </x:row>
    <x:row r="185" spans="2:21">
      <x:c r="B185" s="46" t="s">
        <x:v>2155</x:v>
      </x:c>
      <x:c r="C185" s="60" t="s">
        <x:v>2421</x:v>
      </x:c>
      <x:c r="D185" s="58"/>
      <x:c r="E185" s="62" t="s">
        <x:v>819</x:v>
      </x:c>
      <x:c r="F185" s="62" t="s">
        <x:v>819</x:v>
      </x:c>
      <x:c r="G185" s="62" t="s">
        <x:v>819</x:v>
      </x:c>
      <x:c r="H185" s="62" t="s">
        <x:v>819</x:v>
      </x:c>
      <x:c r="I185" s="62" t="s">
        <x:v>819</x:v>
      </x:c>
      <x:c r="J185" s="62" t="s">
        <x:v>819</x:v>
      </x:c>
      <x:c r="K185" s="62" t="s">
        <x:v>819</x:v>
      </x:c>
      <x:c r="L185" s="62" t="s">
        <x:v>819</x:v>
      </x:c>
      <x:c r="M185" s="62" t="s">
        <x:v>819</x:v>
      </x:c>
      <x:c r="N185" s="62" t="s">
        <x:v>819</x:v>
      </x:c>
      <x:c r="O185" s="62" t="s">
        <x:v>819</x:v>
      </x:c>
      <x:c r="P185" s="62" t="s">
        <x:v>819</x:v>
      </x:c>
      <x:c r="Q185" s="62" t="s">
        <x:v>819</x:v>
      </x:c>
      <x:c r="U185" s="189">
        <x:v>1</x:v>
      </x:c>
    </x:row>
    <x:row r="186" spans="2:21">
      <x:c r="B186" s="46" t="s">
        <x:v>1274</x:v>
      </x:c>
      <x:c r="C186" s="60" t="s">
        <x:v>605</x:v>
      </x:c>
      <x:c r="D186" s="58"/>
      <x:c r="E186" s="232">
        <x:v>42794</x:v>
      </x:c>
      <x:c r="F186" s="232">
        <x:v>43158</x:v>
      </x:c>
      <x:c r="G186" s="232">
        <x:v>43522</x:v>
      </x:c>
      <x:c r="H186" s="232">
        <x:v>43886</x:v>
      </x:c>
      <x:c r="I186" s="232">
        <x:v>44250</x:v>
      </x:c>
      <x:c r="J186" s="232">
        <x:v>44614</x:v>
      </x:c>
      <x:c r="K186" s="232">
        <x:v>44985</x:v>
      </x:c>
      <x:c r="L186" s="232">
        <x:v>45348</x:v>
      </x:c>
      <x:c r="M186" s="232">
        <x:v>45713</x:v>
      </x:c>
      <x:c r="N186" s="232">
        <x:v>45713</x:v>
      </x:c>
      <x:c r="O186" s="232">
        <x:v>45713</x:v>
      </x:c>
      <x:c r="P186" s="232">
        <x:v>46050</x:v>
      </x:c>
      <x:c r="Q186" s="232">
        <x:v>46050</x:v>
      </x:c>
      <x:c r="U186" s="189">
        <x:v>1</x:v>
      </x:c>
    </x:row>
    <x:row r="187" spans="2:21">
      <x:c r="B187" s="46" t="s">
        <x:v>1272</x:v>
      </x:c>
      <x:c r="C187" s="60" t="s">
        <x:v>2085</x:v>
      </x:c>
      <x:c r="D187" s="58"/>
      <x:c r="E187" s="232">
        <x:v>42004</x:v>
      </x:c>
      <x:c r="F187" s="232">
        <x:v>42369</x:v>
      </x:c>
      <x:c r="G187" s="232">
        <x:v>42735</x:v>
      </x:c>
      <x:c r="H187" s="232">
        <x:v>43100</x:v>
      </x:c>
      <x:c r="I187" s="232">
        <x:v>43465</x:v>
      </x:c>
      <x:c r="J187" s="232">
        <x:v>43830</x:v>
      </x:c>
      <x:c r="K187" s="232">
        <x:v>44196</x:v>
      </x:c>
      <x:c r="L187" s="232">
        <x:v>44561</x:v>
      </x:c>
      <x:c r="M187" s="232">
        <x:v>44926</x:v>
      </x:c>
      <x:c r="N187" s="232">
        <x:v>45291</x:v>
      </x:c>
      <x:c r="O187" s="232">
        <x:v>45657</x:v>
      </x:c>
      <x:c r="P187" s="232">
        <x:v>46022</x:v>
      </x:c>
      <x:c r="Q187" s="232">
        <x:v>46022</x:v>
      </x:c>
      <x:c r="U187" s="189">
        <x:v>1</x:v>
      </x:c>
    </x:row>
    <x:row r="188" spans="2:21">
      <x:c r="B188" s="46" t="s">
        <x:v>608</x:v>
      </x:c>
      <x:c r="C188" s="60" t="s">
        <x:v>2411</x:v>
      </x:c>
      <x:c r="D188" s="58"/>
      <x:c r="E188" s="62" t="s">
        <x:v>2156</x:v>
      </x:c>
      <x:c r="F188" s="62" t="s">
        <x:v>2156</x:v>
      </x:c>
      <x:c r="G188" s="62" t="s">
        <x:v>2156</x:v>
      </x:c>
      <x:c r="H188" s="62" t="s">
        <x:v>2156</x:v>
      </x:c>
      <x:c r="I188" s="62" t="s">
        <x:v>2156</x:v>
      </x:c>
      <x:c r="J188" s="62" t="s">
        <x:v>1884</x:v>
      </x:c>
      <x:c r="K188" s="62" t="s">
        <x:v>1884</x:v>
      </x:c>
      <x:c r="L188" s="62" t="s">
        <x:v>2156</x:v>
      </x:c>
      <x:c r="M188" s="62" t="s">
        <x:v>2156</x:v>
      </x:c>
      <x:c r="N188" s="62" t="s">
        <x:v>2156</x:v>
      </x:c>
      <x:c r="O188" s="62" t="s">
        <x:v>1271</x:v>
      </x:c>
      <x:c r="P188" s="62" t="s">
        <x:v>1126</x:v>
      </x:c>
      <x:c r="Q188" s="62" t="s">
        <x:v>1126</x:v>
      </x:c>
      <x:c r="U188" s="189">
        <x:v>1</x:v>
      </x:c>
    </x:row>
    <x:row r="189" spans="2:21">
      <x:c r="B189" s="46" t="s">
        <x:v>595</x:v>
      </x:c>
      <x:c r="C189" s="60" t="s">
        <x:v>2414</x:v>
      </x:c>
      <x:c r="D189" s="58"/>
      <x:c r="E189" s="62" t="s">
        <x:v>734</x:v>
      </x:c>
      <x:c r="F189" s="62" t="s">
        <x:v>734</x:v>
      </x:c>
      <x:c r="G189" s="62" t="s">
        <x:v>734</x:v>
      </x:c>
      <x:c r="H189" s="62" t="s">
        <x:v>734</x:v>
      </x:c>
      <x:c r="I189" s="62" t="s">
        <x:v>734</x:v>
      </x:c>
      <x:c r="J189" s="62" t="s">
        <x:v>734</x:v>
      </x:c>
      <x:c r="K189" s="62" t="s">
        <x:v>734</x:v>
      </x:c>
      <x:c r="L189" s="62" t="s">
        <x:v>734</x:v>
      </x:c>
      <x:c r="M189" s="62" t="s">
        <x:v>734</x:v>
      </x:c>
      <x:c r="N189" s="62" t="s">
        <x:v>734</x:v>
      </x:c>
      <x:c r="O189" s="62" t="s">
        <x:v>734</x:v>
      </x:c>
      <x:c r="P189" s="62" t="s">
        <x:v>734</x:v>
      </x:c>
      <x:c r="Q189" s="62" t="s">
        <x:v>734</x:v>
      </x:c>
      <x:c r="U189" s="189">
        <x:v>1</x:v>
      </x:c>
    </x:row>
    <x:row r="190" spans="2:21">
      <x:c r="B190" s="162" t="s">
        <x:v>1424</x:v>
      </x:c>
      <x:c r="C190" s="117" t="s">
        <x:v>1100</x:v>
      </x:c>
      <x:c r="D190" s="163"/>
      <x:c r="E190" s="242" t="s">
        <x:v>1096</x:v>
      </x:c>
      <x:c r="F190" s="242" t="s">
        <x:v>1096</x:v>
      </x:c>
      <x:c r="G190" s="242" t="s">
        <x:v>1096</x:v>
      </x:c>
      <x:c r="H190" s="242" t="s">
        <x:v>1096</x:v>
      </x:c>
      <x:c r="I190" s="242" t="s">
        <x:v>1096</x:v>
      </x:c>
      <x:c r="J190" s="242" t="s">
        <x:v>1096</x:v>
      </x:c>
      <x:c r="K190" s="242" t="s">
        <x:v>1096</x:v>
      </x:c>
      <x:c r="L190" s="242" t="s">
        <x:v>1096</x:v>
      </x:c>
      <x:c r="M190" s="242" t="s">
        <x:v>1096</x:v>
      </x:c>
      <x:c r="N190" s="242" t="s">
        <x:v>1096</x:v>
      </x:c>
      <x:c r="O190" s="242" t="s">
        <x:v>1096</x:v>
      </x:c>
      <x:c r="P190" s="242" t="s">
        <x:v>1096</x:v>
      </x:c>
      <x:c r="Q190" s="242" t="s">
        <x:v>1096</x:v>
      </x:c>
      <x:c r="U190" s="189">
        <x:v>1</x:v>
      </x:c>
    </x:row>
  </x:sheetData>
  <x:pageMargins left="0.25" right="0.25" top="0.25" bottom="0.25" header="0" footer="0"/>
  <x:pageSetup paperSize="9" scale="45" firstPageNumber="1" fitToWidth="1" fitToHeight="0" orientation="portrait" usePrinterDefaults="1" blackAndWhite="0" draft="0" useFirstPageNumber="0" horizontalDpi="600" verticalDpi="600" copies="1"/>
  <x:legacyDrawing r:id="rId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2:U205"/>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54.1640625" style="1" customWidth="1"/>
    <x:col min="3" max="3" width="33.83203125" style="3" hidden="1" customWidth="1" outlineLevel="1"/>
    <x:col min="4" max="4" width="9.33203125" style="3" hidden="1" customWidth="1" outlineLevel="1"/>
    <x:col min="5" max="5" width="13.5" style="1" customWidth="1" collapsed="1"/>
    <x:col min="6" max="17" width="13.5" style="1" customWidth="1"/>
    <x:col min="21" max="21" width="9.33203125" style="1" hidden="1" customWidth="1" outlineLevel="1"/>
    <x:col min="22" max="22" width="9.33203125" style="1" collapsed="1"/>
  </x:cols>
  <x:sheetData>
    <x:row r="2" spans="2:2">
      <x:c r="B2" s="1" t="s">
        <x:v>112</x:v>
      </x:c>
    </x:row>
    <x:row r="3" spans="1:17">
      <x:c r="A3" s="46"/>
      <x:c r="B3" s="46"/>
      <x:c r="C3" s="84"/>
      <x:c r="D3" s="84"/>
      <x:c r="E3" s="46"/>
      <x:c r="F3" s="46"/>
      <x:c r="G3" s="48"/>
      <x:c r="H3" s="46"/>
      <x:c r="I3" s="46"/>
      <x:c r="J3" s="46"/>
      <x:c r="K3" s="46"/>
      <x:c r="L3" s="46"/>
      <x:c r="M3" s="46"/>
      <x:c r="N3" s="46"/>
      <x:c r="O3" s="46"/>
      <x:c r="P3" s="46"/>
      <x:c r="Q3" s="46"/>
    </x:row>
    <x:row r="4" spans="1:17" ht="16.5">
      <x:c r="A4" s="46"/>
      <x:c r="B4" s="49" t="str">
        <x:f>E11</x:f>
        <x:v>International Business Machines Corporation</x:v>
      </x:c>
      <x:c r="C4" s="90"/>
      <x:c r="D4" s="90"/>
      <x:c r="E4" s="52"/>
      <x:c r="F4" s="52"/>
      <x:c r="G4" s="52"/>
      <x:c r="H4" s="52"/>
      <x:c r="I4" s="52"/>
      <x:c r="J4" s="52"/>
      <x:c r="K4" s="52"/>
      <x:c r="L4" s="52"/>
      <x:c r="M4" s="52"/>
      <x:c r="N4" s="50"/>
      <x:c r="O4" s="50"/>
      <x:c r="P4" s="104"/>
      <x:c r="Q4" s="104" t="s">
        <x:v>1558</x:v>
      </x:c>
    </x:row>
    <x:row r="5" spans="1:17" ht="17.25" customHeight="1">
      <x:c r="A5" s="46"/>
      <x:c r="B5" s="53" t="str">
        <x:f>"Data in "&amp;'Pension-OPEB'!$AC$18</x:f>
        <x:v>Data in ($M)</x:v>
      </x:c>
      <x:c r="C5" s="53"/>
      <x:c r="D5" s="84"/>
      <x:c r="E5" s="250" t="str">
        <x:f>Key_Stats!$T$11</x:f>
        <x:v>Fiscal Year Ended,</x:v>
      </x:c>
      <x:c r="F5" s="54"/>
      <x:c r="G5" s="54"/>
      <x:c r="H5" s="54"/>
      <x:c r="I5" s="54"/>
      <x:c r="J5" s="54"/>
      <x:c r="K5" s="54"/>
      <x:c r="L5" s="54"/>
      <x:c r="M5" s="54"/>
      <x:c r="N5" s="54"/>
      <x:c r="O5" s="54"/>
      <x:c r="P5" s="54"/>
      <x:c r="Q5" s="250" t="s">
        <x:v>811</x:v>
      </x:c>
    </x:row>
    <x:row r="6" spans="1:17" hidden="1" outlineLevel="1">
      <x:c r="A6" s="46"/>
      <x:c r="B6" s="55"/>
      <x:c r="C6" s="56" t="s">
        <x:v>1435</x:v>
      </x:c>
      <x:c r="D6" s="56"/>
      <x:c r="E6" s="58" t="str">
        <x:f>Key_Stats!$F$9</x:f>
        <x:v>NYSE:IBM</x:v>
      </x:c>
      <x:c r="F6" s="58" t="str">
        <x:f>Key_Stats!$F$9</x:f>
        <x:v>NYSE:IBM</x:v>
      </x:c>
      <x:c r="G6" s="58" t="str">
        <x:f>Key_Stats!$F$9</x:f>
        <x:v>NYSE:IBM</x:v>
      </x:c>
      <x:c r="H6" s="58" t="str">
        <x:f>Key_Stats!$F$9</x:f>
        <x:v>NYSE:IBM</x:v>
      </x:c>
      <x:c r="I6" s="58" t="str">
        <x:f>Key_Stats!$F$9</x:f>
        <x:v>NYSE:IBM</x:v>
      </x:c>
      <x:c r="J6" s="58" t="str">
        <x:f>Key_Stats!$F$9</x:f>
        <x:v>NYSE:IBM</x:v>
      </x:c>
      <x:c r="K6" s="58" t="str">
        <x:f>Key_Stats!$F$9</x:f>
        <x:v>NYSE:IBM</x:v>
      </x:c>
      <x:c r="L6" s="58" t="str">
        <x:f>Key_Stats!$F$9</x:f>
        <x:v>NYSE:IBM</x:v>
      </x:c>
      <x:c r="M6" s="58" t="str">
        <x:f>Key_Stats!$F$9</x:f>
        <x:v>NYSE:IBM</x:v>
      </x:c>
      <x:c r="N6" s="58" t="str">
        <x:f>Key_Stats!$F$9</x:f>
        <x:v>NYSE:IBM</x:v>
      </x:c>
      <x:c r="O6" s="58" t="str">
        <x:f>Key_Stats!$F$9</x:f>
        <x:v>NYSE:IBM</x:v>
      </x:c>
      <x:c r="P6" s="58" t="str">
        <x:f>Key_Stats!$F$9</x:f>
        <x:v>NYSE:IBM</x:v>
      </x:c>
      <x:c r="Q6" s="58" t="str">
        <x:f>Key_Stats!$F$9</x:f>
        <x:v>NYSE:IBM</x:v>
      </x:c>
    </x:row>
    <x:row r="7" spans="1:17" hidden="1" outlineLevel="1">
      <x:c r="A7" s="46"/>
      <x:c r="B7" s="55"/>
      <x:c r="C7" s="56"/>
      <x:c r="D7" s="56"/>
      <x:c r="E7" s="58" t="str">
        <x:f t="shared" ref="E7:N7" si="0">LEFT(F7,LEN(F7)-1)&amp;RIGHT(F7,1)+1</x:f>
        <x:v>FY-11</x:v>
      </x:c>
      <x:c r="F7" s="58" t="str">
        <x:f t="shared" si="0"/>
        <x:v>FY-10</x:v>
      </x:c>
      <x:c r="G7" s="58" t="str">
        <x:f t="shared" si="0"/>
        <x:v>FY-9</x:v>
      </x:c>
      <x:c r="H7" s="58" t="str">
        <x:f t="shared" si="0"/>
        <x:v>FY-8</x:v>
      </x:c>
      <x:c r="I7" s="58" t="str">
        <x:f t="shared" si="0"/>
        <x:v>FY-7</x:v>
      </x:c>
      <x:c r="J7" s="58" t="str">
        <x:f t="shared" si="0"/>
        <x:v>FY-6</x:v>
      </x:c>
      <x:c r="K7" s="58" t="str">
        <x:f t="shared" si="0"/>
        <x:v>FY-5</x:v>
      </x:c>
      <x:c r="L7" s="58" t="str">
        <x:f t="shared" si="0"/>
        <x:v>FY-4</x:v>
      </x:c>
      <x:c r="M7" s="58" t="str">
        <x:f t="shared" si="0"/>
        <x:v>FY-3</x:v>
      </x:c>
      <x:c r="N7" s="58" t="str">
        <x:f t="shared" si="0"/>
        <x:v>FY-2</x:v>
      </x:c>
      <x:c r="O7" s="58" t="str">
        <x:f>VLOOKUP(Key_Stats!$F$11,FormatTable,2,FALSE)</x:f>
        <x:v>FY-1</x:v>
      </x:c>
      <x:c r="P7" s="58" t="str">
        <x:f>Key_Stats!$F$11</x:f>
        <x:v>FY0</x:v>
      </x:c>
      <x:c r="Q7" s="58" t="s">
        <x:v>811</x:v>
      </x:c>
    </x:row>
    <x:row r="8" spans="1:17" hidden="1" outlineLevel="1">
      <x:c r="A8" s="46"/>
      <x:c r="B8" s="55"/>
      <x:c r="C8" s="56"/>
      <x:c r="D8" s="56"/>
      <x:c r="E8" s="181">
        <x:f>IF(Key_Stats!$F$15="","",Key_Stats!$F$15)</x:f>
        <x:v>46059</x:v>
      </x:c>
      <x:c r="F8" s="181">
        <x:f>IF(Key_Stats!$F$15="","",Key_Stats!$F$15)</x:f>
        <x:v>46059</x:v>
      </x:c>
      <x:c r="G8" s="181">
        <x:f>IF(Key_Stats!$F$15="","",Key_Stats!$F$15)</x:f>
        <x:v>46059</x:v>
      </x:c>
      <x:c r="H8" s="181">
        <x:f>IF(Key_Stats!$F$15="","",Key_Stats!$F$15)</x:f>
        <x:v>46059</x:v>
      </x:c>
      <x:c r="I8" s="181">
        <x:f>IF(Key_Stats!$F$15="","",Key_Stats!$F$15)</x:f>
        <x:v>46059</x:v>
      </x:c>
      <x:c r="J8" s="181">
        <x:f>IF(Key_Stats!$F$15="","",Key_Stats!$F$15)</x:f>
        <x:v>46059</x:v>
      </x:c>
      <x:c r="K8" s="181">
        <x:f>IF(Key_Stats!$F$15="","",Key_Stats!$F$15)</x:f>
        <x:v>46059</x:v>
      </x:c>
      <x:c r="L8" s="181">
        <x:f>IF(Key_Stats!$F$15="","",Key_Stats!$F$15)</x:f>
        <x:v>46059</x:v>
      </x:c>
      <x:c r="M8" s="181">
        <x:f>IF(Key_Stats!$F$15="","",Key_Stats!$F$15)</x:f>
        <x:v>46059</x:v>
      </x:c>
      <x:c r="N8" s="181">
        <x:f>IF(Key_Stats!$F$15="","",Key_Stats!$F$15)</x:f>
        <x:v>46059</x:v>
      </x:c>
      <x:c r="O8" s="181">
        <x:f>IF(Key_Stats!$F$15="","",Key_Stats!$F$15)</x:f>
        <x:v>46059</x:v>
      </x:c>
      <x:c r="P8" s="181">
        <x:f>IF(Key_Stats!$F$15="","",Key_Stats!$F$15)</x:f>
        <x:v>46059</x:v>
      </x:c>
      <x:c r="Q8" s="181">
        <x:f>IF(Key_Stats!$F$15="","",Key_Stats!$F$15)</x:f>
        <x:v>46059</x:v>
      </x:c>
    </x:row>
    <x:row r="9" spans="1:17" hidden="1" outlineLevel="1">
      <x:c r="A9" s="46"/>
      <x:c r="B9" s="55"/>
      <x:c r="C9" s="91"/>
      <x:c r="D9" s="91"/>
      <x:c r="E9" s="46"/>
      <x:c r="F9" s="46"/>
      <x:c r="G9" s="46"/>
      <x:c r="H9" s="46"/>
      <x:c r="I9" s="46"/>
      <x:c r="J9" s="46"/>
      <x:c r="K9" s="46"/>
      <x:c r="L9" s="46"/>
      <x:c r="M9" s="46"/>
      <x:c r="N9" s="54"/>
      <x:c r="O9" s="54"/>
      <x:c r="P9" s="54"/>
      <x:c r="Q9" s="54"/>
    </x:row>
    <x:row r="10" spans="1:17" hidden="1" outlineLevel="1">
      <x:c r="A10" s="46"/>
      <x:c r="B10" s="55"/>
      <x:c r="C10" s="91"/>
      <x:c r="D10" s="91"/>
      <x:c r="E10" s="46"/>
      <x:c r="F10" s="46"/>
      <x:c r="G10" s="46"/>
      <x:c r="H10" s="46"/>
      <x:c r="I10" s="46"/>
      <x:c r="J10" s="46"/>
      <x:c r="K10" s="46"/>
      <x:c r="L10" s="46"/>
      <x:c r="M10" s="46"/>
      <x:c r="N10" s="54"/>
      <x:c r="O10" s="54"/>
      <x:c r="P10" s="54"/>
      <x:c r="Q10" s="54"/>
    </x:row>
    <x:row r="11" spans="1:17" hidden="1" outlineLevel="1">
      <x:c r="A11" s="46"/>
      <x:c r="B11" s="55"/>
      <x:c r="C11" s="60" t="s">
        <x:v>2049</x:v>
      </x:c>
      <x:c r="D11" s="60"/>
      <x:c r="E11" s="46" t="s">
        <x:v>1006</x:v>
      </x:c>
      <x:c r="F11" s="46" t="s">
        <x:v>1006</x:v>
      </x:c>
      <x:c r="G11" s="46" t="s">
        <x:v>1006</x:v>
      </x:c>
      <x:c r="H11" s="46" t="s">
        <x:v>1006</x:v>
      </x:c>
      <x:c r="I11" s="46" t="s">
        <x:v>1006</x:v>
      </x:c>
      <x:c r="J11" s="46" t="s">
        <x:v>1006</x:v>
      </x:c>
      <x:c r="K11" s="46" t="s">
        <x:v>1006</x:v>
      </x:c>
      <x:c r="L11" s="46" t="s">
        <x:v>1006</x:v>
      </x:c>
      <x:c r="M11" s="46" t="s">
        <x:v>1006</x:v>
      </x:c>
      <x:c r="N11" s="54" t="s">
        <x:v>1006</x:v>
      </x:c>
      <x:c r="O11" s="54" t="s">
        <x:v>1006</x:v>
      </x:c>
      <x:c r="P11" s="54" t="s">
        <x:v>1006</x:v>
      </x:c>
      <x:c r="Q11" s="54" t="s">
        <x:v>1006</x:v>
      </x:c>
    </x:row>
    <x:row r="12" spans="1:17" hidden="1" outlineLevel="1">
      <x:c r="A12" s="46"/>
      <x:c r="B12" s="55"/>
      <x:c r="C12" s="60" t="s">
        <x:v>1533</x:v>
      </x:c>
      <x:c r="D12" s="60"/>
      <x:c r="E12" s="46" t="s">
        <x:v>1102</x:v>
      </x:c>
      <x:c r="F12" s="46" t="s">
        <x:v>1102</x:v>
      </x:c>
      <x:c r="G12" s="46" t="s">
        <x:v>1102</x:v>
      </x:c>
      <x:c r="H12" s="46" t="s">
        <x:v>1102</x:v>
      </x:c>
      <x:c r="I12" s="46" t="s">
        <x:v>1102</x:v>
      </x:c>
      <x:c r="J12" s="46" t="s">
        <x:v>1102</x:v>
      </x:c>
      <x:c r="K12" s="46" t="s">
        <x:v>1102</x:v>
      </x:c>
      <x:c r="L12" s="46" t="s">
        <x:v>1102</x:v>
      </x:c>
      <x:c r="M12" s="46" t="s">
        <x:v>1102</x:v>
      </x:c>
      <x:c r="N12" s="54" t="s">
        <x:v>1102</x:v>
      </x:c>
      <x:c r="O12" s="54" t="s">
        <x:v>1102</x:v>
      </x:c>
      <x:c r="P12" s="54" t="s">
        <x:v>1102</x:v>
      </x:c>
      <x:c r="Q12" s="54" t="s">
        <x:v>1102</x:v>
      </x:c>
    </x:row>
    <x:row r="13" spans="1:17" ht="18" customHeight="1" collapsed="1">
      <x:c r="A13" s="46"/>
      <x:c r="B13" s="28" t="s">
        <x:v>2079</x:v>
      </x:c>
      <x:c r="C13" s="60" t="s">
        <x:v>2085</x:v>
      </x:c>
      <x:c r="D13" s="60"/>
      <x:c r="E13" s="144">
        <x:v>42004</x:v>
      </x:c>
      <x:c r="F13" s="144">
        <x:v>42369</x:v>
      </x:c>
      <x:c r="G13" s="144">
        <x:v>42735</x:v>
      </x:c>
      <x:c r="H13" s="144">
        <x:v>43100</x:v>
      </x:c>
      <x:c r="I13" s="144">
        <x:v>43465</x:v>
      </x:c>
      <x:c r="J13" s="144">
        <x:v>43830</x:v>
      </x:c>
      <x:c r="K13" s="144">
        <x:v>44196</x:v>
      </x:c>
      <x:c r="L13" s="144">
        <x:v>44561</x:v>
      </x:c>
      <x:c r="M13" s="144">
        <x:v>44926</x:v>
      </x:c>
      <x:c r="N13" s="144">
        <x:v>45291</x:v>
      </x:c>
      <x:c r="O13" s="144">
        <x:v>45657</x:v>
      </x:c>
      <x:c r="P13" s="144">
        <x:v>46022</x:v>
      </x:c>
      <x:c r="Q13" s="144">
        <x:v>46022</x:v>
      </x:c>
    </x:row>
    <x:row r="14" spans="5:21">
      <x:c r="E14" s="15"/>
      <x:c r="F14" s="15"/>
      <x:c r="G14" s="15"/>
      <x:c r="H14" s="15"/>
      <x:c r="I14" s="15"/>
      <x:c r="J14" s="15"/>
      <x:c r="K14" s="15"/>
      <x:c r="L14" s="15"/>
      <x:c r="M14" s="15"/>
      <x:c r="N14" s="15"/>
      <x:c r="O14" s="15"/>
      <x:c r="P14" s="15"/>
      <x:c r="Q14" s="15"/>
      <x:c r="U14" s="1" t="s">
        <x:v>1544</x:v>
      </x:c>
    </x:row>
    <x:row r="15" spans="2:17">
      <x:c r="B15" s="61" t="s">
        <x:v>1920</x:v>
      </x:c>
      <x:c r="C15" s="60" t="s">
        <x:v>798</x:v>
      </x:c>
      <x:c r="D15" s="60"/>
      <x:c r="E15" s="15"/>
      <x:c r="F15" s="15"/>
      <x:c r="G15" s="15"/>
      <x:c r="H15" s="15"/>
      <x:c r="I15" s="15"/>
      <x:c r="J15" s="15"/>
      <x:c r="K15" s="15"/>
      <x:c r="L15" s="15"/>
      <x:c r="M15" s="15"/>
      <x:c r="N15" s="15"/>
      <x:c r="O15" s="15"/>
      <x:c r="P15" s="15"/>
      <x:c r="Q15" s="15"/>
    </x:row>
    <x:row r="16" spans="2:21">
      <x:c r="B16" s="46" t="s">
        <x:v>2430</x:v>
      </x:c>
      <x:c r="C16" s="60" t="s">
        <x:v>2134</x:v>
      </x:c>
      <x:c r="D16" s="60"/>
      <x:c r="E16" s="62">
        <x:v>8476</x:v>
      </x:c>
      <x:c r="F16" s="62">
        <x:v>7686</x:v>
      </x:c>
      <x:c r="G16" s="62">
        <x:v>7826</x:v>
      </x:c>
      <x:c r="H16" s="62">
        <x:v>11972</x:v>
      </x:c>
      <x:c r="I16" s="62">
        <x:v>11379</x:v>
      </x:c>
      <x:c r="J16" s="62">
        <x:v>8172</x:v>
      </x:c>
      <x:c r="K16" s="62">
        <x:v>13188</x:v>
      </x:c>
      <x:c r="L16" s="62">
        <x:v>6650</x:v>
      </x:c>
      <x:c r="M16" s="62">
        <x:v>7886</x:v>
      </x:c>
      <x:c r="N16" s="62">
        <x:v>13068</x:v>
      </x:c>
      <x:c r="O16" s="62">
        <x:v>13947</x:v>
      </x:c>
      <x:c r="P16" s="62">
        <x:v>13587</x:v>
      </x:c>
      <x:c r="Q16" s="62">
        <x:v>13587</x:v>
      </x:c>
      <x:c r="U16" s="189">
        <x:f>IF(COUNT(E16:Q16)&lt;&gt;0,1,"")</x:f>
        <x:v>1</x:v>
      </x:c>
    </x:row>
    <x:row r="17" spans="2:21">
      <x:c r="B17" s="46" t="s">
        <x:v>2404</x:v>
      </x:c>
      <x:c r="C17" s="60" t="s">
        <x:v>2146</x:v>
      </x:c>
      <x:c r="D17" s="60"/>
      <x:c r="E17" s="62" t="s">
        <x:v>818</x:v>
      </x:c>
      <x:c r="F17" s="62">
        <x:v>508</x:v>
      </x:c>
      <x:c r="G17" s="62">
        <x:v>701</x:v>
      </x:c>
      <x:c r="H17" s="62">
        <x:v>608</x:v>
      </x:c>
      <x:c r="I17" s="62">
        <x:v>618</x:v>
      </x:c>
      <x:c r="J17" s="62">
        <x:v>696</x:v>
      </x:c>
      <x:c r="K17" s="62">
        <x:v>600</x:v>
      </x:c>
      <x:c r="L17" s="62">
        <x:v>600</x:v>
      </x:c>
      <x:c r="M17" s="62">
        <x:v>852</x:v>
      </x:c>
      <x:c r="N17" s="62">
        <x:v>373</x:v>
      </x:c>
      <x:c r="O17" s="62">
        <x:v>644</x:v>
      </x:c>
      <x:c r="P17" s="62">
        <x:v>830</x:v>
      </x:c>
      <x:c r="Q17" s="62">
        <x:v>830</x:v>
      </x:c>
      <x:c r="U17" s="189">
        <x:f>IF(COUNT(E17:Q17)&lt;&gt;0,1,"")</x:f>
        <x:v>1</x:v>
      </x:c>
    </x:row>
    <x:row r="18" spans="2:21">
      <x:c r="B18" s="46" t="s">
        <x:v>1591</x:v>
      </x:c>
      <x:c r="C18" s="60" t="s">
        <x:v>1589</x:v>
      </x:c>
      <x:c r="D18" s="60"/>
      <x:c r="E18" s="62">
        <x:v>5</x:v>
      </x:c>
      <x:c r="F18" s="62" t="s">
        <x:v>818</x:v>
      </x:c>
      <x:c r="G18" s="62" t="s">
        <x:v>818</x:v>
      </x:c>
      <x:c r="H18" s="62">
        <x:v>2</x:v>
      </x:c>
      <x:c r="I18" s="62" t="s">
        <x:v>818</x:v>
      </x:c>
      <x:c r="J18" s="62" t="s">
        <x:v>818</x:v>
      </x:c>
      <x:c r="K18" s="62" t="s">
        <x:v>818</x:v>
      </x:c>
      <x:c r="L18" s="62" t="s">
        <x:v>818</x:v>
      </x:c>
      <x:c r="M18" s="62" t="s">
        <x:v>818</x:v>
      </x:c>
      <x:c r="N18" s="62" t="s">
        <x:v>818</x:v>
      </x:c>
      <x:c r="O18" s="62" t="s">
        <x:v>818</x:v>
      </x:c>
      <x:c r="P18" s="62" t="s">
        <x:v>818</x:v>
      </x:c>
      <x:c r="Q18" s="62" t="s">
        <x:v>818</x:v>
      </x:c>
      <x:c r="U18" s="189">
        <x:f>IF(COUNT(E18:Q18)&lt;&gt;0,1,"")</x:f>
        <x:v>1</x:v>
      </x:c>
    </x:row>
    <x:row r="19" spans="2:21">
      <x:c r="B19" s="63" t="s">
        <x:v>1587</x:v>
      </x:c>
      <x:c r="C19" s="60" t="s">
        <x:v>619</x:v>
      </x:c>
      <x:c r="D19" s="60"/>
      <x:c r="E19" s="147">
        <x:v>8481</x:v>
      </x:c>
      <x:c r="F19" s="147">
        <x:v>8194</x:v>
      </x:c>
      <x:c r="G19" s="147">
        <x:v>8527</x:v>
      </x:c>
      <x:c r="H19" s="147">
        <x:v>12582</x:v>
      </x:c>
      <x:c r="I19" s="147">
        <x:v>11997</x:v>
      </x:c>
      <x:c r="J19" s="147">
        <x:v>8868</x:v>
      </x:c>
      <x:c r="K19" s="147">
        <x:v>13788</x:v>
      </x:c>
      <x:c r="L19" s="147">
        <x:v>7250</x:v>
      </x:c>
      <x:c r="M19" s="147">
        <x:v>8738</x:v>
      </x:c>
      <x:c r="N19" s="147">
        <x:v>13441</x:v>
      </x:c>
      <x:c r="O19" s="147">
        <x:v>14591</x:v>
      </x:c>
      <x:c r="P19" s="147">
        <x:v>14417</x:v>
      </x:c>
      <x:c r="Q19" s="147">
        <x:v>14417</x:v>
      </x:c>
      <x:c r="U19" s="188">
        <x:v>1</x:v>
      </x:c>
    </x:row>
    <x:row r="20" spans="2:21">
      <x:c r="B20" s="65"/>
      <x:c r="C20" s="60" t="s">
        <x:v>798</x:v>
      </x:c>
      <x:c r="D20" s="60"/>
      <x:c r="E20" s="62"/>
      <x:c r="F20" s="62"/>
      <x:c r="G20" s="62"/>
      <x:c r="H20" s="62"/>
      <x:c r="I20" s="62"/>
      <x:c r="J20" s="62"/>
      <x:c r="K20" s="62"/>
      <x:c r="L20" s="62"/>
      <x:c r="M20" s="62"/>
      <x:c r="N20" s="62"/>
      <x:c r="O20" s="62"/>
      <x:c r="P20" s="62"/>
      <x:c r="Q20" s="62"/>
      <x:c r="U20" s="188">
        <x:v>1</x:v>
      </x:c>
    </x:row>
    <x:row r="21" spans="2:21">
      <x:c r="B21" s="46" t="s">
        <x:v>612</x:v>
      </x:c>
      <x:c r="C21" s="60" t="s">
        <x:v>1925</x:v>
      </x:c>
      <x:c r="D21" s="60"/>
      <x:c r="E21" s="62">
        <x:v>9090</x:v>
      </x:c>
      <x:c r="F21" s="62">
        <x:v>8333</x:v>
      </x:c>
      <x:c r="G21" s="62">
        <x:v>9182</x:v>
      </x:c>
      <x:c r="H21" s="62">
        <x:v>9399</x:v>
      </x:c>
      <x:c r="I21" s="62">
        <x:v>7902</x:v>
      </x:c>
      <x:c r="J21" s="62">
        <x:v>8362</x:v>
      </x:c>
      <x:c r="K21" s="62">
        <x:v>6215</x:v>
      </x:c>
      <x:c r="L21" s="62">
        <x:v>7225</x:v>
      </x:c>
      <x:c r="M21" s="62">
        <x:v>7005</x:v>
      </x:c>
      <x:c r="N21" s="62">
        <x:v>7719</x:v>
      </x:c>
      <x:c r="O21" s="62">
        <x:v>7237</x:v>
      </x:c>
      <x:c r="P21" s="62">
        <x:v>8112</x:v>
      </x:c>
      <x:c r="Q21" s="62">
        <x:v>8112</x:v>
      </x:c>
      <x:c r="U21" s="189">
        <x:f>IF(COUNT(E21:Q21)&lt;&gt;0,1,"")</x:f>
        <x:v>1</x:v>
      </x:c>
    </x:row>
    <x:row r="22" spans="2:21">
      <x:c r="B22" s="46" t="s">
        <x:v>613</x:v>
      </x:c>
      <x:c r="C22" s="60" t="s">
        <x:v>2127</x:v>
      </x:c>
      <x:c r="D22" s="60"/>
      <x:c r="E22" s="62">
        <x:v>2906</x:v>
      </x:c>
      <x:c r="F22" s="62">
        <x:v>1201</x:v>
      </x:c>
      <x:c r="G22" s="62">
        <x:v>1057</x:v>
      </x:c>
      <x:c r="H22" s="62">
        <x:v>981</x:v>
      </x:c>
      <x:c r="I22" s="62">
        <x:v>743</x:v>
      </x:c>
      <x:c r="J22" s="62">
        <x:v>1707</x:v>
      </x:c>
      <x:c r="K22" s="62">
        <x:v>695</x:v>
      </x:c>
      <x:c r="L22" s="62">
        <x:v>1000</x:v>
      </x:c>
      <x:c r="M22" s="62">
        <x:v>677</x:v>
      </x:c>
      <x:c r="N22" s="62">
        <x:v>629</x:v>
      </x:c>
      <x:c r="O22" s="62">
        <x:v>918</x:v>
      </x:c>
      <x:c r="P22" s="62">
        <x:v>1052</x:v>
      </x:c>
      <x:c r="Q22" s="62">
        <x:v>1052</x:v>
      </x:c>
      <x:c r="U22" s="189">
        <x:f>IF(COUNT(E22:Q22)&lt;&gt;0,1,"")</x:f>
        <x:v>1</x:v>
      </x:c>
    </x:row>
    <x:row r="23" spans="2:21">
      <x:c r="B23" s="46" t="s">
        <x:v>547</x:v>
      </x:c>
      <x:c r="C23" s="60" t="s">
        <x:v>543</x:v>
      </x:c>
      <x:c r="D23" s="60"/>
      <x:c r="E23" s="62" t="s">
        <x:v>818</x:v>
      </x:c>
      <x:c r="F23" s="62" t="s">
        <x:v>818</x:v>
      </x:c>
      <x:c r="G23" s="62" t="s">
        <x:v>818</x:v>
      </x:c>
      <x:c r="H23" s="62" t="s">
        <x:v>818</x:v>
      </x:c>
      <x:c r="I23" s="62" t="s">
        <x:v>818</x:v>
      </x:c>
      <x:c r="J23" s="62" t="s">
        <x:v>818</x:v>
      </x:c>
      <x:c r="K23" s="62" t="s">
        <x:v>818</x:v>
      </x:c>
      <x:c r="L23" s="62" t="s">
        <x:v>818</x:v>
      </x:c>
      <x:c r="M23" s="62" t="s">
        <x:v>818</x:v>
      </x:c>
      <x:c r="N23" s="62" t="s">
        <x:v>818</x:v>
      </x:c>
      <x:c r="O23" s="62" t="s">
        <x:v>818</x:v>
      </x:c>
      <x:c r="P23" s="62" t="s">
        <x:v>818</x:v>
      </x:c>
      <x:c r="Q23" s="62" t="s">
        <x:v>818</x:v>
      </x:c>
      <x:c r="U23" s="189" t="str">
        <x:f>IF(COUNT(E23:Q23)&lt;&gt;0,1,"")</x:f>
        <x:v/>
      </x:c>
    </x:row>
    <x:row r="24" spans="2:21">
      <x:c r="B24" s="63" t="s">
        <x:v>544</x:v>
      </x:c>
      <x:c r="C24" s="60" t="s">
        <x:v>2152</x:v>
      </x:c>
      <x:c r="D24" s="60"/>
      <x:c r="E24" s="147">
        <x:v>11996</x:v>
      </x:c>
      <x:c r="F24" s="147">
        <x:v>9534</x:v>
      </x:c>
      <x:c r="G24" s="147">
        <x:v>10239</x:v>
      </x:c>
      <x:c r="H24" s="147">
        <x:v>10380</x:v>
      </x:c>
      <x:c r="I24" s="147">
        <x:v>8645</x:v>
      </x:c>
      <x:c r="J24" s="147">
        <x:v>10069</x:v>
      </x:c>
      <x:c r="K24" s="147">
        <x:v>6910</x:v>
      </x:c>
      <x:c r="L24" s="147">
        <x:v>8225</x:v>
      </x:c>
      <x:c r="M24" s="147">
        <x:v>7682</x:v>
      </x:c>
      <x:c r="N24" s="147">
        <x:v>8348</x:v>
      </x:c>
      <x:c r="O24" s="147">
        <x:v>8155</x:v>
      </x:c>
      <x:c r="P24" s="147">
        <x:v>9164</x:v>
      </x:c>
      <x:c r="Q24" s="147">
        <x:v>9164</x:v>
      </x:c>
      <x:c r="U24" s="188">
        <x:v>1</x:v>
      </x:c>
    </x:row>
    <x:row r="25" spans="2:21">
      <x:c r="B25" s="65"/>
      <x:c r="C25" s="60" t="s">
        <x:v>798</x:v>
      </x:c>
      <x:c r="D25" s="60"/>
      <x:c r="E25" s="62"/>
      <x:c r="F25" s="62"/>
      <x:c r="G25" s="62"/>
      <x:c r="H25" s="62"/>
      <x:c r="I25" s="62"/>
      <x:c r="J25" s="62"/>
      <x:c r="K25" s="62"/>
      <x:c r="L25" s="62"/>
      <x:c r="M25" s="62"/>
      <x:c r="N25" s="62"/>
      <x:c r="O25" s="62"/>
      <x:c r="P25" s="62"/>
      <x:c r="Q25" s="62"/>
      <x:c r="U25" s="188">
        <x:v>1</x:v>
      </x:c>
    </x:row>
    <x:row r="26" spans="2:21">
      <x:c r="B26" s="46" t="s">
        <x:v>1278</x:v>
      </x:c>
      <x:c r="C26" s="60" t="s">
        <x:v>2128</x:v>
      </x:c>
      <x:c r="D26" s="60"/>
      <x:c r="E26" s="62">
        <x:v>2103</x:v>
      </x:c>
      <x:c r="F26" s="62">
        <x:v>1551</x:v>
      </x:c>
      <x:c r="G26" s="62">
        <x:v>1553</x:v>
      </x:c>
      <x:c r="H26" s="62">
        <x:v>1583</x:v>
      </x:c>
      <x:c r="I26" s="62">
        <x:v>1682</x:v>
      </x:c>
      <x:c r="J26" s="62">
        <x:v>1619</x:v>
      </x:c>
      <x:c r="K26" s="62">
        <x:v>1812</x:v>
      </x:c>
      <x:c r="L26" s="62">
        <x:v>1649</x:v>
      </x:c>
      <x:c r="M26" s="62">
        <x:v>1552</x:v>
      </x:c>
      <x:c r="N26" s="62">
        <x:v>1161</x:v>
      </x:c>
      <x:c r="O26" s="62">
        <x:v>1289</x:v>
      </x:c>
      <x:c r="P26" s="62">
        <x:v>1220</x:v>
      </x:c>
      <x:c r="Q26" s="62">
        <x:v>1220</x:v>
      </x:c>
      <x:c r="U26" s="189">
        <x:f t="shared" ref="U26:U33" si="1">IF(COUNT(E26:Q26)&lt;&gt;0,1,"")</x:f>
        <x:v>1</x:v>
      </x:c>
    </x:row>
    <x:row r="27" spans="2:21">
      <x:c r="B27" s="46" t="s">
        <x:v>2129</x:v>
      </x:c>
      <x:c r="C27" s="60" t="s">
        <x:v>2143</x:v>
      </x:c>
      <x:c r="D27" s="60"/>
      <x:c r="E27" s="62">
        <x:v>4216</x:v>
      </x:c>
      <x:c r="F27" s="62">
        <x:v>3912</x:v>
      </x:c>
      <x:c r="G27" s="62">
        <x:v>4032</x:v>
      </x:c>
      <x:c r="H27" s="62">
        <x:v>1203</x:v>
      </x:c>
      <x:c r="I27" s="62">
        <x:v>1523</x:v>
      </x:c>
      <x:c r="J27" s="62">
        <x:v>1460</x:v>
      </x:c>
      <x:c r="K27" s="62">
        <x:v>1579</x:v>
      </x:c>
      <x:c r="L27" s="62">
        <x:v>1830</x:v>
      </x:c>
      <x:c r="M27" s="62">
        <x:v>1876</x:v>
      </x:c>
      <x:c r="N27" s="62">
        <x:v>1830</x:v>
      </x:c>
      <x:c r="O27" s="62">
        <x:v>1512</x:v>
      </x:c>
      <x:c r="P27" s="62">
        <x:v>2530</x:v>
      </x:c>
      <x:c r="Q27" s="62">
        <x:v>2530</x:v>
      </x:c>
      <x:c r="U27" s="189">
        <x:f t="shared" si="1"/>
        <x:v>1</x:v>
      </x:c>
    </x:row>
    <x:row r="28" spans="2:21">
      <x:c r="B28" s="46" t="s">
        <x:v>712</x:v>
      </x:c>
      <x:c r="C28" s="60" t="s">
        <x:v>1588</x:v>
      </x:c>
      <x:c r="D28" s="60"/>
      <x:c r="E28" s="62">
        <x:v>19835</x:v>
      </x:c>
      <x:c r="F28" s="62">
        <x:v>19020</x:v>
      </x:c>
      <x:c r="G28" s="62">
        <x:v>19006</x:v>
      </x:c>
      <x:c r="H28" s="62">
        <x:v>21721</x:v>
      </x:c>
      <x:c r="I28" s="62">
        <x:v>22388</x:v>
      </x:c>
      <x:c r="J28" s="62">
        <x:v>14192</x:v>
      </x:c>
      <x:c r="K28" s="62">
        <x:v>10509</x:v>
      </x:c>
      <x:c r="L28" s="62">
        <x:v>7221</x:v>
      </x:c>
      <x:c r="M28" s="62">
        <x:v>6851</x:v>
      </x:c>
      <x:c r="N28" s="62">
        <x:v>6102</x:v>
      </x:c>
      <x:c r="O28" s="62">
        <x:v>6259</x:v>
      </x:c>
      <x:c r="P28" s="62">
        <x:v>7344</x:v>
      </x:c>
      <x:c r="Q28" s="62">
        <x:v>7344</x:v>
      </x:c>
      <x:c r="U28" s="189">
        <x:f t="shared" si="1"/>
        <x:v>1</x:v>
      </x:c>
    </x:row>
    <x:row r="29" spans="2:21">
      <x:c r="B29" s="46" t="s">
        <x:v>1194</x:v>
      </x:c>
      <x:c r="C29" s="60" t="s">
        <x:v>1568</x:v>
      </x:c>
      <x:c r="D29" s="60"/>
      <x:c r="E29" s="62" t="s">
        <x:v>818</x:v>
      </x:c>
      <x:c r="F29" s="62" t="s">
        <x:v>818</x:v>
      </x:c>
      <x:c r="G29" s="62" t="s">
        <x:v>818</x:v>
      </x:c>
      <x:c r="H29" s="62" t="s">
        <x:v>818</x:v>
      </x:c>
      <x:c r="I29" s="62" t="s">
        <x:v>818</x:v>
      </x:c>
      <x:c r="J29" s="62" t="s">
        <x:v>818</x:v>
      </x:c>
      <x:c r="K29" s="62">
        <x:v>383</x:v>
      </x:c>
      <x:c r="L29" s="62">
        <x:v>793</x:v>
      </x:c>
      <x:c r="M29" s="62">
        <x:v>939</x:v>
      </x:c>
      <x:c r="N29" s="62">
        <x:v>692</x:v>
      </x:c>
      <x:c r="O29" s="62">
        <x:v>900</x:v>
      </x:c>
      <x:c r="P29" s="62">
        <x:v>1131</x:v>
      </x:c>
      <x:c r="Q29" s="62">
        <x:v>1131</x:v>
      </x:c>
      <x:c r="U29" s="189">
        <x:f t="shared" si="1"/>
        <x:v>1</x:v>
      </x:c>
    </x:row>
    <x:row r="30" spans="2:21">
      <x:c r="B30" s="46" t="s">
        <x:v>548</x:v>
      </x:c>
      <x:c r="C30" s="60" t="s">
        <x:v>2153</x:v>
      </x:c>
      <x:c r="D30" s="60"/>
      <x:c r="E30" s="62" t="s">
        <x:v>818</x:v>
      </x:c>
      <x:c r="F30" s="62" t="s">
        <x:v>818</x:v>
      </x:c>
      <x:c r="G30" s="62" t="s">
        <x:v>818</x:v>
      </x:c>
      <x:c r="H30" s="62" t="s">
        <x:v>818</x:v>
      </x:c>
      <x:c r="I30" s="62" t="s">
        <x:v>818</x:v>
      </x:c>
      <x:c r="J30" s="62" t="s">
        <x:v>818</x:v>
      </x:c>
      <x:c r="K30" s="62" t="s">
        <x:v>818</x:v>
      </x:c>
      <x:c r="L30" s="62" t="s">
        <x:v>818</x:v>
      </x:c>
      <x:c r="M30" s="62" t="s">
        <x:v>818</x:v>
      </x:c>
      <x:c r="N30" s="62" t="s">
        <x:v>818</x:v>
      </x:c>
      <x:c r="O30" s="62" t="s">
        <x:v>818</x:v>
      </x:c>
      <x:c r="P30" s="62" t="s">
        <x:v>818</x:v>
      </x:c>
      <x:c r="Q30" s="62" t="s">
        <x:v>818</x:v>
      </x:c>
      <x:c r="U30" s="189" t="str">
        <x:f t="shared" si="1"/>
        <x:v/>
      </x:c>
    </x:row>
    <x:row r="31" spans="2:21">
      <x:c r="B31" s="46" t="s">
        <x:v>1584</x:v>
      </x:c>
      <x:c r="C31" s="60" t="s">
        <x:v>1569</x:v>
      </x:c>
      <x:c r="D31" s="60"/>
      <x:c r="E31" s="62" t="s">
        <x:v>818</x:v>
      </x:c>
      <x:c r="F31" s="62" t="s">
        <x:v>818</x:v>
      </x:c>
      <x:c r="G31" s="62" t="s">
        <x:v>818</x:v>
      </x:c>
      <x:c r="H31" s="62" t="s">
        <x:v>818</x:v>
      </x:c>
      <x:c r="I31" s="62" t="s">
        <x:v>818</x:v>
      </x:c>
      <x:c r="J31" s="62" t="s">
        <x:v>818</x:v>
      </x:c>
      <x:c r="K31" s="62" t="s">
        <x:v>818</x:v>
      </x:c>
      <x:c r="L31" s="62" t="s">
        <x:v>818</x:v>
      </x:c>
      <x:c r="M31" s="62" t="s">
        <x:v>818</x:v>
      </x:c>
      <x:c r="N31" s="62" t="s">
        <x:v>818</x:v>
      </x:c>
      <x:c r="O31" s="62" t="s">
        <x:v>818</x:v>
      </x:c>
      <x:c r="P31" s="62" t="s">
        <x:v>818</x:v>
      </x:c>
      <x:c r="Q31" s="62" t="s">
        <x:v>818</x:v>
      </x:c>
      <x:c r="U31" s="189" t="str">
        <x:f t="shared" si="1"/>
        <x:v/>
      </x:c>
    </x:row>
    <x:row r="32" spans="2:21">
      <x:c r="B32" s="46" t="s">
        <x:v>2135</x:v>
      </x:c>
      <x:c r="C32" s="60" t="s">
        <x:v>525</x:v>
      </x:c>
      <x:c r="D32" s="60"/>
      <x:c r="E32" s="62" t="s">
        <x:v>818</x:v>
      </x:c>
      <x:c r="F32" s="62" t="s">
        <x:v>818</x:v>
      </x:c>
      <x:c r="G32" s="62" t="s">
        <x:v>818</x:v>
      </x:c>
      <x:c r="H32" s="62">
        <x:v>262</x:v>
      </x:c>
      <x:c r="I32" s="62">
        <x:v>225</x:v>
      </x:c>
      <x:c r="J32" s="62">
        <x:v>141</x:v>
      </x:c>
      <x:c r="K32" s="62">
        <x:v>463</x:v>
      </x:c>
      <x:c r="L32" s="62">
        <x:v>307</x:v>
      </x:c>
      <x:c r="M32" s="62">
        <x:v>103</x:v>
      </x:c>
      <x:c r="N32" s="62">
        <x:v>21</x:v>
      </x:c>
      <x:c r="O32" s="62">
        <x:v>214</x:v>
      </x:c>
      <x:c r="P32" s="62">
        <x:v>54</x:v>
      </x:c>
      <x:c r="Q32" s="62">
        <x:v>54</x:v>
      </x:c>
      <x:c r="U32" s="189">
        <x:f t="shared" si="1"/>
        <x:v>1</x:v>
      </x:c>
    </x:row>
    <x:row r="33" spans="2:21">
      <x:c r="B33" s="46" t="s">
        <x:v>2454</x:v>
      </x:c>
      <x:c r="C33" s="60" t="s">
        <x:v>534</x:v>
      </x:c>
      <x:c r="D33" s="60"/>
      <x:c r="E33" s="148">
        <x:v>746</x:v>
      </x:c>
      <x:c r="F33" s="148">
        <x:v>293</x:v>
      </x:c>
      <x:c r="G33" s="148">
        <x:v>532</x:v>
      </x:c>
      <x:c r="H33" s="148">
        <x:v>2004</x:v>
      </x:c>
      <x:c r="I33" s="148">
        <x:v>2686</x:v>
      </x:c>
      <x:c r="J33" s="148">
        <x:v>2071</x:v>
      </x:c>
      <x:c r="K33" s="148">
        <x:v>3721</x:v>
      </x:c>
      <x:c r="L33" s="148">
        <x:v>2264</x:v>
      </x:c>
      <x:c r="M33" s="148">
        <x:v>1377</x:v>
      </x:c>
      <x:c r="N33" s="148">
        <x:v>1313</x:v>
      </x:c>
      <x:c r="O33" s="148">
        <x:v>1562</x:v>
      </x:c>
      <x:c r="P33" s="148">
        <x:v>1084</x:v>
      </x:c>
      <x:c r="Q33" s="148">
        <x:v>1084</x:v>
      </x:c>
      <x:c r="U33" s="189">
        <x:f t="shared" si="1"/>
        <x:v>1</x:v>
      </x:c>
    </x:row>
    <x:row r="34" spans="2:21">
      <x:c r="B34" s="63" t="s">
        <x:v>2455</x:v>
      </x:c>
      <x:c r="C34" s="60" t="s">
        <x:v>1277</x:v>
      </x:c>
      <x:c r="D34" s="60"/>
      <x:c r="E34" s="147">
        <x:v>47377</x:v>
      </x:c>
      <x:c r="F34" s="147">
        <x:v>42504</x:v>
      </x:c>
      <x:c r="G34" s="147">
        <x:v>43889</x:v>
      </x:c>
      <x:c r="H34" s="147">
        <x:v>49735</x:v>
      </x:c>
      <x:c r="I34" s="147">
        <x:v>49146</x:v>
      </x:c>
      <x:c r="J34" s="147">
        <x:v>38420</x:v>
      </x:c>
      <x:c r="K34" s="147">
        <x:v>39165</x:v>
      </x:c>
      <x:c r="L34" s="147">
        <x:v>29539</x:v>
      </x:c>
      <x:c r="M34" s="147">
        <x:v>29118</x:v>
      </x:c>
      <x:c r="N34" s="147">
        <x:v>32908</x:v>
      </x:c>
      <x:c r="O34" s="147">
        <x:v>34482</x:v>
      </x:c>
      <x:c r="P34" s="147">
        <x:v>36944</x:v>
      </x:c>
      <x:c r="Q34" s="147">
        <x:v>36944</x:v>
      </x:c>
      <x:c r="U34" s="188">
        <x:v>1</x:v>
      </x:c>
    </x:row>
    <x:row r="35" spans="2:21">
      <x:c r="B35" s="65"/>
      <x:c r="C35" s="60" t="s">
        <x:v>798</x:v>
      </x:c>
      <x:c r="D35" s="60"/>
      <x:c r="E35" s="62"/>
      <x:c r="F35" s="62"/>
      <x:c r="G35" s="62"/>
      <x:c r="H35" s="62"/>
      <x:c r="I35" s="62"/>
      <x:c r="J35" s="62"/>
      <x:c r="K35" s="62"/>
      <x:c r="L35" s="62"/>
      <x:c r="M35" s="62"/>
      <x:c r="N35" s="62"/>
      <x:c r="O35" s="62"/>
      <x:c r="P35" s="62"/>
      <x:c r="Q35" s="62"/>
      <x:c r="U35" s="188">
        <x:v>1</x:v>
      </x:c>
    </x:row>
    <x:row r="36" spans="2:21">
      <x:c r="B36" s="46" t="s">
        <x:v>719</x:v>
      </x:c>
      <x:c r="C36" s="60" t="s">
        <x:v>1906</x:v>
      </x:c>
      <x:c r="D36" s="60"/>
      <x:c r="E36" s="62">
        <x:v>39034</x:v>
      </x:c>
      <x:c r="F36" s="62">
        <x:v>29343</x:v>
      </x:c>
      <x:c r="G36" s="62">
        <x:v>30133</x:v>
      </x:c>
      <x:c r="H36" s="62">
        <x:v>32331</x:v>
      </x:c>
      <x:c r="I36" s="62">
        <x:v>32460</x:v>
      </x:c>
      <x:c r="J36" s="62">
        <x:v>37024</x:v>
      </x:c>
      <x:c r="K36" s="62">
        <x:v>23667</x:v>
      </x:c>
      <x:c r="L36" s="62">
        <x:v>23306</x:v>
      </x:c>
      <x:c r="M36" s="62">
        <x:v>21573</x:v>
      </x:c>
      <x:c r="N36" s="62">
        <x:v>21342</x:v>
      </x:c>
      <x:c r="O36" s="62">
        <x:v>20888</x:v>
      </x:c>
      <x:c r="P36" s="62" t="s">
        <x:v>818</x:v>
      </x:c>
      <x:c r="Q36" s="62" t="s">
        <x:v>818</x:v>
      </x:c>
      <x:c r="U36" s="189">
        <x:f>IF(COUNT(E36:Q36)&lt;&gt;0,1,"")</x:f>
        <x:v>1</x:v>
      </x:c>
    </x:row>
    <x:row r="37" spans="2:21">
      <x:c r="B37" s="46" t="s">
        <x:v>1570</x:v>
      </x:c>
      <x:c r="C37" s="60" t="s">
        <x:v>2458</x:v>
      </x:c>
      <x:c r="D37" s="60"/>
      <x:c r="E37" s="148">
        <x:v>-28263</x:v>
      </x:c>
      <x:c r="F37" s="148">
        <x:v>-18616</x:v>
      </x:c>
      <x:c r="G37" s="148">
        <x:v>-19303</x:v>
      </x:c>
      <x:c r="H37" s="148">
        <x:v>-21215</x:v>
      </x:c>
      <x:c r="I37" s="148">
        <x:v>-21668</x:v>
      </x:c>
      <x:c r="J37" s="148">
        <x:v>-22018</x:v>
      </x:c>
      <x:c r="K37" s="148">
        <x:v>-13896</x:v>
      </x:c>
      <x:c r="L37" s="148">
        <x:v>-14390</x:v>
      </x:c>
      <x:c r="M37" s="148">
        <x:v>-13361</x:v>
      </x:c>
      <x:c r="N37" s="148">
        <x:v>-12621</x:v>
      </x:c>
      <x:c r="O37" s="148">
        <x:v>-11959</x:v>
      </x:c>
      <x:c r="P37" s="148" t="s">
        <x:v>818</x:v>
      </x:c>
      <x:c r="Q37" s="148" t="s">
        <x:v>818</x:v>
      </x:c>
      <x:c r="U37" s="189">
        <x:f>IF(COUNT(E37:Q37)&lt;&gt;0,1,"")</x:f>
        <x:v>1</x:v>
      </x:c>
    </x:row>
    <x:row r="38" spans="2:21">
      <x:c r="B38" s="63" t="s">
        <x:v>1193</x:v>
      </x:c>
      <x:c r="C38" s="60" t="s">
        <x:v>1922</x:v>
      </x:c>
      <x:c r="D38" s="60"/>
      <x:c r="E38" s="147">
        <x:v>10771</x:v>
      </x:c>
      <x:c r="F38" s="147">
        <x:v>10727</x:v>
      </x:c>
      <x:c r="G38" s="147">
        <x:v>10830</x:v>
      </x:c>
      <x:c r="H38" s="147">
        <x:v>11116</x:v>
      </x:c>
      <x:c r="I38" s="147">
        <x:v>10792</x:v>
      </x:c>
      <x:c r="J38" s="147">
        <x:v>15006</x:v>
      </x:c>
      <x:c r="K38" s="147">
        <x:v>9771</x:v>
      </x:c>
      <x:c r="L38" s="147">
        <x:v>8916</x:v>
      </x:c>
      <x:c r="M38" s="147">
        <x:v>8212</x:v>
      </x:c>
      <x:c r="N38" s="147">
        <x:v>8721</x:v>
      </x:c>
      <x:c r="O38" s="147">
        <x:v>8929</x:v>
      </x:c>
      <x:c r="P38" s="147">
        <x:v>9028</x:v>
      </x:c>
      <x:c r="Q38" s="147">
        <x:v>9028</x:v>
      </x:c>
      <x:c r="U38" s="188">
        <x:v>1</x:v>
      </x:c>
    </x:row>
    <x:row r="39" spans="2:21">
      <x:c r="B39" s="65"/>
      <x:c r="C39" s="60" t="s">
        <x:v>798</x:v>
      </x:c>
      <x:c r="D39" s="60"/>
      <x:c r="E39" s="62"/>
      <x:c r="F39" s="62"/>
      <x:c r="G39" s="62"/>
      <x:c r="H39" s="62"/>
      <x:c r="I39" s="62"/>
      <x:c r="J39" s="62"/>
      <x:c r="K39" s="62"/>
      <x:c r="L39" s="62"/>
      <x:c r="M39" s="62"/>
      <x:c r="N39" s="62"/>
      <x:c r="O39" s="62"/>
      <x:c r="P39" s="62"/>
      <x:c r="Q39" s="62"/>
      <x:c r="U39" s="188">
        <x:v>1</x:v>
      </x:c>
    </x:row>
    <x:row r="40" spans="2:21">
      <x:c r="B40" s="46" t="s">
        <x:v>2449</x:v>
      </x:c>
      <x:c r="C40" s="60" t="s">
        <x:v>2154</x:v>
      </x:c>
      <x:c r="D40" s="60"/>
      <x:c r="E40" s="62">
        <x:v>1222</x:v>
      </x:c>
      <x:c r="F40" s="62">
        <x:v>1131</x:v>
      </x:c>
      <x:c r="G40" s="62">
        <x:v>659</x:v>
      </x:c>
      <x:c r="H40" s="62">
        <x:v>581</x:v>
      </x:c>
      <x:c r="I40" s="62">
        <x:v>226</x:v>
      </x:c>
      <x:c r="J40" s="62">
        <x:v>222</x:v>
      </x:c>
      <x:c r="K40" s="62">
        <x:v>216</x:v>
      </x:c>
      <x:c r="L40" s="62">
        <x:v>1783</x:v>
      </x:c>
      <x:c r="M40" s="62">
        <x:v>1610</x:v>
      </x:c>
      <x:c r="N40" s="62">
        <x:v>1589</x:v>
      </x:c>
      <x:c r="O40" s="62">
        <x:v>1691</x:v>
      </x:c>
      <x:c r="P40" s="62">
        <x:v>2112</x:v>
      </x:c>
      <x:c r="Q40" s="62">
        <x:v>2112</x:v>
      </x:c>
      <x:c r="U40" s="189">
        <x:f t="shared" ref="U40:U49" si="2">IF(COUNT(E40:Q40)&lt;&gt;0,1,"")</x:f>
        <x:v>1</x:v>
      </x:c>
    </x:row>
    <x:row r="41" spans="2:21">
      <x:c r="B41" s="46" t="s">
        <x:v>1275</x:v>
      </x:c>
      <x:c r="C41" s="60" t="s">
        <x:v>1276</x:v>
      </x:c>
      <x:c r="D41" s="60"/>
      <x:c r="E41" s="62">
        <x:v>30556</x:v>
      </x:c>
      <x:c r="F41" s="62">
        <x:v>32021</x:v>
      </x:c>
      <x:c r="G41" s="62">
        <x:v>36199</x:v>
      </x:c>
      <x:c r="H41" s="62">
        <x:v>36788</x:v>
      </x:c>
      <x:c r="I41" s="62">
        <x:v>36265</x:v>
      </x:c>
      <x:c r="J41" s="62">
        <x:v>58222</x:v>
      </x:c>
      <x:c r="K41" s="62">
        <x:v>53765</x:v>
      </x:c>
      <x:c r="L41" s="62">
        <x:v>55643</x:v>
      </x:c>
      <x:c r="M41" s="62">
        <x:v>55949</x:v>
      </x:c>
      <x:c r="N41" s="62">
        <x:v>60178</x:v>
      </x:c>
      <x:c r="O41" s="62">
        <x:v>60706</x:v>
      </x:c>
      <x:c r="P41" s="62">
        <x:v>67717</x:v>
      </x:c>
      <x:c r="Q41" s="62">
        <x:v>67717</x:v>
      </x:c>
      <x:c r="U41" s="189">
        <x:f t="shared" si="2"/>
        <x:v>1</x:v>
      </x:c>
    </x:row>
    <x:row r="42" spans="2:21">
      <x:c r="B42" s="46" t="s">
        <x:v>538</x:v>
      </x:c>
      <x:c r="C42" s="60" t="s">
        <x:v>2136</x:v>
      </x:c>
      <x:c r="D42" s="60"/>
      <x:c r="E42" s="62">
        <x:v>3104</x:v>
      </x:c>
      <x:c r="F42" s="62">
        <x:v>3487</x:v>
      </x:c>
      <x:c r="G42" s="62">
        <x:v>4688</x:v>
      </x:c>
      <x:c r="H42" s="62">
        <x:v>3742</x:v>
      </x:c>
      <x:c r="I42" s="62">
        <x:v>3087</x:v>
      </x:c>
      <x:c r="J42" s="62">
        <x:v>15235</x:v>
      </x:c>
      <x:c r="K42" s="62">
        <x:v>13739</x:v>
      </x:c>
      <x:c r="L42" s="62">
        <x:v>12511</x:v>
      </x:c>
      <x:c r="M42" s="62">
        <x:v>11184</x:v>
      </x:c>
      <x:c r="N42" s="62">
        <x:v>11036</x:v>
      </x:c>
      <x:c r="O42" s="62">
        <x:v>10660</x:v>
      </x:c>
      <x:c r="P42" s="62">
        <x:v>11391</x:v>
      </x:c>
      <x:c r="Q42" s="62">
        <x:v>11391</x:v>
      </x:c>
      <x:c r="U42" s="189">
        <x:f t="shared" si="2"/>
        <x:v>1</x:v>
      </x:c>
    </x:row>
    <x:row r="43" spans="2:21">
      <x:c r="B43" s="46" t="s">
        <x:v>717</x:v>
      </x:c>
      <x:c r="C43" s="60" t="s">
        <x:v>539</x:v>
      </x:c>
      <x:c r="D43" s="60"/>
      <x:c r="E43" s="62">
        <x:v>11109</x:v>
      </x:c>
      <x:c r="F43" s="62">
        <x:v>10013</x:v>
      </x:c>
      <x:c r="G43" s="62">
        <x:v>9021</x:v>
      </x:c>
      <x:c r="H43" s="62">
        <x:v>9550</x:v>
      </x:c>
      <x:c r="I43" s="62">
        <x:v>9148</x:v>
      </x:c>
      <x:c r="J43" s="62">
        <x:v>8712</x:v>
      </x:c>
      <x:c r="K43" s="62">
        <x:v>7086</x:v>
      </x:c>
      <x:c r="L43" s="62">
        <x:v>5425</x:v>
      </x:c>
      <x:c r="M43" s="62">
        <x:v>5806</x:v>
      </x:c>
      <x:c r="N43" s="62">
        <x:v>5766</x:v>
      </x:c>
      <x:c r="O43" s="62">
        <x:v>5353</x:v>
      </x:c>
      <x:c r="P43" s="62">
        <x:v>7708</x:v>
      </x:c>
      <x:c r="Q43" s="62">
        <x:v>7708</x:v>
      </x:c>
      <x:c r="U43" s="189">
        <x:f t="shared" si="2"/>
        <x:v>1</x:v>
      </x:c>
    </x:row>
    <x:row r="44" spans="2:21">
      <x:c r="B44" s="46" t="s">
        <x:v>1195</x:v>
      </x:c>
      <x:c r="C44" s="60" t="s">
        <x:v>2461</x:v>
      </x:c>
      <x:c r="D44" s="60"/>
      <x:c r="E44" s="62" t="s">
        <x:v>818</x:v>
      </x:c>
      <x:c r="F44" s="62" t="s">
        <x:v>818</x:v>
      </x:c>
      <x:c r="G44" s="62" t="s">
        <x:v>818</x:v>
      </x:c>
      <x:c r="H44" s="62" t="s">
        <x:v>818</x:v>
      </x:c>
      <x:c r="I44" s="62" t="s">
        <x:v>818</x:v>
      </x:c>
      <x:c r="J44" s="62" t="s">
        <x:v>818</x:v>
      </x:c>
      <x:c r="K44" s="62" t="s">
        <x:v>818</x:v>
      </x:c>
      <x:c r="L44" s="62" t="s">
        <x:v>818</x:v>
      </x:c>
      <x:c r="M44" s="62" t="s">
        <x:v>818</x:v>
      </x:c>
      <x:c r="N44" s="62" t="s">
        <x:v>818</x:v>
      </x:c>
      <x:c r="O44" s="62" t="s">
        <x:v>818</x:v>
      </x:c>
      <x:c r="P44" s="62" t="s">
        <x:v>818</x:v>
      </x:c>
      <x:c r="Q44" s="62" t="s">
        <x:v>818</x:v>
      </x:c>
      <x:c r="U44" s="189" t="str">
        <x:f t="shared" si="2"/>
        <x:v/>
      </x:c>
    </x:row>
    <x:row r="45" spans="2:21">
      <x:c r="B45" s="46" t="s">
        <x:v>1197</x:v>
      </x:c>
      <x:c r="C45" s="60" t="s">
        <x:v>1280</x:v>
      </x:c>
      <x:c r="D45" s="60"/>
      <x:c r="E45" s="62" t="s">
        <x:v>818</x:v>
      </x:c>
      <x:c r="F45" s="62" t="s">
        <x:v>818</x:v>
      </x:c>
      <x:c r="G45" s="62" t="s">
        <x:v>818</x:v>
      </x:c>
      <x:c r="H45" s="62" t="s">
        <x:v>818</x:v>
      </x:c>
      <x:c r="I45" s="62" t="s">
        <x:v>818</x:v>
      </x:c>
      <x:c r="J45" s="62" t="s">
        <x:v>818</x:v>
      </x:c>
      <x:c r="K45" s="62" t="s">
        <x:v>818</x:v>
      </x:c>
      <x:c r="L45" s="62" t="s">
        <x:v>818</x:v>
      </x:c>
      <x:c r="M45" s="62" t="s">
        <x:v>818</x:v>
      </x:c>
      <x:c r="N45" s="62" t="s">
        <x:v>818</x:v>
      </x:c>
      <x:c r="O45" s="62" t="s">
        <x:v>818</x:v>
      </x:c>
      <x:c r="P45" s="62" t="s">
        <x:v>818</x:v>
      </x:c>
      <x:c r="Q45" s="62" t="s">
        <x:v>818</x:v>
      </x:c>
      <x:c r="U45" s="189" t="str">
        <x:f t="shared" si="2"/>
        <x:v/>
      </x:c>
    </x:row>
    <x:row r="46" spans="2:21">
      <x:c r="B46" s="46" t="s">
        <x:v>1574</x:v>
      </x:c>
      <x:c r="C46" s="60" t="s">
        <x:v>540</x:v>
      </x:c>
      <x:c r="D46" s="60"/>
      <x:c r="E46" s="62" t="s">
        <x:v>818</x:v>
      </x:c>
      <x:c r="F46" s="62" t="s">
        <x:v>818</x:v>
      </x:c>
      <x:c r="G46" s="62" t="s">
        <x:v>818</x:v>
      </x:c>
      <x:c r="H46" s="62" t="s">
        <x:v>818</x:v>
      </x:c>
      <x:c r="I46" s="62" t="s">
        <x:v>818</x:v>
      </x:c>
      <x:c r="J46" s="62" t="s">
        <x:v>818</x:v>
      </x:c>
      <x:c r="K46" s="62" t="s">
        <x:v>818</x:v>
      </x:c>
      <x:c r="L46" s="62" t="s">
        <x:v>818</x:v>
      </x:c>
      <x:c r="M46" s="62" t="s">
        <x:v>818</x:v>
      </x:c>
      <x:c r="N46" s="62" t="s">
        <x:v>818</x:v>
      </x:c>
      <x:c r="O46" s="62" t="s">
        <x:v>818</x:v>
      </x:c>
      <x:c r="P46" s="62" t="s">
        <x:v>818</x:v>
      </x:c>
      <x:c r="Q46" s="62" t="s">
        <x:v>818</x:v>
      </x:c>
      <x:c r="U46" s="189" t="str">
        <x:f t="shared" si="2"/>
        <x:v/>
      </x:c>
    </x:row>
    <x:row r="47" spans="2:21">
      <x:c r="B47" s="46" t="s">
        <x:v>2460</x:v>
      </x:c>
      <x:c r="C47" s="60" t="s">
        <x:v>2456</x:v>
      </x:c>
      <x:c r="D47" s="60"/>
      <x:c r="E47" s="62">
        <x:v>6675</x:v>
      </x:c>
      <x:c r="F47" s="62">
        <x:v>4822</x:v>
      </x:c>
      <x:c r="G47" s="62">
        <x:v>5224</x:v>
      </x:c>
      <x:c r="H47" s="62">
        <x:v>4862</x:v>
      </x:c>
      <x:c r="I47" s="62">
        <x:v>5216</x:v>
      </x:c>
      <x:c r="J47" s="62">
        <x:v>5182</x:v>
      </x:c>
      <x:c r="K47" s="62">
        <x:v>8404</x:v>
      </x:c>
      <x:c r="L47" s="62">
        <x:v>7370</x:v>
      </x:c>
      <x:c r="M47" s="62">
        <x:v>6256</x:v>
      </x:c>
      <x:c r="N47" s="62">
        <x:v>6656</x:v>
      </x:c>
      <x:c r="O47" s="62">
        <x:v>6978</x:v>
      </x:c>
      <x:c r="P47" s="62">
        <x:v>8610</x:v>
      </x:c>
      <x:c r="Q47" s="62">
        <x:v>8610</x:v>
      </x:c>
      <x:c r="U47" s="189">
        <x:f t="shared" si="2"/>
        <x:v>1</x:v>
      </x:c>
    </x:row>
    <x:row r="48" spans="2:21">
      <x:c r="B48" s="46" t="s">
        <x:v>2440</x:v>
      </x:c>
      <x:c r="C48" s="60" t="s">
        <x:v>527</x:v>
      </x:c>
      <x:c r="D48" s="60"/>
      <x:c r="E48" s="62">
        <x:v>1524</x:v>
      </x:c>
      <x:c r="F48" s="62">
        <x:v>1626</x:v>
      </x:c>
      <x:c r="G48" s="62">
        <x:v>1496</x:v>
      </x:c>
      <x:c r="H48" s="62">
        <x:v>2136</x:v>
      </x:c>
      <x:c r="I48" s="62">
        <x:v>2676</x:v>
      </x:c>
      <x:c r="J48" s="62">
        <x:v>2472</x:v>
      </x:c>
      <x:c r="K48" s="62">
        <x:v>1150</x:v>
      </x:c>
      <x:c r="L48" s="62">
        <x:v>924</x:v>
      </x:c>
      <x:c r="M48" s="62">
        <x:v>866</x:v>
      </x:c>
      <x:c r="N48" s="62">
        <x:v>842</x:v>
      </x:c>
      <x:c r="O48" s="62">
        <x:v>788</x:v>
      </x:c>
      <x:c r="P48" s="62">
        <x:v>825</x:v>
      </x:c>
      <x:c r="Q48" s="62">
        <x:v>825</x:v>
      </x:c>
      <x:c r="U48" s="189">
        <x:f t="shared" si="2"/>
        <x:v>1</x:v>
      </x:c>
    </x:row>
    <x:row r="49" spans="2:21">
      <x:c r="B49" s="46" t="s">
        <x:v>2446</x:v>
      </x:c>
      <x:c r="C49" s="60" t="s">
        <x:v>526</x:v>
      </x:c>
      <x:c r="D49" s="60"/>
      <x:c r="E49" s="62">
        <x:v>4933</x:v>
      </x:c>
      <x:c r="F49" s="62">
        <x:v>4164</x:v>
      </x:c>
      <x:c r="G49" s="62">
        <x:v>5464</x:v>
      </x:c>
      <x:c r="H49" s="62">
        <x:v>6846</x:v>
      </x:c>
      <x:c r="I49" s="62">
        <x:v>6826</x:v>
      </x:c>
      <x:c r="J49" s="62">
        <x:v>8715</x:v>
      </x:c>
      <x:c r="K49" s="62">
        <x:v>22675</x:v>
      </x:c>
      <x:c r="L49" s="62">
        <x:v>9890</x:v>
      </x:c>
      <x:c r="M49" s="62">
        <x:v>8242</x:v>
      </x:c>
      <x:c r="N49" s="62">
        <x:v>7545</x:v>
      </x:c>
      <x:c r="O49" s="62">
        <x:v>7588</x:v>
      </x:c>
      <x:c r="P49" s="62">
        <x:v>7545</x:v>
      </x:c>
      <x:c r="Q49" s="62">
        <x:v>7545</x:v>
      </x:c>
      <x:c r="U49" s="189">
        <x:f t="shared" si="2"/>
        <x:v>1</x:v>
      </x:c>
    </x:row>
    <x:row r="50" spans="2:21" ht="12">
      <x:c r="B50" s="68" t="s">
        <x:v>521</x:v>
      </x:c>
      <x:c r="C50" s="60" t="s">
        <x:v>2145</x:v>
      </x:c>
      <x:c r="D50" s="60"/>
      <x:c r="E50" s="146">
        <x:v>117271</x:v>
      </x:c>
      <x:c r="F50" s="146">
        <x:v>110495</x:v>
      </x:c>
      <x:c r="G50" s="146">
        <x:v>117470</x:v>
      </x:c>
      <x:c r="H50" s="146">
        <x:v>125356</x:v>
      </x:c>
      <x:c r="I50" s="146">
        <x:v>123382</x:v>
      </x:c>
      <x:c r="J50" s="146">
        <x:v>152186</x:v>
      </x:c>
      <x:c r="K50" s="146">
        <x:v>155971</x:v>
      </x:c>
      <x:c r="L50" s="146">
        <x:v>132001</x:v>
      </x:c>
      <x:c r="M50" s="146">
        <x:v>127243</x:v>
      </x:c>
      <x:c r="N50" s="146">
        <x:v>135241</x:v>
      </x:c>
      <x:c r="O50" s="146">
        <x:v>137175</x:v>
      </x:c>
      <x:c r="P50" s="146">
        <x:v>151880</x:v>
      </x:c>
      <x:c r="Q50" s="146">
        <x:v>151880</x:v>
      </x:c>
      <x:c r="U50" s="188">
        <x:v>1</x:v>
      </x:c>
    </x:row>
    <x:row r="51" spans="2:21" ht="12">
      <x:c r="B51" s="65"/>
      <x:c r="C51" s="60" t="s">
        <x:v>798</x:v>
      </x:c>
      <x:c r="D51" s="60"/>
      <x:c r="E51" s="62"/>
      <x:c r="F51" s="62"/>
      <x:c r="G51" s="62"/>
      <x:c r="H51" s="62"/>
      <x:c r="I51" s="62"/>
      <x:c r="J51" s="62"/>
      <x:c r="K51" s="62"/>
      <x:c r="L51" s="62"/>
      <x:c r="M51" s="62"/>
      <x:c r="N51" s="62"/>
      <x:c r="O51" s="62"/>
      <x:c r="P51" s="62"/>
      <x:c r="Q51" s="62"/>
      <x:c r="U51" s="188">
        <x:v>1</x:v>
      </x:c>
    </x:row>
    <x:row r="52" spans="2:21">
      <x:c r="B52" s="61" t="s">
        <x:v>1281</x:v>
      </x:c>
      <x:c r="C52" s="60" t="s">
        <x:v>798</x:v>
      </x:c>
      <x:c r="D52" s="60"/>
      <x:c r="E52" s="62"/>
      <x:c r="F52" s="62"/>
      <x:c r="G52" s="62"/>
      <x:c r="H52" s="62"/>
      <x:c r="I52" s="62"/>
      <x:c r="J52" s="62"/>
      <x:c r="K52" s="62"/>
      <x:c r="L52" s="62"/>
      <x:c r="M52" s="62"/>
      <x:c r="N52" s="62"/>
      <x:c r="O52" s="62"/>
      <x:c r="P52" s="62"/>
      <x:c r="Q52" s="62"/>
      <x:c r="U52" s="188">
        <x:v>1</x:v>
      </x:c>
    </x:row>
    <x:row r="53" spans="2:21">
      <x:c r="B53" s="46" t="s">
        <x:v>519</x:v>
      </x:c>
      <x:c r="C53" s="60" t="s">
        <x:v>1930</x:v>
      </x:c>
      <x:c r="D53" s="60"/>
      <x:c r="E53" s="62">
        <x:v>6864</x:v>
      </x:c>
      <x:c r="F53" s="62">
        <x:v>6028</x:v>
      </x:c>
      <x:c r="G53" s="62">
        <x:v>6209</x:v>
      </x:c>
      <x:c r="H53" s="62">
        <x:v>6451</x:v>
      </x:c>
      <x:c r="I53" s="62">
        <x:v>6558</x:v>
      </x:c>
      <x:c r="J53" s="62">
        <x:v>4896</x:v>
      </x:c>
      <x:c r="K53" s="62">
        <x:v>4033</x:v>
      </x:c>
      <x:c r="L53" s="62">
        <x:v>3955</x:v>
      </x:c>
      <x:c r="M53" s="62">
        <x:v>4051</x:v>
      </x:c>
      <x:c r="N53" s="62">
        <x:v>4132</x:v>
      </x:c>
      <x:c r="O53" s="62">
        <x:v>4032</x:v>
      </x:c>
      <x:c r="P53" s="62">
        <x:v>4756</x:v>
      </x:c>
      <x:c r="Q53" s="62">
        <x:v>4756</x:v>
      </x:c>
      <x:c r="U53" s="189">
        <x:f t="shared" ref="U53:U63" si="3">IF(COUNT(E53:Q53)&lt;&gt;0,1,"")</x:f>
        <x:v>1</x:v>
      </x:c>
    </x:row>
    <x:row r="54" spans="2:21">
      <x:c r="B54" s="46" t="s">
        <x:v>2157</x:v>
      </x:c>
      <x:c r="C54" s="60" t="s">
        <x:v>1910</x:v>
      </x:c>
      <x:c r="D54" s="60"/>
      <x:c r="E54" s="62">
        <x:v>9593</x:v>
      </x:c>
      <x:c r="F54" s="62">
        <x:v>7499</x:v>
      </x:c>
      <x:c r="G54" s="62">
        <x:v>7860</x:v>
      </x:c>
      <x:c r="H54" s="62">
        <x:v>7474</x:v>
      </x:c>
      <x:c r="I54" s="62">
        <x:v>6803</x:v>
      </x:c>
      <x:c r="J54" s="62">
        <x:v>7369</x:v>
      </x:c>
      <x:c r="K54" s="62">
        <x:v>7935</x:v>
      </x:c>
      <x:c r="L54" s="62">
        <x:v>7036</x:v>
      </x:c>
      <x:c r="M54" s="62">
        <x:v>7046</x:v>
      </x:c>
      <x:c r="N54" s="62">
        <x:v>6728</x:v>
      </x:c>
      <x:c r="O54" s="62">
        <x:v>7052</x:v>
      </x:c>
      <x:c r="P54" s="62">
        <x:v>8230</x:v>
      </x:c>
      <x:c r="Q54" s="62">
        <x:v>8230</x:v>
      </x:c>
      <x:c r="U54" s="189">
        <x:f t="shared" si="3"/>
        <x:v>1</x:v>
      </x:c>
    </x:row>
    <x:row r="55" spans="2:21">
      <x:c r="B55" s="46" t="s">
        <x:v>2448</x:v>
      </x:c>
      <x:c r="C55" s="60" t="s">
        <x:v>1279</x:v>
      </x:c>
      <x:c r="D55" s="60"/>
      <x:c r="E55" s="62">
        <x:v>1130</x:v>
      </x:c>
      <x:c r="F55" s="62">
        <x:v>1190</x:v>
      </x:c>
      <x:c r="G55" s="62">
        <x:v>1274</x:v>
      </x:c>
      <x:c r="H55" s="62">
        <x:v>1772</x:v>
      </x:c>
      <x:c r="I55" s="62">
        <x:v>3156</x:v>
      </x:c>
      <x:c r="J55" s="62">
        <x:v>1275</x:v>
      </x:c>
      <x:c r="K55" s="62">
        <x:v>130</x:v>
      </x:c>
      <x:c r="L55" s="62">
        <x:v>22</x:v>
      </x:c>
      <x:c r="M55" s="62" t="s">
        <x:v>818</x:v>
      </x:c>
      <x:c r="N55" s="62">
        <x:v>1</x:v>
      </x:c>
      <x:c r="O55" s="62">
        <x:v>30</x:v>
      </x:c>
      <x:c r="P55" s="62">
        <x:v>6424</x:v>
      </x:c>
      <x:c r="Q55" s="62">
        <x:v>6424</x:v>
      </x:c>
      <x:c r="U55" s="189">
        <x:f t="shared" si="3"/>
        <x:v>1</x:v>
      </x:c>
    </x:row>
    <x:row r="56" spans="2:21">
      <x:c r="B56" s="46" t="s">
        <x:v>713</x:v>
      </x:c>
      <x:c r="C56" s="60" t="s">
        <x:v>2450</x:v>
      </x:c>
      <x:c r="D56" s="60"/>
      <x:c r="E56" s="62">
        <x:v>4601</x:v>
      </x:c>
      <x:c r="F56" s="62">
        <x:v>5271</x:v>
      </x:c>
      <x:c r="G56" s="62">
        <x:v>6239</x:v>
      </x:c>
      <x:c r="H56" s="62">
        <x:v>5215</x:v>
      </x:c>
      <x:c r="I56" s="62">
        <x:v>7048</x:v>
      </x:c>
      <x:c r="J56" s="62">
        <x:v>7470</x:v>
      </x:c>
      <x:c r="K56" s="62">
        <x:v>6956</x:v>
      </x:c>
      <x:c r="L56" s="62">
        <x:v>6729</x:v>
      </x:c>
      <x:c r="M56" s="62">
        <x:v>4685</x:v>
      </x:c>
      <x:c r="N56" s="62">
        <x:v>6304</x:v>
      </x:c>
      <x:c r="O56" s="62">
        <x:v>4861</x:v>
      </x:c>
      <x:c r="P56" s="62" t="s">
        <x:v>818</x:v>
      </x:c>
      <x:c r="Q56" s="62" t="s">
        <x:v>818</x:v>
      </x:c>
      <x:c r="U56" s="189">
        <x:f t="shared" si="3"/>
        <x:v>1</x:v>
      </x:c>
    </x:row>
    <x:row r="57" spans="2:21">
      <x:c r="B57" s="46" t="s">
        <x:v>1575</x:v>
      </x:c>
      <x:c r="C57" s="60" t="s">
        <x:v>2462</x:v>
      </x:c>
      <x:c r="D57" s="60"/>
      <x:c r="E57" s="62" t="s">
        <x:v>818</x:v>
      </x:c>
      <x:c r="F57" s="62" t="s">
        <x:v>818</x:v>
      </x:c>
      <x:c r="G57" s="62" t="s">
        <x:v>818</x:v>
      </x:c>
      <x:c r="H57" s="62" t="s">
        <x:v>818</x:v>
      </x:c>
      <x:c r="I57" s="62">
        <x:v>3</x:v>
      </x:c>
      <x:c r="J57" s="62">
        <x:v>1432</x:v>
      </x:c>
      <x:c r="K57" s="62">
        <x:v>1065</x:v>
      </x:c>
      <x:c r="L57" s="62">
        <x:v>1010</x:v>
      </x:c>
      <x:c r="M57" s="62">
        <x:v>949</x:v>
      </x:c>
      <x:c r="N57" s="62">
        <x:v>941</x:v>
      </x:c>
      <x:c r="O57" s="62">
        <x:v>966</x:v>
      </x:c>
      <x:c r="P57" s="62">
        <x:v>800</x:v>
      </x:c>
      <x:c r="Q57" s="62">
        <x:v>800</x:v>
      </x:c>
      <x:c r="U57" s="189">
        <x:f t="shared" si="3"/>
        <x:v>1</x:v>
      </x:c>
    </x:row>
    <x:row r="58" spans="2:21">
      <x:c r="B58" s="46" t="s">
        <x:v>1590</x:v>
      </x:c>
      <x:c r="C58" s="60" t="s">
        <x:v>2459</x:v>
      </x:c>
      <x:c r="D58" s="60"/>
      <x:c r="E58" s="62" t="s">
        <x:v>818</x:v>
      </x:c>
      <x:c r="F58" s="62" t="s">
        <x:v>818</x:v>
      </x:c>
      <x:c r="G58" s="62" t="s">
        <x:v>818</x:v>
      </x:c>
      <x:c r="H58" s="62" t="s">
        <x:v>818</x:v>
      </x:c>
      <x:c r="I58" s="62" t="s">
        <x:v>818</x:v>
      </x:c>
      <x:c r="J58" s="62" t="s">
        <x:v>818</x:v>
      </x:c>
      <x:c r="K58" s="62" t="s">
        <x:v>818</x:v>
      </x:c>
      <x:c r="L58" s="62" t="s">
        <x:v>818</x:v>
      </x:c>
      <x:c r="M58" s="62" t="s">
        <x:v>818</x:v>
      </x:c>
      <x:c r="N58" s="62" t="s">
        <x:v>818</x:v>
      </x:c>
      <x:c r="O58" s="62" t="s">
        <x:v>818</x:v>
      </x:c>
      <x:c r="P58" s="62" t="s">
        <x:v>818</x:v>
      </x:c>
      <x:c r="Q58" s="62" t="s">
        <x:v>818</x:v>
      </x:c>
      <x:c r="U58" s="189" t="str">
        <x:f t="shared" si="3"/>
        <x:v/>
      </x:c>
    </x:row>
    <x:row r="59" spans="2:21">
      <x:c r="B59" s="46" t="s">
        <x:v>1196</x:v>
      </x:c>
      <x:c r="C59" s="60" t="s">
        <x:v>2457</x:v>
      </x:c>
      <x:c r="D59" s="60"/>
      <x:c r="E59" s="62" t="s">
        <x:v>818</x:v>
      </x:c>
      <x:c r="F59" s="62" t="s">
        <x:v>818</x:v>
      </x:c>
      <x:c r="G59" s="62" t="s">
        <x:v>818</x:v>
      </x:c>
      <x:c r="H59" s="62" t="s">
        <x:v>818</x:v>
      </x:c>
      <x:c r="I59" s="62" t="s">
        <x:v>818</x:v>
      </x:c>
      <x:c r="J59" s="62" t="s">
        <x:v>818</x:v>
      </x:c>
      <x:c r="K59" s="62" t="s">
        <x:v>818</x:v>
      </x:c>
      <x:c r="L59" s="62" t="s">
        <x:v>818</x:v>
      </x:c>
      <x:c r="M59" s="62" t="s">
        <x:v>818</x:v>
      </x:c>
      <x:c r="N59" s="62" t="s">
        <x:v>818</x:v>
      </x:c>
      <x:c r="O59" s="62" t="s">
        <x:v>818</x:v>
      </x:c>
      <x:c r="P59" s="62" t="s">
        <x:v>818</x:v>
      </x:c>
      <x:c r="Q59" s="62" t="s">
        <x:v>818</x:v>
      </x:c>
      <x:c r="U59" s="189" t="str">
        <x:f t="shared" si="3"/>
        <x:v/>
      </x:c>
    </x:row>
    <x:row r="60" spans="2:21">
      <x:c r="B60" s="46" t="s">
        <x:v>1576</x:v>
      </x:c>
      <x:c r="C60" s="60" t="s">
        <x:v>2463</x:v>
      </x:c>
      <x:c r="D60" s="60"/>
      <x:c r="E60" s="62">
        <x:v>5084</x:v>
      </x:c>
      <x:c r="F60" s="62">
        <x:v>2847</x:v>
      </x:c>
      <x:c r="G60" s="62">
        <x:v>3235</x:v>
      </x:c>
      <x:c r="H60" s="62">
        <x:v>4219</x:v>
      </x:c>
      <x:c r="I60" s="62">
        <x:v>3046</x:v>
      </x:c>
      <x:c r="J60" s="62">
        <x:v>2839</x:v>
      </x:c>
      <x:c r="K60" s="62">
        <x:v>3198</x:v>
      </x:c>
      <x:c r="L60" s="62">
        <x:v>2289</x:v>
      </x:c>
      <x:c r="M60" s="62">
        <x:v>2196</x:v>
      </x:c>
      <x:c r="N60" s="62">
        <x:v>2270</x:v>
      </x:c>
      <x:c r="O60" s="62">
        <x:v>2033</x:v>
      </x:c>
      <x:c r="P60" s="62">
        <x:v>2347</x:v>
      </x:c>
      <x:c r="Q60" s="62">
        <x:v>2347</x:v>
      </x:c>
      <x:c r="U60" s="189">
        <x:f t="shared" si="3"/>
        <x:v>1</x:v>
      </x:c>
    </x:row>
    <x:row r="61" spans="2:21">
      <x:c r="B61" s="46" t="s">
        <x:v>1578</x:v>
      </x:c>
      <x:c r="C61" s="60" t="s">
        <x:v>2433</x:v>
      </x:c>
      <x:c r="D61" s="60"/>
      <x:c r="E61" s="62">
        <x:v>12131</x:v>
      </x:c>
      <x:c r="F61" s="62">
        <x:v>11259</x:v>
      </x:c>
      <x:c r="G61" s="62">
        <x:v>11299</x:v>
      </x:c>
      <x:c r="H61" s="62">
        <x:v>11829</x:v>
      </x:c>
      <x:c r="I61" s="62">
        <x:v>11436</x:v>
      </x:c>
      <x:c r="J61" s="62">
        <x:v>12253</x:v>
      </x:c>
      <x:c r="K61" s="62">
        <x:v>12146</x:v>
      </x:c>
      <x:c r="L61" s="62">
        <x:v>12518</x:v>
      </x:c>
      <x:c r="M61" s="62">
        <x:v>12032</x:v>
      </x:c>
      <x:c r="N61" s="62">
        <x:v>13451</x:v>
      </x:c>
      <x:c r="O61" s="62">
        <x:v>13907</x:v>
      </x:c>
      <x:c r="P61" s="62">
        <x:v>16101</x:v>
      </x:c>
      <x:c r="Q61" s="62">
        <x:v>16101</x:v>
      </x:c>
      <x:c r="U61" s="189">
        <x:f t="shared" si="3"/>
        <x:v>1</x:v>
      </x:c>
    </x:row>
    <x:row r="62" spans="2:21">
      <x:c r="B62" s="46" t="s">
        <x:v>1617</x:v>
      </x:c>
      <x:c r="C62" s="60" t="s">
        <x:v>2434</x:v>
      </x:c>
      <x:c r="D62" s="60"/>
      <x:c r="E62" s="62" t="s">
        <x:v>818</x:v>
      </x:c>
      <x:c r="F62" s="62" t="s">
        <x:v>818</x:v>
      </x:c>
      <x:c r="G62" s="62" t="s">
        <x:v>818</x:v>
      </x:c>
      <x:c r="H62" s="62" t="s">
        <x:v>818</x:v>
      </x:c>
      <x:c r="I62" s="62" t="s">
        <x:v>818</x:v>
      </x:c>
      <x:c r="J62" s="62" t="s">
        <x:v>818</x:v>
      </x:c>
      <x:c r="K62" s="62" t="s">
        <x:v>818</x:v>
      </x:c>
      <x:c r="L62" s="62" t="s">
        <x:v>818</x:v>
      </x:c>
      <x:c r="M62" s="62" t="s">
        <x:v>818</x:v>
      </x:c>
      <x:c r="N62" s="62" t="s">
        <x:v>818</x:v>
      </x:c>
      <x:c r="O62" s="62" t="s">
        <x:v>818</x:v>
      </x:c>
      <x:c r="P62" s="62" t="s">
        <x:v>818</x:v>
      </x:c>
      <x:c r="Q62" s="62" t="s">
        <x:v>818</x:v>
      </x:c>
      <x:c r="U62" s="189" t="str">
        <x:f t="shared" si="3"/>
        <x:v/>
      </x:c>
    </x:row>
    <x:row r="63" spans="2:21">
      <x:c r="B63" s="46" t="s">
        <x:v>1596</x:v>
      </x:c>
      <x:c r="C63" s="60" t="s">
        <x:v>541</x:v>
      </x:c>
      <x:c r="D63" s="60"/>
      <x:c r="E63" s="148">
        <x:v>178</x:v>
      </x:c>
      <x:c r="F63" s="148">
        <x:v>175</x:v>
      </x:c>
      <x:c r="G63" s="148">
        <x:v>159</x:v>
      </x:c>
      <x:c r="H63" s="148">
        <x:v>403</x:v>
      </x:c>
      <x:c r="I63" s="148">
        <x:v>177</x:v>
      </x:c>
      <x:c r="J63" s="148">
        <x:v>167</x:v>
      </x:c>
      <x:c r="K63" s="148">
        <x:v>4406</x:v>
      </x:c>
      <x:c r="L63" s="148">
        <x:v>60</x:v>
      </x:c>
      <x:c r="M63" s="148">
        <x:v>546</x:v>
      </x:c>
      <x:c r="N63" s="148">
        <x:v>295</x:v>
      </x:c>
      <x:c r="O63" s="148">
        <x:v>261</x:v>
      </x:c>
      <x:c r="P63" s="148" t="s">
        <x:v>818</x:v>
      </x:c>
      <x:c r="Q63" s="148" t="s">
        <x:v>818</x:v>
      </x:c>
      <x:c r="U63" s="189">
        <x:f t="shared" si="3"/>
        <x:v>1</x:v>
      </x:c>
    </x:row>
    <x:row r="64" spans="2:21">
      <x:c r="B64" s="63" t="s">
        <x:v>1623</x:v>
      </x:c>
      <x:c r="C64" s="60" t="s">
        <x:v>1284</x:v>
      </x:c>
      <x:c r="D64" s="60"/>
      <x:c r="E64" s="147">
        <x:v>39581</x:v>
      </x:c>
      <x:c r="F64" s="147">
        <x:v>34269</x:v>
      </x:c>
      <x:c r="G64" s="147">
        <x:v>36275</x:v>
      </x:c>
      <x:c r="H64" s="147">
        <x:v>37363</x:v>
      </x:c>
      <x:c r="I64" s="147">
        <x:v>38227</x:v>
      </x:c>
      <x:c r="J64" s="147">
        <x:v>37701</x:v>
      </x:c>
      <x:c r="K64" s="147">
        <x:v>39869</x:v>
      </x:c>
      <x:c r="L64" s="147">
        <x:v>33619</x:v>
      </x:c>
      <x:c r="M64" s="147">
        <x:v>31505</x:v>
      </x:c>
      <x:c r="N64" s="147">
        <x:v>34122</x:v>
      </x:c>
      <x:c r="O64" s="147">
        <x:v>33142</x:v>
      </x:c>
      <x:c r="P64" s="147">
        <x:v>38658</x:v>
      </x:c>
      <x:c r="Q64" s="147">
        <x:v>38658</x:v>
      </x:c>
      <x:c r="U64" s="188">
        <x:v>1</x:v>
      </x:c>
    </x:row>
    <x:row r="65" spans="2:21">
      <x:c r="B65" s="65"/>
      <x:c r="C65" s="60" t="s">
        <x:v>798</x:v>
      </x:c>
      <x:c r="D65" s="60"/>
      <x:c r="E65" s="62"/>
      <x:c r="F65" s="62"/>
      <x:c r="G65" s="62"/>
      <x:c r="H65" s="62"/>
      <x:c r="I65" s="62"/>
      <x:c r="J65" s="62"/>
      <x:c r="K65" s="62"/>
      <x:c r="L65" s="62"/>
      <x:c r="M65" s="62"/>
      <x:c r="N65" s="62"/>
      <x:c r="O65" s="62"/>
      <x:c r="P65" s="62"/>
      <x:c r="Q65" s="62"/>
      <x:c r="U65" s="188">
        <x:v>1</x:v>
      </x:c>
    </x:row>
    <x:row r="66" spans="2:21">
      <x:c r="B66" s="46" t="s">
        <x:v>2133</x:v>
      </x:c>
      <x:c r="C66" s="60" t="s">
        <x:v>1283</x:v>
      </x:c>
      <x:c r="D66" s="60"/>
      <x:c r="E66" s="62">
        <x:v>34991</x:v>
      </x:c>
      <x:c r="F66" s="62">
        <x:v>33431</x:v>
      </x:c>
      <x:c r="G66" s="62">
        <x:v>34663</x:v>
      </x:c>
      <x:c r="H66" s="62">
        <x:v>39871</x:v>
      </x:c>
      <x:c r="I66" s="62">
        <x:v>35567</x:v>
      </x:c>
      <x:c r="J66" s="62">
        <x:v>53951</x:v>
      </x:c>
      <x:c r="K66" s="62">
        <x:v>54157</x:v>
      </x:c>
      <x:c r="L66" s="62">
        <x:v>44854</x:v>
      </x:c>
      <x:c r="M66" s="62">
        <x:v>46025</x:v>
      </x:c>
      <x:c r="N66" s="62">
        <x:v>49742</x:v>
      </x:c>
      <x:c r="O66" s="62">
        <x:v>49081</x:v>
      </x:c>
      <x:c r="P66" s="62">
        <x:v>54836</x:v>
      </x:c>
      <x:c r="Q66" s="62">
        <x:v>54836</x:v>
      </x:c>
      <x:c r="U66" s="189">
        <x:f>IF(COUNT(E66:Q66)&lt;&gt;0,1,"")</x:f>
        <x:v>1</x:v>
      </x:c>
    </x:row>
    <x:row r="67" spans="2:21">
      <x:c r="B67" s="46" t="s">
        <x:v>2140</x:v>
      </x:c>
      <x:c r="C67" s="60" t="s">
        <x:v>528</x:v>
      </x:c>
      <x:c r="D67" s="60"/>
      <x:c r="E67" s="62" t="s">
        <x:v>818</x:v>
      </x:c>
      <x:c r="F67" s="62" t="s">
        <x:v>818</x:v>
      </x:c>
      <x:c r="G67" s="62" t="s">
        <x:v>818</x:v>
      </x:c>
      <x:c r="H67" s="62" t="s">
        <x:v>818</x:v>
      </x:c>
      <x:c r="I67" s="62">
        <x:v>38</x:v>
      </x:c>
      <x:c r="J67" s="62">
        <x:v>4030</x:v>
      </x:c>
      <x:c r="K67" s="62">
        <x:v>2780</x:v>
      </x:c>
      <x:c r="L67" s="62">
        <x:v>2525</x:v>
      </x:c>
      <x:c r="M67" s="62">
        <x:v>2354</x:v>
      </x:c>
      <x:c r="N67" s="62">
        <x:v>2947</x:v>
      </x:c>
      <x:c r="O67" s="62">
        <x:v>3458</x:v>
      </x:c>
      <x:c r="P67" s="62">
        <x:v>2547</x:v>
      </x:c>
      <x:c r="Q67" s="62">
        <x:v>2547</x:v>
      </x:c>
      <x:c r="U67" s="189">
        <x:f>IF(COUNT(E67:Q67)&lt;&gt;0,1,"")</x:f>
        <x:v>1</x:v>
      </x:c>
    </x:row>
    <x:row r="68" spans="2:21">
      <x:c r="B68" s="46" t="s">
        <x:v>1599</x:v>
      </x:c>
      <x:c r="C68" s="60" t="s">
        <x:v>529</x:v>
      </x:c>
      <x:c r="D68" s="60"/>
      <x:c r="E68" s="62" t="s">
        <x:v>818</x:v>
      </x:c>
      <x:c r="F68" s="62" t="s">
        <x:v>818</x:v>
      </x:c>
      <x:c r="G68" s="62" t="s">
        <x:v>818</x:v>
      </x:c>
      <x:c r="H68" s="62" t="s">
        <x:v>818</x:v>
      </x:c>
      <x:c r="I68" s="62" t="s">
        <x:v>818</x:v>
      </x:c>
      <x:c r="J68" s="62" t="s">
        <x:v>818</x:v>
      </x:c>
      <x:c r="K68" s="62" t="s">
        <x:v>818</x:v>
      </x:c>
      <x:c r="L68" s="62" t="s">
        <x:v>818</x:v>
      </x:c>
      <x:c r="M68" s="62" t="s">
        <x:v>818</x:v>
      </x:c>
      <x:c r="N68" s="62" t="s">
        <x:v>818</x:v>
      </x:c>
      <x:c r="O68" s="62" t="s">
        <x:v>818</x:v>
      </x:c>
      <x:c r="P68" s="62" t="s">
        <x:v>818</x:v>
      </x:c>
      <x:c r="Q68" s="62" t="s">
        <x:v>818</x:v>
      </x:c>
      <x:c r="U68" s="189"/>
    </x:row>
    <x:row r="69" spans="2:21">
      <x:c r="B69" s="46" t="s">
        <x:v>720</x:v>
      </x:c>
      <x:c r="C69" s="60" t="s">
        <x:v>532</x:v>
      </x:c>
      <x:c r="D69" s="60"/>
      <x:c r="E69" s="62" t="s">
        <x:v>818</x:v>
      </x:c>
      <x:c r="F69" s="62" t="s">
        <x:v>818</x:v>
      </x:c>
      <x:c r="G69" s="62" t="s">
        <x:v>818</x:v>
      </x:c>
      <x:c r="H69" s="62" t="s">
        <x:v>818</x:v>
      </x:c>
      <x:c r="I69" s="62" t="s">
        <x:v>818</x:v>
      </x:c>
      <x:c r="J69" s="62" t="s">
        <x:v>818</x:v>
      </x:c>
      <x:c r="K69" s="62" t="s">
        <x:v>818</x:v>
      </x:c>
      <x:c r="L69" s="62" t="s">
        <x:v>818</x:v>
      </x:c>
      <x:c r="M69" s="62" t="s">
        <x:v>818</x:v>
      </x:c>
      <x:c r="N69" s="62" t="s">
        <x:v>818</x:v>
      </x:c>
      <x:c r="O69" s="62" t="s">
        <x:v>818</x:v>
      </x:c>
      <x:c r="P69" s="62" t="s">
        <x:v>818</x:v>
      </x:c>
      <x:c r="Q69" s="62" t="s">
        <x:v>818</x:v>
      </x:c>
      <x:c r="U69" s="189"/>
    </x:row>
    <x:row r="70" spans="2:21">
      <x:c r="B70" s="46" t="s">
        <x:v>1200</x:v>
      </x:c>
      <x:c r="C70" s="60" t="s">
        <x:v>520</x:v>
      </x:c>
      <x:c r="D70" s="60"/>
      <x:c r="E70" s="62">
        <x:v>3691</x:v>
      </x:c>
      <x:c r="F70" s="62">
        <x:v>3771</x:v>
      </x:c>
      <x:c r="G70" s="62">
        <x:v>3600</x:v>
      </x:c>
      <x:c r="H70" s="62">
        <x:v>3746</x:v>
      </x:c>
      <x:c r="I70" s="62">
        <x:v>3445</x:v>
      </x:c>
      <x:c r="J70" s="62">
        <x:v>3851</x:v>
      </x:c>
      <x:c r="K70" s="62">
        <x:v>3758</x:v>
      </x:c>
      <x:c r="L70" s="62">
        <x:v>3577</x:v>
      </x:c>
      <x:c r="M70" s="62">
        <x:v>3499</x:v>
      </x:c>
      <x:c r="N70" s="62">
        <x:v>3533</x:v>
      </x:c>
      <x:c r="O70" s="62">
        <x:v>3622</x:v>
      </x:c>
      <x:c r="P70" s="62">
        <x:v>4271</x:v>
      </x:c>
      <x:c r="Q70" s="62">
        <x:v>4271</x:v>
      </x:c>
      <x:c r="U70" s="189">
        <x:f>IF(COUNT(E70:Q70)&lt;&gt;0,1,"")</x:f>
        <x:v>1</x:v>
      </x:c>
    </x:row>
    <x:row r="71" spans="2:21">
      <x:c r="B71" s="46" t="s">
        <x:v>237</x:v>
      </x:c>
      <x:c r="C71" s="60" t="s">
        <x:v>1282</x:v>
      </x:c>
      <x:c r="D71" s="60"/>
      <x:c r="E71" s="62">
        <x:v>18261</x:v>
      </x:c>
      <x:c r="F71" s="62">
        <x:v>16504</x:v>
      </x:c>
      <x:c r="G71" s="62">
        <x:v>17070</x:v>
      </x:c>
      <x:c r="H71" s="62">
        <x:v>16720</x:v>
      </x:c>
      <x:c r="I71" s="62">
        <x:v>17002</x:v>
      </x:c>
      <x:c r="J71" s="62">
        <x:v>17142</x:v>
      </x:c>
      <x:c r="K71" s="62">
        <x:v>17184</x:v>
      </x:c>
      <x:c r="L71" s="62">
        <x:v>14435</x:v>
      </x:c>
      <x:c r="M71" s="62">
        <x:v>9596</x:v>
      </x:c>
      <x:c r="N71" s="62">
        <x:v>10808</x:v>
      </x:c>
      <x:c r="O71" s="62">
        <x:v>9432</x:v>
      </x:c>
      <x:c r="P71" s="62">
        <x:v>9018</x:v>
      </x:c>
      <x:c r="Q71" s="62">
        <x:v>9018</x:v>
      </x:c>
      <x:c r="U71" s="189">
        <x:f>IF(COUNT(E71:Q71)&lt;&gt;0,1,"")</x:f>
        <x:v>1</x:v>
      </x:c>
    </x:row>
    <x:row r="72" spans="2:21">
      <x:c r="B72" s="46" t="s">
        <x:v>1198</x:v>
      </x:c>
      <x:c r="C72" s="60" t="s">
        <x:v>545</x:v>
      </x:c>
      <x:c r="D72" s="60"/>
      <x:c r="E72" s="62">
        <x:v>129</x:v>
      </x:c>
      <x:c r="F72" s="62">
        <x:v>253</x:v>
      </x:c>
      <x:c r="G72" s="62">
        <x:v>424</x:v>
      </x:c>
      <x:c r="H72" s="62">
        <x:v>545</x:v>
      </x:c>
      <x:c r="I72" s="62">
        <x:v>3696</x:v>
      </x:c>
      <x:c r="J72" s="62">
        <x:v>5230</x:v>
      </x:c>
      <x:c r="K72" s="62">
        <x:v>4958</x:v>
      </x:c>
      <x:c r="L72" s="62">
        <x:v>3956</x:v>
      </x:c>
      <x:c r="M72" s="62">
        <x:v>2292</x:v>
      </x:c>
      <x:c r="N72" s="62">
        <x:v>1146</x:v>
      </x:c>
      <x:c r="O72" s="62">
        <x:v>815</x:v>
      </x:c>
      <x:c r="P72" s="62" t="s">
        <x:v>818</x:v>
      </x:c>
      <x:c r="Q72" s="62" t="s">
        <x:v>818</x:v>
      </x:c>
      <x:c r="U72" s="189">
        <x:f>IF(COUNT(E72:Q72)&lt;&gt;0,1,"")</x:f>
        <x:v>1</x:v>
      </x:c>
    </x:row>
    <x:row r="73" spans="2:21">
      <x:c r="B73" s="46" t="s">
        <x:v>1199</x:v>
      </x:c>
      <x:c r="C73" s="60" t="s">
        <x:v>537</x:v>
      </x:c>
      <x:c r="D73" s="60"/>
      <x:c r="E73" s="148">
        <x:v>8604</x:v>
      </x:c>
      <x:c r="F73" s="148">
        <x:v>7843</x:v>
      </x:c>
      <x:c r="G73" s="148">
        <x:v>7046</x:v>
      </x:c>
      <x:c r="H73" s="148">
        <x:v>9386</x:v>
      </x:c>
      <x:c r="I73" s="148">
        <x:v>8477</x:v>
      </x:c>
      <x:c r="J73" s="148">
        <x:v>9296</x:v>
      </x:c>
      <x:c r="K73" s="148">
        <x:v>12539</x:v>
      </x:c>
      <x:c r="L73" s="148">
        <x:v>10039</x:v>
      </x:c>
      <x:c r="M73" s="148">
        <x:v>9951</x:v>
      </x:c>
      <x:c r="N73" s="148">
        <x:v>10330</x:v>
      </x:c>
      <x:c r="O73" s="148">
        <x:v>10232</x:v>
      </x:c>
      <x:c r="P73" s="148">
        <x:v>9809</x:v>
      </x:c>
      <x:c r="Q73" s="148">
        <x:v>9809</x:v>
      </x:c>
      <x:c r="U73" s="189">
        <x:f>IF(COUNT(E73:Q73)&lt;&gt;0,1,"")</x:f>
        <x:v>1</x:v>
      </x:c>
    </x:row>
    <x:row r="74" spans="2:21" ht="12">
      <x:c r="B74" s="68" t="s">
        <x:v>2451</x:v>
      </x:c>
      <x:c r="C74" s="60" t="s">
        <x:v>2130</x:v>
      </x:c>
      <x:c r="D74" s="60"/>
      <x:c r="E74" s="146">
        <x:v>105257</x:v>
      </x:c>
      <x:c r="F74" s="146">
        <x:v>96071</x:v>
      </x:c>
      <x:c r="G74" s="146">
        <x:v>99078</x:v>
      </x:c>
      <x:c r="H74" s="146">
        <x:v>107631</x:v>
      </x:c>
      <x:c r="I74" s="146">
        <x:v>106452</x:v>
      </x:c>
      <x:c r="J74" s="146">
        <x:v>131201</x:v>
      </x:c>
      <x:c r="K74" s="146">
        <x:v>135245</x:v>
      </x:c>
      <x:c r="L74" s="146">
        <x:v>113005</x:v>
      </x:c>
      <x:c r="M74" s="146">
        <x:v>105222</x:v>
      </x:c>
      <x:c r="N74" s="146">
        <x:v>112628</x:v>
      </x:c>
      <x:c r="O74" s="146">
        <x:v>109782</x:v>
      </x:c>
      <x:c r="P74" s="146">
        <x:v>119139</x:v>
      </x:c>
      <x:c r="Q74" s="146">
        <x:v>119139</x:v>
      </x:c>
      <x:c r="U74" s="188">
        <x:v>1</x:v>
      </x:c>
    </x:row>
    <x:row r="75" spans="2:21" ht="12">
      <x:c r="B75" s="65"/>
      <x:c r="C75" s="60" t="s">
        <x:v>798</x:v>
      </x:c>
      <x:c r="D75" s="60"/>
      <x:c r="E75" s="62"/>
      <x:c r="F75" s="62"/>
      <x:c r="G75" s="62"/>
      <x:c r="H75" s="62"/>
      <x:c r="I75" s="62"/>
      <x:c r="J75" s="62"/>
      <x:c r="K75" s="62"/>
      <x:c r="L75" s="62"/>
      <x:c r="M75" s="62"/>
      <x:c r="N75" s="62"/>
      <x:c r="O75" s="62"/>
      <x:c r="P75" s="62"/>
      <x:c r="Q75" s="62"/>
      <x:c r="U75" s="188">
        <x:v>1</x:v>
      </x:c>
    </x:row>
    <x:row r="76" spans="2:21">
      <x:c r="B76" s="61" t="s">
        <x:v>1934</x:v>
      </x:c>
      <x:c r="C76" s="60" t="s">
        <x:v>798</x:v>
      </x:c>
      <x:c r="D76" s="60"/>
      <x:c r="E76" s="78"/>
      <x:c r="F76" s="78"/>
      <x:c r="G76" s="78"/>
      <x:c r="H76" s="78"/>
      <x:c r="I76" s="78"/>
      <x:c r="J76" s="78"/>
      <x:c r="K76" s="78"/>
      <x:c r="L76" s="78"/>
      <x:c r="M76" s="78"/>
      <x:c r="N76" s="78"/>
      <x:c r="O76" s="78"/>
      <x:c r="P76" s="78"/>
      <x:c r="Q76" s="78"/>
      <x:c r="U76" s="188">
        <x:v>1</x:v>
      </x:c>
    </x:row>
    <x:row r="77" spans="2:21">
      <x:c r="B77" s="46" t="s">
        <x:v>2453</x:v>
      </x:c>
      <x:c r="C77" s="60" t="s">
        <x:v>2131</x:v>
      </x:c>
      <x:c r="D77" s="60"/>
      <x:c r="E77" s="62" t="s">
        <x:v>818</x:v>
      </x:c>
      <x:c r="F77" s="62" t="s">
        <x:v>818</x:v>
      </x:c>
      <x:c r="G77" s="62" t="s">
        <x:v>818</x:v>
      </x:c>
      <x:c r="H77" s="62" t="s">
        <x:v>818</x:v>
      </x:c>
      <x:c r="I77" s="62" t="s">
        <x:v>818</x:v>
      </x:c>
      <x:c r="J77" s="62" t="s">
        <x:v>818</x:v>
      </x:c>
      <x:c r="K77" s="62" t="s">
        <x:v>818</x:v>
      </x:c>
      <x:c r="L77" s="62" t="s">
        <x:v>818</x:v>
      </x:c>
      <x:c r="M77" s="62" t="s">
        <x:v>818</x:v>
      </x:c>
      <x:c r="N77" s="62" t="s">
        <x:v>818</x:v>
      </x:c>
      <x:c r="O77" s="62" t="s">
        <x:v>818</x:v>
      </x:c>
      <x:c r="P77" s="62" t="s">
        <x:v>818</x:v>
      </x:c>
      <x:c r="Q77" s="62" t="s">
        <x:v>818</x:v>
      </x:c>
      <x:c r="U77" s="189" t="str">
        <x:f>IF(COUNT(E77:Q77)&lt;&gt;0,1,"")</x:f>
        <x:v/>
      </x:c>
    </x:row>
    <x:row r="78" spans="2:21">
      <x:c r="B78" s="46" t="s">
        <x:v>1600</x:v>
      </x:c>
      <x:c r="C78" s="60" t="s">
        <x:v>522</x:v>
      </x:c>
      <x:c r="D78" s="60"/>
      <x:c r="E78" s="62" t="s">
        <x:v>818</x:v>
      </x:c>
      <x:c r="F78" s="62" t="s">
        <x:v>818</x:v>
      </x:c>
      <x:c r="G78" s="62" t="s">
        <x:v>818</x:v>
      </x:c>
      <x:c r="H78" s="62" t="s">
        <x:v>818</x:v>
      </x:c>
      <x:c r="I78" s="62" t="s">
        <x:v>818</x:v>
      </x:c>
      <x:c r="J78" s="62" t="s">
        <x:v>818</x:v>
      </x:c>
      <x:c r="K78" s="62" t="s">
        <x:v>818</x:v>
      </x:c>
      <x:c r="L78" s="62" t="s">
        <x:v>818</x:v>
      </x:c>
      <x:c r="M78" s="62" t="s">
        <x:v>818</x:v>
      </x:c>
      <x:c r="N78" s="62" t="s">
        <x:v>818</x:v>
      </x:c>
      <x:c r="O78" s="62" t="s">
        <x:v>818</x:v>
      </x:c>
      <x:c r="P78" s="62" t="s">
        <x:v>818</x:v>
      </x:c>
      <x:c r="Q78" s="62" t="s">
        <x:v>818</x:v>
      </x:c>
      <x:c r="U78" s="189" t="str">
        <x:f>IF(COUNT(E78:Q78)&lt;&gt;0,1,"")</x:f>
        <x:v/>
      </x:c>
    </x:row>
    <x:row r="79" spans="2:21">
      <x:c r="B79" s="46" t="s">
        <x:v>1618</x:v>
      </x:c>
      <x:c r="C79" s="60" t="s">
        <x:v>2132</x:v>
      </x:c>
      <x:c r="D79" s="60"/>
      <x:c r="E79" s="62" t="s">
        <x:v>818</x:v>
      </x:c>
      <x:c r="F79" s="62" t="s">
        <x:v>818</x:v>
      </x:c>
      <x:c r="G79" s="62" t="s">
        <x:v>818</x:v>
      </x:c>
      <x:c r="H79" s="62" t="s">
        <x:v>818</x:v>
      </x:c>
      <x:c r="I79" s="62" t="s">
        <x:v>818</x:v>
      </x:c>
      <x:c r="J79" s="62" t="s">
        <x:v>818</x:v>
      </x:c>
      <x:c r="K79" s="62" t="s">
        <x:v>818</x:v>
      </x:c>
      <x:c r="L79" s="62" t="s">
        <x:v>818</x:v>
      </x:c>
      <x:c r="M79" s="62" t="s">
        <x:v>818</x:v>
      </x:c>
      <x:c r="N79" s="62" t="s">
        <x:v>818</x:v>
      </x:c>
      <x:c r="O79" s="62" t="s">
        <x:v>818</x:v>
      </x:c>
      <x:c r="P79" s="62" t="s">
        <x:v>818</x:v>
      </x:c>
      <x:c r="Q79" s="62" t="s">
        <x:v>818</x:v>
      </x:c>
      <x:c r="U79" s="189" t="str">
        <x:f>IF(COUNT(E79:Q79)&lt;&gt;0,1,"")</x:f>
        <x:v/>
      </x:c>
    </x:row>
    <x:row r="80" spans="2:21">
      <x:c r="B80" s="46" t="s">
        <x:v>523</x:v>
      </x:c>
      <x:c r="C80" s="60" t="s">
        <x:v>2137</x:v>
      </x:c>
      <x:c r="D80" s="60"/>
      <x:c r="E80" s="148" t="s">
        <x:v>818</x:v>
      </x:c>
      <x:c r="F80" s="148" t="s">
        <x:v>818</x:v>
      </x:c>
      <x:c r="G80" s="148" t="s">
        <x:v>818</x:v>
      </x:c>
      <x:c r="H80" s="148" t="s">
        <x:v>818</x:v>
      </x:c>
      <x:c r="I80" s="148" t="s">
        <x:v>818</x:v>
      </x:c>
      <x:c r="J80" s="148" t="s">
        <x:v>818</x:v>
      </x:c>
      <x:c r="K80" s="148" t="s">
        <x:v>818</x:v>
      </x:c>
      <x:c r="L80" s="148" t="s">
        <x:v>818</x:v>
      </x:c>
      <x:c r="M80" s="148" t="s">
        <x:v>818</x:v>
      </x:c>
      <x:c r="N80" s="148" t="s">
        <x:v>818</x:v>
      </x:c>
      <x:c r="O80" s="148" t="s">
        <x:v>818</x:v>
      </x:c>
      <x:c r="P80" s="148" t="s">
        <x:v>818</x:v>
      </x:c>
      <x:c r="Q80" s="148" t="s">
        <x:v>818</x:v>
      </x:c>
      <x:c r="U80" s="189" t="str">
        <x:f>IF(COUNT(E80:Q80)&lt;&gt;0,1,"")</x:f>
        <x:v/>
      </x:c>
    </x:row>
    <x:row r="81" spans="2:21">
      <x:c r="B81" s="69" t="s">
        <x:v>2435</x:v>
      </x:c>
      <x:c r="C81" s="60" t="s">
        <x:v>2395</x:v>
      </x:c>
      <x:c r="D81" s="60"/>
      <x:c r="E81" s="147" t="s">
        <x:v>818</x:v>
      </x:c>
      <x:c r="F81" s="147" t="s">
        <x:v>818</x:v>
      </x:c>
      <x:c r="G81" s="147" t="s">
        <x:v>818</x:v>
      </x:c>
      <x:c r="H81" s="147" t="s">
        <x:v>818</x:v>
      </x:c>
      <x:c r="I81" s="147" t="s">
        <x:v>818</x:v>
      </x:c>
      <x:c r="J81" s="147" t="s">
        <x:v>818</x:v>
      </x:c>
      <x:c r="K81" s="147" t="s">
        <x:v>818</x:v>
      </x:c>
      <x:c r="L81" s="147" t="s">
        <x:v>818</x:v>
      </x:c>
      <x:c r="M81" s="147" t="s">
        <x:v>818</x:v>
      </x:c>
      <x:c r="N81" s="147" t="s">
        <x:v>818</x:v>
      </x:c>
      <x:c r="O81" s="147" t="s">
        <x:v>818</x:v>
      </x:c>
      <x:c r="P81" s="147" t="s">
        <x:v>818</x:v>
      </x:c>
      <x:c r="Q81" s="147" t="s">
        <x:v>818</x:v>
      </x:c>
      <x:c r="U81" s="189">
        <x:v>1</x:v>
      </x:c>
    </x:row>
    <x:row r="82" spans="2:21">
      <x:c r="B82" s="67"/>
      <x:c r="C82" s="60" t="s">
        <x:v>798</x:v>
      </x:c>
      <x:c r="D82" s="60"/>
      <x:c r="E82" s="62"/>
      <x:c r="F82" s="62"/>
      <x:c r="G82" s="62"/>
      <x:c r="H82" s="62"/>
      <x:c r="I82" s="62"/>
      <x:c r="J82" s="62"/>
      <x:c r="K82" s="62"/>
      <x:c r="L82" s="62"/>
      <x:c r="M82" s="62"/>
      <x:c r="N82" s="62"/>
      <x:c r="O82" s="62"/>
      <x:c r="P82" s="62"/>
      <x:c r="Q82" s="62"/>
      <x:c r="U82" s="188">
        <x:v>1</x:v>
      </x:c>
    </x:row>
    <x:row r="83" spans="2:21">
      <x:c r="B83" s="46" t="s">
        <x:v>2138</x:v>
      </x:c>
      <x:c r="C83" s="60" t="s">
        <x:v>2141</x:v>
      </x:c>
      <x:c r="D83" s="60"/>
      <x:c r="E83" s="62">
        <x:v>52666</x:v>
      </x:c>
      <x:c r="F83" s="62">
        <x:v>53262</x:v>
      </x:c>
      <x:c r="G83" s="62">
        <x:v>53935</x:v>
      </x:c>
      <x:c r="H83" s="62">
        <x:v>54566</x:v>
      </x:c>
      <x:c r="I83" s="62">
        <x:v>55151</x:v>
      </x:c>
      <x:c r="J83" s="62">
        <x:v>55895</x:v>
      </x:c>
      <x:c r="K83" s="62">
        <x:v>56556</x:v>
      </x:c>
      <x:c r="L83" s="62">
        <x:v>57319</x:v>
      </x:c>
      <x:c r="M83" s="62">
        <x:v>58343</x:v>
      </x:c>
      <x:c r="N83" s="62">
        <x:v>59643</x:v>
      </x:c>
      <x:c r="O83" s="62">
        <x:v>61380</x:v>
      </x:c>
      <x:c r="P83" s="62">
        <x:v>63318</x:v>
      </x:c>
      <x:c r="Q83" s="62">
        <x:v>63318</x:v>
      </x:c>
      <x:c r="U83" s="189">
        <x:f>IF(COUNT(E83:Q83)&lt;&gt;0,1,"")</x:f>
        <x:v>1</x:v>
      </x:c>
    </x:row>
    <x:row r="84" spans="2:21">
      <x:c r="B84" s="46" t="s">
        <x:v>1619</x:v>
      </x:c>
      <x:c r="C84" s="60" t="s">
        <x:v>1927</x:v>
      </x:c>
      <x:c r="D84" s="60"/>
      <x:c r="E84" s="62" t="s">
        <x:v>818</x:v>
      </x:c>
      <x:c r="F84" s="62" t="s">
        <x:v>818</x:v>
      </x:c>
      <x:c r="G84" s="62" t="s">
        <x:v>818</x:v>
      </x:c>
      <x:c r="H84" s="62" t="s">
        <x:v>818</x:v>
      </x:c>
      <x:c r="I84" s="62" t="s">
        <x:v>818</x:v>
      </x:c>
      <x:c r="J84" s="62" t="s">
        <x:v>818</x:v>
      </x:c>
      <x:c r="K84" s="62" t="s">
        <x:v>818</x:v>
      </x:c>
      <x:c r="L84" s="62" t="s">
        <x:v>818</x:v>
      </x:c>
      <x:c r="M84" s="62" t="s">
        <x:v>818</x:v>
      </x:c>
      <x:c r="N84" s="62" t="s">
        <x:v>818</x:v>
      </x:c>
      <x:c r="O84" s="62" t="s">
        <x:v>818</x:v>
      </x:c>
      <x:c r="P84" s="62" t="s">
        <x:v>818</x:v>
      </x:c>
      <x:c r="Q84" s="62" t="s">
        <x:v>818</x:v>
      </x:c>
      <x:c r="U84" s="189" t="str">
        <x:f>IF(COUNT(E84:Q84)&lt;&gt;0,1,"")</x:f>
        <x:v/>
      </x:c>
    </x:row>
    <x:row r="85" spans="2:21">
      <x:c r="B85" s="46" t="s">
        <x:v>542</x:v>
      </x:c>
      <x:c r="C85" s="60" t="s">
        <x:v>2441</x:v>
      </x:c>
      <x:c r="D85" s="60"/>
      <x:c r="E85" s="62">
        <x:v>137793</x:v>
      </x:c>
      <x:c r="F85" s="62">
        <x:v>146124</x:v>
      </x:c>
      <x:c r="G85" s="62">
        <x:v>152759</x:v>
      </x:c>
      <x:c r="H85" s="62">
        <x:v>153126</x:v>
      </x:c>
      <x:c r="I85" s="62">
        <x:v>159206</x:v>
      </x:c>
      <x:c r="J85" s="62">
        <x:v>162954</x:v>
      </x:c>
      <x:c r="K85" s="62">
        <x:v>162717</x:v>
      </x:c>
      <x:c r="L85" s="62">
        <x:v>154209</x:v>
      </x:c>
      <x:c r="M85" s="62">
        <x:v>149825</x:v>
      </x:c>
      <x:c r="N85" s="62">
        <x:v>151276</x:v>
      </x:c>
      <x:c r="O85" s="62">
        <x:v>151163</x:v>
      </x:c>
      <x:c r="P85" s="62">
        <x:v>155648</x:v>
      </x:c>
      <x:c r="Q85" s="62">
        <x:v>155648</x:v>
      </x:c>
      <x:c r="U85" s="189">
        <x:f>IF(COUNT(E85:Q85)&lt;&gt;0,1,"")</x:f>
        <x:v>1</x:v>
      </x:c>
    </x:row>
    <x:row r="86" spans="2:21">
      <x:c r="B86" s="46" t="s">
        <x:v>2139</x:v>
      </x:c>
      <x:c r="C86" s="60">
        <x:v>268582</x:v>
      </x:c>
      <x:c r="D86" s="60"/>
      <x:c r="E86" s="62">
        <x:v>-150715</x:v>
      </x:c>
      <x:c r="F86" s="62">
        <x:v>-155518</x:v>
      </x:c>
      <x:c r="G86" s="62">
        <x:v>-159050</x:v>
      </x:c>
      <x:c r="H86" s="62">
        <x:v>-163507</x:v>
      </x:c>
      <x:c r="I86" s="62">
        <x:v>-168071</x:v>
      </x:c>
      <x:c r="J86" s="62">
        <x:v>-169413</x:v>
      </x:c>
      <x:c r="K86" s="62">
        <x:v>-169339</x:v>
      </x:c>
      <x:c r="L86" s="62">
        <x:v>-169392</x:v>
      </x:c>
      <x:c r="M86" s="62">
        <x:v>-169484</x:v>
      </x:c>
      <x:c r="N86" s="62">
        <x:v>-169624</x:v>
      </x:c>
      <x:c r="O86" s="62">
        <x:v>-169968</x:v>
      </x:c>
      <x:c r="P86" s="62">
        <x:v>-170605</x:v>
      </x:c>
      <x:c r="Q86" s="62">
        <x:v>-170605</x:v>
      </x:c>
      <x:c r="U86" s="189">
        <x:f>IF(COUNT(E86:Q86)&lt;&gt;0,1,"")</x:f>
        <x:v>1</x:v>
      </x:c>
    </x:row>
    <x:row r="87" spans="2:21">
      <x:c r="B87" s="46" t="s">
        <x:v>1201</x:v>
      </x:c>
      <x:c r="C87" s="60" t="s">
        <x:v>2148</x:v>
      </x:c>
      <x:c r="D87" s="60"/>
      <x:c r="E87" s="148">
        <x:v>-27876</x:v>
      </x:c>
      <x:c r="F87" s="148">
        <x:v>-29606</x:v>
      </x:c>
      <x:c r="G87" s="148">
        <x:v>-29398</x:v>
      </x:c>
      <x:c r="H87" s="148">
        <x:v>-26591</x:v>
      </x:c>
      <x:c r="I87" s="148">
        <x:v>-29490</x:v>
      </x:c>
      <x:c r="J87" s="148">
        <x:v>-28595</x:v>
      </x:c>
      <x:c r="K87" s="148">
        <x:v>-29337</x:v>
      </x:c>
      <x:c r="L87" s="148">
        <x:v>-23235</x:v>
      </x:c>
      <x:c r="M87" s="148">
        <x:v>-16740</x:v>
      </x:c>
      <x:c r="N87" s="148">
        <x:v>-18762</x:v>
      </x:c>
      <x:c r="O87" s="148">
        <x:v>-15268</x:v>
      </x:c>
      <x:c r="P87" s="148">
        <x:v>-15713</x:v>
      </x:c>
      <x:c r="Q87" s="148">
        <x:v>-15713</x:v>
      </x:c>
      <x:c r="U87" s="189">
        <x:f>IF(COUNT(E87:Q87)&lt;&gt;0,1,"")</x:f>
        <x:v>1</x:v>
      </x:c>
    </x:row>
    <x:row r="88" spans="2:21">
      <x:c r="B88" s="63" t="s">
        <x:v>640</x:v>
      </x:c>
      <x:c r="C88" s="60" t="s">
        <x:v>2401</x:v>
      </x:c>
      <x:c r="D88" s="60"/>
      <x:c r="E88" s="147">
        <x:v>11868</x:v>
      </x:c>
      <x:c r="F88" s="147">
        <x:v>14262</x:v>
      </x:c>
      <x:c r="G88" s="147">
        <x:v>18246</x:v>
      </x:c>
      <x:c r="H88" s="147">
        <x:v>17594</x:v>
      </x:c>
      <x:c r="I88" s="147">
        <x:v>16796</x:v>
      </x:c>
      <x:c r="J88" s="147">
        <x:v>20841</x:v>
      </x:c>
      <x:c r="K88" s="147">
        <x:v>20597</x:v>
      </x:c>
      <x:c r="L88" s="147">
        <x:v>18901</x:v>
      </x:c>
      <x:c r="M88" s="147">
        <x:v>21944</x:v>
      </x:c>
      <x:c r="N88" s="147">
        <x:v>22533</x:v>
      </x:c>
      <x:c r="O88" s="147">
        <x:v>27307</x:v>
      </x:c>
      <x:c r="P88" s="147">
        <x:v>32648</x:v>
      </x:c>
      <x:c r="Q88" s="147">
        <x:v>32648</x:v>
      </x:c>
      <x:c r="U88" s="188">
        <x:v>1</x:v>
      </x:c>
    </x:row>
    <x:row r="89" spans="2:21">
      <x:c r="B89" s="46"/>
      <x:c r="C89" s="60" t="s">
        <x:v>798</x:v>
      </x:c>
      <x:c r="D89" s="60"/>
      <x:c r="E89" s="70"/>
      <x:c r="F89" s="70"/>
      <x:c r="G89" s="70"/>
      <x:c r="H89" s="70"/>
      <x:c r="I89" s="70"/>
      <x:c r="J89" s="70"/>
      <x:c r="K89" s="70"/>
      <x:c r="L89" s="70"/>
      <x:c r="M89" s="70"/>
      <x:c r="N89" s="70"/>
      <x:c r="O89" s="70"/>
      <x:c r="P89" s="70"/>
      <x:c r="Q89" s="70"/>
      <x:c r="U89" s="188">
        <x:v>1</x:v>
      </x:c>
    </x:row>
    <x:row r="90" spans="2:21">
      <x:c r="B90" s="46" t="s">
        <x:v>546</x:v>
      </x:c>
      <x:c r="C90" s="60" t="s">
        <x:v>2393</x:v>
      </x:c>
      <x:c r="D90" s="60"/>
      <x:c r="E90" s="148">
        <x:v>146</x:v>
      </x:c>
      <x:c r="F90" s="148">
        <x:v>162</x:v>
      </x:c>
      <x:c r="G90" s="148">
        <x:v>146</x:v>
      </x:c>
      <x:c r="H90" s="148">
        <x:v>131</x:v>
      </x:c>
      <x:c r="I90" s="148">
        <x:v>134</x:v>
      </x:c>
      <x:c r="J90" s="148">
        <x:v>144</x:v>
      </x:c>
      <x:c r="K90" s="148">
        <x:v>129</x:v>
      </x:c>
      <x:c r="L90" s="148">
        <x:v>95</x:v>
      </x:c>
      <x:c r="M90" s="148">
        <x:v>77</x:v>
      </x:c>
      <x:c r="N90" s="148">
        <x:v>80</x:v>
      </x:c>
      <x:c r="O90" s="148">
        <x:v>86</x:v>
      </x:c>
      <x:c r="P90" s="148">
        <x:v>93</x:v>
      </x:c>
      <x:c r="Q90" s="148">
        <x:v>93</x:v>
      </x:c>
      <x:c r="U90" s="189">
        <x:f>IF(COUNT(E90:Q90)&lt;&gt;0,1,"")</x:f>
        <x:v>1</x:v>
      </x:c>
    </x:row>
    <x:row r="91" spans="2:21">
      <x:c r="B91" s="63" t="s">
        <x:v>2147</x:v>
      </x:c>
      <x:c r="C91" s="60" t="s">
        <x:v>2142</x:v>
      </x:c>
      <x:c r="D91" s="60"/>
      <x:c r="E91" s="147">
        <x:v>12014</x:v>
      </x:c>
      <x:c r="F91" s="147">
        <x:v>14424</x:v>
      </x:c>
      <x:c r="G91" s="147">
        <x:v>18392</x:v>
      </x:c>
      <x:c r="H91" s="147">
        <x:v>17725</x:v>
      </x:c>
      <x:c r="I91" s="147">
        <x:v>16930</x:v>
      </x:c>
      <x:c r="J91" s="147">
        <x:v>20985</x:v>
      </x:c>
      <x:c r="K91" s="147">
        <x:v>20726</x:v>
      </x:c>
      <x:c r="L91" s="147">
        <x:v>18996</x:v>
      </x:c>
      <x:c r="M91" s="147">
        <x:v>22021</x:v>
      </x:c>
      <x:c r="N91" s="147">
        <x:v>22613</x:v>
      </x:c>
      <x:c r="O91" s="147">
        <x:v>27393</x:v>
      </x:c>
      <x:c r="P91" s="147">
        <x:v>32741</x:v>
      </x:c>
      <x:c r="Q91" s="147">
        <x:v>32741</x:v>
      </x:c>
      <x:c r="U91" s="188">
        <x:v>1</x:v>
      </x:c>
    </x:row>
    <x:row r="92" spans="2:21">
      <x:c r="B92" s="46"/>
      <x:c r="C92" s="60" t="s">
        <x:v>798</x:v>
      </x:c>
      <x:c r="D92" s="60"/>
      <x:c r="E92" s="62"/>
      <x:c r="F92" s="62"/>
      <x:c r="G92" s="62"/>
      <x:c r="H92" s="62"/>
      <x:c r="I92" s="62"/>
      <x:c r="J92" s="62"/>
      <x:c r="K92" s="62"/>
      <x:c r="L92" s="62"/>
      <x:c r="M92" s="62"/>
      <x:c r="N92" s="62"/>
      <x:c r="O92" s="62"/>
      <x:c r="P92" s="62"/>
      <x:c r="Q92" s="62"/>
      <x:c r="U92" s="188">
        <x:v>1</x:v>
      </x:c>
    </x:row>
    <x:row r="93" spans="2:21" ht="12">
      <x:c r="B93" s="63" t="s">
        <x:v>1202</x:v>
      </x:c>
      <x:c r="C93" s="60" t="s">
        <x:v>2437</x:v>
      </x:c>
      <x:c r="D93" s="60"/>
      <x:c r="E93" s="146">
        <x:v>117271</x:v>
      </x:c>
      <x:c r="F93" s="146">
        <x:v>110495</x:v>
      </x:c>
      <x:c r="G93" s="146">
        <x:v>117470</x:v>
      </x:c>
      <x:c r="H93" s="146">
        <x:v>125356</x:v>
      </x:c>
      <x:c r="I93" s="146">
        <x:v>123382</x:v>
      </x:c>
      <x:c r="J93" s="146">
        <x:v>152186</x:v>
      </x:c>
      <x:c r="K93" s="146">
        <x:v>155971</x:v>
      </x:c>
      <x:c r="L93" s="146">
        <x:v>132001</x:v>
      </x:c>
      <x:c r="M93" s="146">
        <x:v>127243</x:v>
      </x:c>
      <x:c r="N93" s="146">
        <x:v>135241</x:v>
      </x:c>
      <x:c r="O93" s="146">
        <x:v>137175</x:v>
      </x:c>
      <x:c r="P93" s="146">
        <x:v>151880</x:v>
      </x:c>
      <x:c r="Q93" s="146">
        <x:v>151880</x:v>
      </x:c>
      <x:c r="U93" s="188">
        <x:v>1</x:v>
      </x:c>
    </x:row>
    <x:row r="94" spans="2:21" ht="12">
      <x:c r="B94" s="46"/>
      <x:c r="C94" s="60" t="s">
        <x:v>798</x:v>
      </x:c>
      <x:c r="D94" s="60"/>
      <x:c r="E94" s="79"/>
      <x:c r="F94" s="79"/>
      <x:c r="G94" s="79"/>
      <x:c r="H94" s="79"/>
      <x:c r="I94" s="79"/>
      <x:c r="J94" s="79"/>
      <x:c r="K94" s="79"/>
      <x:c r="L94" s="79"/>
      <x:c r="M94" s="79"/>
      <x:c r="N94" s="79"/>
      <x:c r="O94" s="79"/>
      <x:c r="P94" s="79"/>
      <x:c r="Q94" s="79"/>
      <x:c r="U94" s="188">
        <x:v>1</x:v>
      </x:c>
    </x:row>
    <x:row r="95" spans="3:21">
      <x:c r="C95" s="60" t="s">
        <x:v>798</x:v>
      </x:c>
      <x:c r="D95" s="60"/>
      <x:c r="E95" s="253" t="str">
        <x:f>Key_Stats!$T$11</x:f>
        <x:v>Fiscal Year Ended,</x:v>
      </x:c>
      <x:c r="F95" s="254"/>
      <x:c r="G95" s="254"/>
      <x:c r="H95" s="254"/>
      <x:c r="I95" s="254"/>
      <x:c r="J95" s="254"/>
      <x:c r="K95" s="254"/>
      <x:c r="L95" s="254"/>
      <x:c r="M95" s="254"/>
      <x:c r="N95" s="254"/>
      <x:c r="O95" s="254"/>
      <x:c r="P95" s="254"/>
      <x:c r="Q95" s="161" t="s">
        <x:v>811</x:v>
      </x:c>
      <x:c r="U95" s="188">
        <x:v>1</x:v>
      </x:c>
    </x:row>
    <x:row r="96" spans="2:21">
      <x:c r="B96" s="61"/>
      <x:c r="C96" s="60" t="s">
        <x:v>2085</x:v>
      </x:c>
      <x:c r="D96" s="60"/>
      <x:c r="E96" s="144">
        <x:v>42004</x:v>
      </x:c>
      <x:c r="F96" s="144">
        <x:v>42369</x:v>
      </x:c>
      <x:c r="G96" s="144">
        <x:v>42735</x:v>
      </x:c>
      <x:c r="H96" s="144">
        <x:v>43100</x:v>
      </x:c>
      <x:c r="I96" s="144">
        <x:v>43465</x:v>
      </x:c>
      <x:c r="J96" s="144">
        <x:v>43830</x:v>
      </x:c>
      <x:c r="K96" s="144">
        <x:v>44196</x:v>
      </x:c>
      <x:c r="L96" s="144">
        <x:v>44561</x:v>
      </x:c>
      <x:c r="M96" s="144">
        <x:v>44926</x:v>
      </x:c>
      <x:c r="N96" s="144">
        <x:v>45291</x:v>
      </x:c>
      <x:c r="O96" s="144">
        <x:v>45657</x:v>
      </x:c>
      <x:c r="P96" s="144">
        <x:v>46022</x:v>
      </x:c>
      <x:c r="Q96" s="144">
        <x:v>46022</x:v>
      </x:c>
      <x:c r="U96" s="188">
        <x:v>1</x:v>
      </x:c>
    </x:row>
    <x:row r="97" spans="2:21">
      <x:c r="B97" s="61" t="str">
        <x:f>INDEX('[2]Language Index'!$A$8:$A$9906,MATCH("IFRS 16 / ASC 842 Items",'[2]Language Index'!$B$8:$B$9906,0))</x:f>
        <x:v>IFRS 16 / ASC 842 Items</x:v>
      </x:c>
      <x:c r="C97" s="60" t="s">
        <x:v>798</x:v>
      </x:c>
      <x:c r="D97" s="60"/>
      <x:c r="E97" s="65"/>
      <x:c r="F97" s="65"/>
      <x:c r="G97" s="165"/>
      <x:c r="H97" s="165"/>
      <x:c r="I97" s="165"/>
      <x:c r="J97" s="165"/>
      <x:c r="K97" s="165"/>
      <x:c r="L97" s="165"/>
      <x:c r="M97" s="165"/>
      <x:c r="N97" s="165"/>
      <x:c r="O97" s="165"/>
      <x:c r="P97" s="165"/>
      <x:c r="Q97" s="165"/>
      <x:c r="U97" s="188">
        <x:v>1</x:v>
      </x:c>
    </x:row>
    <x:row r="98" spans="2:21">
      <x:c r="B98" s="46" t="s">
        <x:v>1616</x:v>
      </x:c>
      <x:c r="C98" s="60" t="s">
        <x:v>2144</x:v>
      </x:c>
      <x:c r="D98" s="60"/>
      <x:c r="E98" s="65" t="s">
        <x:v>818</x:v>
      </x:c>
      <x:c r="F98" s="65" t="s">
        <x:v>818</x:v>
      </x:c>
      <x:c r="G98" s="165" t="s">
        <x:v>818</x:v>
      </x:c>
      <x:c r="H98" s="165" t="s">
        <x:v>818</x:v>
      </x:c>
      <x:c r="I98" s="165" t="s">
        <x:v>818</x:v>
      </x:c>
      <x:c r="J98" s="165" t="s">
        <x:v>818</x:v>
      </x:c>
      <x:c r="K98" s="165" t="s">
        <x:v>818</x:v>
      </x:c>
      <x:c r="L98" s="165" t="s">
        <x:v>818</x:v>
      </x:c>
      <x:c r="M98" s="165" t="s">
        <x:v>818</x:v>
      </x:c>
      <x:c r="N98" s="165" t="s">
        <x:v>818</x:v>
      </x:c>
      <x:c r="O98" s="165" t="s">
        <x:v>818</x:v>
      </x:c>
      <x:c r="P98" s="165" t="s">
        <x:v>818</x:v>
      </x:c>
      <x:c r="Q98" s="165" t="s">
        <x:v>818</x:v>
      </x:c>
      <x:c r="U98" s="188"/>
    </x:row>
    <x:row r="99" spans="2:21">
      <x:c r="B99" s="46" t="s">
        <x:v>116</x:v>
      </x:c>
      <x:c r="C99" s="60" t="s">
        <x:v>517</x:v>
      </x:c>
      <x:c r="D99" s="60"/>
      <x:c r="E99" s="65" t="s">
        <x:v>818</x:v>
      </x:c>
      <x:c r="F99" s="65" t="s">
        <x:v>818</x:v>
      </x:c>
      <x:c r="G99" s="165" t="s">
        <x:v>818</x:v>
      </x:c>
      <x:c r="H99" s="165" t="s">
        <x:v>818</x:v>
      </x:c>
      <x:c r="I99" s="165" t="s">
        <x:v>818</x:v>
      </x:c>
      <x:c r="J99" s="165" t="s">
        <x:v>818</x:v>
      </x:c>
      <x:c r="K99" s="165" t="s">
        <x:v>818</x:v>
      </x:c>
      <x:c r="L99" s="165" t="s">
        <x:v>818</x:v>
      </x:c>
      <x:c r="M99" s="165" t="s">
        <x:v>818</x:v>
      </x:c>
      <x:c r="N99" s="165" t="s">
        <x:v>818</x:v>
      </x:c>
      <x:c r="O99" s="165" t="s">
        <x:v>818</x:v>
      </x:c>
      <x:c r="P99" s="165" t="s">
        <x:v>818</x:v>
      </x:c>
      <x:c r="Q99" s="165" t="s">
        <x:v>818</x:v>
      </x:c>
      <x:c r="U99" s="188"/>
    </x:row>
    <x:row r="100" spans="2:21">
      <x:c r="B100" s="46" t="s">
        <x:v>2436</x:v>
      </x:c>
      <x:c r="C100" s="60" t="s">
        <x:v>1285</x:v>
      </x:c>
      <x:c r="D100" s="60"/>
      <x:c r="E100" s="65" t="s">
        <x:v>818</x:v>
      </x:c>
      <x:c r="F100" s="65" t="s">
        <x:v>818</x:v>
      </x:c>
      <x:c r="G100" s="165" t="s">
        <x:v>818</x:v>
      </x:c>
      <x:c r="H100" s="165" t="s">
        <x:v>818</x:v>
      </x:c>
      <x:c r="I100" s="165" t="s">
        <x:v>818</x:v>
      </x:c>
      <x:c r="J100" s="165" t="s">
        <x:v>818</x:v>
      </x:c>
      <x:c r="K100" s="165" t="s">
        <x:v>818</x:v>
      </x:c>
      <x:c r="L100" s="165" t="s">
        <x:v>818</x:v>
      </x:c>
      <x:c r="M100" s="165" t="s">
        <x:v>818</x:v>
      </x:c>
      <x:c r="N100" s="165" t="s">
        <x:v>818</x:v>
      </x:c>
      <x:c r="O100" s="165" t="s">
        <x:v>818</x:v>
      </x:c>
      <x:c r="P100" s="165" t="s">
        <x:v>818</x:v>
      </x:c>
      <x:c r="Q100" s="165" t="s">
        <x:v>818</x:v>
      </x:c>
      <x:c r="U100" s="188"/>
    </x:row>
    <x:row r="101" spans="2:21">
      <x:c r="B101" s="46" t="s">
        <x:v>238</x:v>
      </x:c>
      <x:c r="C101" s="60" t="s">
        <x:v>1620</x:v>
      </x:c>
      <x:c r="D101" s="60"/>
      <x:c r="E101" s="65" t="s">
        <x:v>818</x:v>
      </x:c>
      <x:c r="F101" s="65" t="s">
        <x:v>818</x:v>
      </x:c>
      <x:c r="G101" s="165" t="s">
        <x:v>818</x:v>
      </x:c>
      <x:c r="H101" s="165" t="s">
        <x:v>818</x:v>
      </x:c>
      <x:c r="I101" s="165" t="s">
        <x:v>818</x:v>
      </x:c>
      <x:c r="J101" s="165" t="s">
        <x:v>818</x:v>
      </x:c>
      <x:c r="K101" s="165" t="s">
        <x:v>818</x:v>
      </x:c>
      <x:c r="L101" s="165" t="s">
        <x:v>818</x:v>
      </x:c>
      <x:c r="M101" s="165" t="s">
        <x:v>818</x:v>
      </x:c>
      <x:c r="N101" s="165" t="s">
        <x:v>818</x:v>
      </x:c>
      <x:c r="O101" s="165" t="s">
        <x:v>818</x:v>
      </x:c>
      <x:c r="P101" s="165" t="s">
        <x:v>818</x:v>
      </x:c>
      <x:c r="Q101" s="165" t="s">
        <x:v>818</x:v>
      </x:c>
      <x:c r="U101" s="188"/>
    </x:row>
    <x:row r="102" spans="2:21">
      <x:c r="B102" s="46" t="s">
        <x:v>35</x:v>
      </x:c>
      <x:c r="C102" s="60" t="s">
        <x:v>1203</x:v>
      </x:c>
      <x:c r="D102" s="60"/>
      <x:c r="E102" s="65" t="s">
        <x:v>818</x:v>
      </x:c>
      <x:c r="F102" s="65" t="s">
        <x:v>818</x:v>
      </x:c>
      <x:c r="G102" s="165" t="s">
        <x:v>818</x:v>
      </x:c>
      <x:c r="H102" s="165" t="s">
        <x:v>818</x:v>
      </x:c>
      <x:c r="I102" s="165" t="s">
        <x:v>818</x:v>
      </x:c>
      <x:c r="J102" s="165" t="s">
        <x:v>818</x:v>
      </x:c>
      <x:c r="K102" s="165" t="s">
        <x:v>818</x:v>
      </x:c>
      <x:c r="L102" s="165" t="s">
        <x:v>818</x:v>
      </x:c>
      <x:c r="M102" s="165" t="s">
        <x:v>818</x:v>
      </x:c>
      <x:c r="N102" s="165" t="s">
        <x:v>818</x:v>
      </x:c>
      <x:c r="O102" s="165" t="s">
        <x:v>818</x:v>
      </x:c>
      <x:c r="P102" s="165" t="s">
        <x:v>818</x:v>
      </x:c>
      <x:c r="Q102" s="165" t="s">
        <x:v>818</x:v>
      </x:c>
      <x:c r="U102" s="188"/>
    </x:row>
    <x:row r="103" spans="2:21">
      <x:c r="B103" s="46" t="s">
        <x:v>228</x:v>
      </x:c>
      <x:c r="C103" s="60" t="s">
        <x:v>1609</x:v>
      </x:c>
      <x:c r="D103" s="60"/>
      <x:c r="E103" s="65" t="s">
        <x:v>818</x:v>
      </x:c>
      <x:c r="F103" s="65" t="s">
        <x:v>818</x:v>
      </x:c>
      <x:c r="G103" s="165" t="s">
        <x:v>818</x:v>
      </x:c>
      <x:c r="H103" s="165" t="s">
        <x:v>818</x:v>
      </x:c>
      <x:c r="I103" s="165" t="s">
        <x:v>818</x:v>
      </x:c>
      <x:c r="J103" s="165" t="s">
        <x:v>818</x:v>
      </x:c>
      <x:c r="K103" s="165" t="s">
        <x:v>818</x:v>
      </x:c>
      <x:c r="L103" s="165" t="s">
        <x:v>818</x:v>
      </x:c>
      <x:c r="M103" s="165" t="s">
        <x:v>818</x:v>
      </x:c>
      <x:c r="N103" s="165" t="s">
        <x:v>818</x:v>
      </x:c>
      <x:c r="O103" s="165" t="s">
        <x:v>818</x:v>
      </x:c>
      <x:c r="P103" s="165" t="s">
        <x:v>818</x:v>
      </x:c>
      <x:c r="Q103" s="165" t="s">
        <x:v>818</x:v>
      </x:c>
      <x:c r="U103" s="188"/>
    </x:row>
    <x:row r="104" spans="2:21">
      <x:c r="B104" s="46" t="s">
        <x:v>123</x:v>
      </x:c>
      <x:c r="C104" s="60" t="s">
        <x:v>1204</x:v>
      </x:c>
      <x:c r="D104" s="60"/>
      <x:c r="E104" s="65" t="s">
        <x:v>818</x:v>
      </x:c>
      <x:c r="F104" s="65" t="s">
        <x:v>818</x:v>
      </x:c>
      <x:c r="G104" s="165" t="s">
        <x:v>818</x:v>
      </x:c>
      <x:c r="H104" s="165" t="s">
        <x:v>818</x:v>
      </x:c>
      <x:c r="I104" s="165" t="s">
        <x:v>818</x:v>
      </x:c>
      <x:c r="J104" s="165">
        <x:v>4996</x:v>
      </x:c>
      <x:c r="K104" s="165">
        <x:v>3566</x:v>
      </x:c>
      <x:c r="L104" s="165">
        <x:v>3222</x:v>
      </x:c>
      <x:c r="M104" s="165">
        <x:v>2878</x:v>
      </x:c>
      <x:c r="N104" s="165">
        <x:v>3220</x:v>
      </x:c>
      <x:c r="O104" s="165">
        <x:v>3197</x:v>
      </x:c>
      <x:c r="P104" s="165" t="s">
        <x:v>818</x:v>
      </x:c>
      <x:c r="Q104" s="165" t="s">
        <x:v>818</x:v>
      </x:c>
      <x:c r="U104" s="188"/>
    </x:row>
    <x:row r="105" spans="2:21">
      <x:c r="B105" s="46" t="s">
        <x:v>46</x:v>
      </x:c>
      <x:c r="C105" s="60" t="s">
        <x:v>724</x:v>
      </x:c>
      <x:c r="D105" s="60"/>
      <x:c r="E105" s="65" t="s">
        <x:v>818</x:v>
      </x:c>
      <x:c r="F105" s="65" t="s">
        <x:v>818</x:v>
      </x:c>
      <x:c r="G105" s="165" t="s">
        <x:v>818</x:v>
      </x:c>
      <x:c r="H105" s="165" t="s">
        <x:v>818</x:v>
      </x:c>
      <x:c r="I105" s="165" t="s">
        <x:v>818</x:v>
      </x:c>
      <x:c r="J105" s="165" t="s">
        <x:v>818</x:v>
      </x:c>
      <x:c r="K105" s="165" t="s">
        <x:v>818</x:v>
      </x:c>
      <x:c r="L105" s="165" t="s">
        <x:v>818</x:v>
      </x:c>
      <x:c r="M105" s="165" t="s">
        <x:v>818</x:v>
      </x:c>
      <x:c r="N105" s="165" t="s">
        <x:v>818</x:v>
      </x:c>
      <x:c r="O105" s="165" t="s">
        <x:v>818</x:v>
      </x:c>
      <x:c r="P105" s="165" t="s">
        <x:v>818</x:v>
      </x:c>
      <x:c r="Q105" s="165" t="s">
        <x:v>818</x:v>
      </x:c>
      <x:c r="U105" s="188"/>
    </x:row>
    <x:row r="106" spans="2:21">
      <x:c r="B106" s="46" t="s">
        <x:v>222</x:v>
      </x:c>
      <x:c r="C106" s="60" t="s">
        <x:v>1621</x:v>
      </x:c>
      <x:c r="D106" s="60"/>
      <x:c r="E106" s="65" t="s">
        <x:v>818</x:v>
      </x:c>
      <x:c r="F106" s="65" t="s">
        <x:v>818</x:v>
      </x:c>
      <x:c r="G106" s="165" t="s">
        <x:v>818</x:v>
      </x:c>
      <x:c r="H106" s="165" t="s">
        <x:v>818</x:v>
      </x:c>
      <x:c r="I106" s="165" t="s">
        <x:v>818</x:v>
      </x:c>
      <x:c r="J106" s="165" t="s">
        <x:v>818</x:v>
      </x:c>
      <x:c r="K106" s="165" t="s">
        <x:v>818</x:v>
      </x:c>
      <x:c r="L106" s="165" t="s">
        <x:v>818</x:v>
      </x:c>
      <x:c r="M106" s="165" t="s">
        <x:v>818</x:v>
      </x:c>
      <x:c r="N106" s="165" t="s">
        <x:v>818</x:v>
      </x:c>
      <x:c r="O106" s="165" t="s">
        <x:v>818</x:v>
      </x:c>
      <x:c r="P106" s="165">
        <x:v>3129</x:v>
      </x:c>
      <x:c r="Q106" s="165">
        <x:v>3129</x:v>
      </x:c>
      <x:c r="U106" s="188"/>
    </x:row>
    <x:row r="107" spans="2:21">
      <x:c r="B107" s="46" t="s">
        <x:v>714</x:v>
      </x:c>
      <x:c r="C107" s="60" t="s">
        <x:v>1622</x:v>
      </x:c>
      <x:c r="D107" s="60"/>
      <x:c r="E107" s="65">
        <x:v>39034</x:v>
      </x:c>
      <x:c r="F107" s="65">
        <x:v>29343</x:v>
      </x:c>
      <x:c r="G107" s="165">
        <x:v>30133</x:v>
      </x:c>
      <x:c r="H107" s="165">
        <x:v>32331</x:v>
      </x:c>
      <x:c r="I107" s="165">
        <x:v>32460</x:v>
      </x:c>
      <x:c r="J107" s="165">
        <x:v>32028</x:v>
      </x:c>
      <x:c r="K107" s="165">
        <x:v>20101</x:v>
      </x:c>
      <x:c r="L107" s="165">
        <x:v>20084</x:v>
      </x:c>
      <x:c r="M107" s="165">
        <x:v>18695</x:v>
      </x:c>
      <x:c r="N107" s="165">
        <x:v>18122</x:v>
      </x:c>
      <x:c r="O107" s="165">
        <x:v>17691</x:v>
      </x:c>
      <x:c r="P107" s="165" t="s">
        <x:v>818</x:v>
      </x:c>
      <x:c r="Q107" s="165" t="s">
        <x:v>818</x:v>
      </x:c>
      <x:c r="U107" s="188"/>
    </x:row>
    <x:row r="108" spans="2:21">
      <x:c r="B108" s="46" t="s">
        <x:v>182</x:v>
      </x:c>
      <x:c r="C108" s="60" t="s">
        <x:v>2444</x:v>
      </x:c>
      <x:c r="D108" s="60"/>
      <x:c r="E108" s="65">
        <x:v>-28263</x:v>
      </x:c>
      <x:c r="F108" s="65">
        <x:v>-18616</x:v>
      </x:c>
      <x:c r="G108" s="165">
        <x:v>-19303</x:v>
      </x:c>
      <x:c r="H108" s="165">
        <x:v>-21215</x:v>
      </x:c>
      <x:c r="I108" s="165">
        <x:v>-21668</x:v>
      </x:c>
      <x:c r="J108" s="165">
        <x:v>-22018</x:v>
      </x:c>
      <x:c r="K108" s="165">
        <x:v>-13896</x:v>
      </x:c>
      <x:c r="L108" s="165">
        <x:v>-14390</x:v>
      </x:c>
      <x:c r="M108" s="165">
        <x:v>-13361</x:v>
      </x:c>
      <x:c r="N108" s="165">
        <x:v>-12621</x:v>
      </x:c>
      <x:c r="O108" s="165">
        <x:v>-11959</x:v>
      </x:c>
      <x:c r="P108" s="165" t="s">
        <x:v>818</x:v>
      </x:c>
      <x:c r="Q108" s="165" t="s">
        <x:v>818</x:v>
      </x:c>
      <x:c r="U108" s="188"/>
    </x:row>
    <x:row r="109" spans="2:21">
      <x:c r="B109" s="46" t="s">
        <x:v>721</x:v>
      </x:c>
      <x:c r="C109" s="60" t="s">
        <x:v>1597</x:v>
      </x:c>
      <x:c r="D109" s="60"/>
      <x:c r="E109" s="65">
        <x:v>10771</x:v>
      </x:c>
      <x:c r="F109" s="65">
        <x:v>10727</x:v>
      </x:c>
      <x:c r="G109" s="165">
        <x:v>10830</x:v>
      </x:c>
      <x:c r="H109" s="165">
        <x:v>11116</x:v>
      </x:c>
      <x:c r="I109" s="165">
        <x:v>10792</x:v>
      </x:c>
      <x:c r="J109" s="165">
        <x:v>10010</x:v>
      </x:c>
      <x:c r="K109" s="165">
        <x:v>6205</x:v>
      </x:c>
      <x:c r="L109" s="165">
        <x:v>5694</x:v>
      </x:c>
      <x:c r="M109" s="165">
        <x:v>5334</x:v>
      </x:c>
      <x:c r="N109" s="165">
        <x:v>5501</x:v>
      </x:c>
      <x:c r="O109" s="165">
        <x:v>5732</x:v>
      </x:c>
      <x:c r="P109" s="165">
        <x:v>5899</x:v>
      </x:c>
      <x:c r="Q109" s="165">
        <x:v>5899</x:v>
      </x:c>
      <x:c r="U109" s="188"/>
    </x:row>
    <x:row r="110" spans="2:21">
      <x:c r="B110" s="46" t="s">
        <x:v>2438</x:v>
      </x:c>
      <x:c r="C110" s="60" t="s">
        <x:v>1624</x:v>
      </x:c>
      <x:c r="D110" s="60"/>
      <x:c r="E110" s="65" t="s">
        <x:v>818</x:v>
      </x:c>
      <x:c r="F110" s="65" t="s">
        <x:v>818</x:v>
      </x:c>
      <x:c r="G110" s="165" t="s">
        <x:v>818</x:v>
      </x:c>
      <x:c r="H110" s="165" t="s">
        <x:v>818</x:v>
      </x:c>
      <x:c r="I110" s="165">
        <x:v>3</x:v>
      </x:c>
      <x:c r="J110" s="165">
        <x:v>52</x:v>
      </x:c>
      <x:c r="K110" s="165">
        <x:v>30</x:v>
      </x:c>
      <x:c r="L110" s="165">
        <x:v>36</x:v>
      </x:c>
      <x:c r="M110" s="165">
        <x:v>75</x:v>
      </x:c>
      <x:c r="N110" s="165">
        <x:v>121</x:v>
      </x:c>
      <x:c r="O110" s="165">
        <x:v>198</x:v>
      </x:c>
      <x:c r="P110" s="165" t="s">
        <x:v>818</x:v>
      </x:c>
      <x:c r="Q110" s="165" t="s">
        <x:v>818</x:v>
      </x:c>
      <x:c r="U110" s="188"/>
    </x:row>
    <x:row r="111" spans="2:21">
      <x:c r="B111" s="46" t="s">
        <x:v>1625</x:v>
      </x:c>
      <x:c r="C111" s="60" t="s">
        <x:v>1626</x:v>
      </x:c>
      <x:c r="D111" s="60"/>
      <x:c r="E111" s="65" t="s">
        <x:v>818</x:v>
      </x:c>
      <x:c r="F111" s="65" t="s">
        <x:v>818</x:v>
      </x:c>
      <x:c r="G111" s="165" t="s">
        <x:v>818</x:v>
      </x:c>
      <x:c r="H111" s="165" t="s">
        <x:v>818</x:v>
      </x:c>
      <x:c r="I111" s="165">
        <x:v>38</x:v>
      </x:c>
      <x:c r="J111" s="165">
        <x:v>151</x:v>
      </x:c>
      <x:c r="K111" s="165">
        <x:v>60</x:v>
      </x:c>
      <x:c r="L111" s="165">
        <x:v>63</x:v>
      </x:c>
      <x:c r="M111" s="165">
        <x:v>164</x:v>
      </x:c>
      <x:c r="N111" s="165">
        <x:v>379</x:v>
      </x:c>
      <x:c r="O111" s="165">
        <x:v>803</x:v>
      </x:c>
      <x:c r="P111" s="165" t="s">
        <x:v>818</x:v>
      </x:c>
      <x:c r="Q111" s="165" t="s">
        <x:v>818</x:v>
      </x:c>
      <x:c r="U111" s="188"/>
    </x:row>
    <x:row r="112" spans="2:21">
      <x:c r="B112" s="46" t="s">
        <x:v>2439</x:v>
      </x:c>
      <x:c r="C112" s="60" t="s">
        <x:v>2442</x:v>
      </x:c>
      <x:c r="D112" s="60"/>
      <x:c r="E112" s="65" t="s">
        <x:v>818</x:v>
      </x:c>
      <x:c r="F112" s="65" t="s">
        <x:v>818</x:v>
      </x:c>
      <x:c r="G112" s="165" t="s">
        <x:v>818</x:v>
      </x:c>
      <x:c r="H112" s="165" t="s">
        <x:v>818</x:v>
      </x:c>
      <x:c r="I112" s="165">
        <x:v>41</x:v>
      </x:c>
      <x:c r="J112" s="165">
        <x:v>203</x:v>
      </x:c>
      <x:c r="K112" s="165">
        <x:v>90</x:v>
      </x:c>
      <x:c r="L112" s="165">
        <x:v>99</x:v>
      </x:c>
      <x:c r="M112" s="165">
        <x:v>239</x:v>
      </x:c>
      <x:c r="N112" s="165">
        <x:v>500</x:v>
      </x:c>
      <x:c r="O112" s="165">
        <x:v>1001</x:v>
      </x:c>
      <x:c r="P112" s="165" t="s">
        <x:v>818</x:v>
      </x:c>
      <x:c r="Q112" s="165" t="s">
        <x:v>818</x:v>
      </x:c>
      <x:c r="U112" s="188"/>
    </x:row>
    <x:row r="113" spans="2:21">
      <x:c r="B113" s="46" t="s">
        <x:v>108</x:v>
      </x:c>
      <x:c r="C113" s="60" t="s">
        <x:v>342</x:v>
      </x:c>
      <x:c r="D113" s="60"/>
      <x:c r="E113" s="65" t="s">
        <x:v>818</x:v>
      </x:c>
      <x:c r="F113" s="65" t="s">
        <x:v>818</x:v>
      </x:c>
      <x:c r="G113" s="165" t="s">
        <x:v>818</x:v>
      </x:c>
      <x:c r="H113" s="165" t="s">
        <x:v>818</x:v>
      </x:c>
      <x:c r="I113" s="165" t="s">
        <x:v>818</x:v>
      </x:c>
      <x:c r="J113" s="165">
        <x:v>1380</x:v>
      </x:c>
      <x:c r="K113" s="165">
        <x:v>1035</x:v>
      </x:c>
      <x:c r="L113" s="165">
        <x:v>974</x:v>
      </x:c>
      <x:c r="M113" s="165">
        <x:v>874</x:v>
      </x:c>
      <x:c r="N113" s="165">
        <x:v>820</x:v>
      </x:c>
      <x:c r="O113" s="165">
        <x:v>768</x:v>
      </x:c>
      <x:c r="P113" s="165">
        <x:v>800</x:v>
      </x:c>
      <x:c r="Q113" s="165">
        <x:v>800</x:v>
      </x:c>
      <x:c r="U113" s="188"/>
    </x:row>
    <x:row r="114" spans="2:21">
      <x:c r="B114" s="46" t="s">
        <x:v>214</x:v>
      </x:c>
      <x:c r="C114" s="60" t="s">
        <x:v>1423</x:v>
      </x:c>
      <x:c r="D114" s="60"/>
      <x:c r="E114" s="65" t="s">
        <x:v>818</x:v>
      </x:c>
      <x:c r="F114" s="65" t="s">
        <x:v>818</x:v>
      </x:c>
      <x:c r="G114" s="165" t="s">
        <x:v>818</x:v>
      </x:c>
      <x:c r="H114" s="165" t="s">
        <x:v>818</x:v>
      </x:c>
      <x:c r="I114" s="165" t="s">
        <x:v>818</x:v>
      </x:c>
      <x:c r="J114" s="165">
        <x:v>3879</x:v>
      </x:c>
      <x:c r="K114" s="165">
        <x:v>2720</x:v>
      </x:c>
      <x:c r="L114" s="165">
        <x:v>2462</x:v>
      </x:c>
      <x:c r="M114" s="165">
        <x:v>2190</x:v>
      </x:c>
      <x:c r="N114" s="165">
        <x:v>2568</x:v>
      </x:c>
      <x:c r="O114" s="165">
        <x:v>2655</x:v>
      </x:c>
      <x:c r="P114" s="165">
        <x:v>2547</x:v>
      </x:c>
      <x:c r="Q114" s="165">
        <x:v>2547</x:v>
      </x:c>
      <x:c r="U114" s="188"/>
    </x:row>
    <x:row r="115" spans="2:21">
      <x:c r="B115" s="46" t="s">
        <x:v>2443</x:v>
      </x:c>
      <x:c r="C115" s="60" t="s">
        <x:v>2452</x:v>
      </x:c>
      <x:c r="D115" s="60"/>
      <x:c r="E115" s="65" t="s">
        <x:v>818</x:v>
      </x:c>
      <x:c r="F115" s="65" t="s">
        <x:v>818</x:v>
      </x:c>
      <x:c r="G115" s="165" t="s">
        <x:v>818</x:v>
      </x:c>
      <x:c r="H115" s="165" t="s">
        <x:v>818</x:v>
      </x:c>
      <x:c r="I115" s="165" t="s">
        <x:v>818</x:v>
      </x:c>
      <x:c r="J115" s="165">
        <x:v>5259</x:v>
      </x:c>
      <x:c r="K115" s="165">
        <x:v>3755</x:v>
      </x:c>
      <x:c r="L115" s="165">
        <x:v>3436</x:v>
      </x:c>
      <x:c r="M115" s="165">
        <x:v>3064</x:v>
      </x:c>
      <x:c r="N115" s="165">
        <x:v>3388</x:v>
      </x:c>
      <x:c r="O115" s="165">
        <x:v>3423</x:v>
      </x:c>
      <x:c r="P115" s="165">
        <x:v>3347</x:v>
      </x:c>
      <x:c r="Q115" s="165">
        <x:v>3347</x:v>
      </x:c>
      <x:c r="U115" s="188"/>
    </x:row>
    <x:row r="116" spans="2:21">
      <x:c r="B116" s="46" t="s">
        <x:v>2165</x:v>
      </x:c>
      <x:c r="C116" s="60" t="s">
        <x:v>2186</x:v>
      </x:c>
      <x:c r="D116" s="60"/>
      <x:c r="E116" s="65" t="s">
        <x:v>818</x:v>
      </x:c>
      <x:c r="F116" s="65" t="s">
        <x:v>818</x:v>
      </x:c>
      <x:c r="G116" s="165" t="s">
        <x:v>818</x:v>
      </x:c>
      <x:c r="H116" s="165" t="s">
        <x:v>818</x:v>
      </x:c>
      <x:c r="I116" s="165">
        <x:v>41</x:v>
      </x:c>
      <x:c r="J116" s="165">
        <x:v>5462</x:v>
      </x:c>
      <x:c r="K116" s="165">
        <x:v>3845</x:v>
      </x:c>
      <x:c r="L116" s="165">
        <x:v>3535</x:v>
      </x:c>
      <x:c r="M116" s="165">
        <x:v>3303</x:v>
      </x:c>
      <x:c r="N116" s="165">
        <x:v>3888</x:v>
      </x:c>
      <x:c r="O116" s="165">
        <x:v>4424</x:v>
      </x:c>
      <x:c r="P116" s="165">
        <x:v>3347</x:v>
      </x:c>
      <x:c r="Q116" s="165">
        <x:v>3347</x:v>
      </x:c>
      <x:c r="U116" s="188"/>
    </x:row>
    <x:row r="117" spans="2:21">
      <x:c r="B117" s="46" t="s">
        <x:v>706</x:v>
      </x:c>
      <x:c r="C117" s="60" t="s">
        <x:v>1205</x:v>
      </x:c>
      <x:c r="D117" s="60"/>
      <x:c r="E117" s="65">
        <x:v>40722</x:v>
      </x:c>
      <x:c r="F117" s="65">
        <x:v>39892</x:v>
      </x:c>
      <x:c r="G117" s="165">
        <x:v>42176</x:v>
      </x:c>
      <x:c r="H117" s="165">
        <x:v>46858</x:v>
      </x:c>
      <x:c r="I117" s="165">
        <x:v>45812</x:v>
      </x:c>
      <x:c r="J117" s="165">
        <x:v>62899</x:v>
      </x:c>
      <x:c r="K117" s="165">
        <x:v>61333</x:v>
      </x:c>
      <x:c r="L117" s="165">
        <x:v>51704</x:v>
      </x:c>
      <x:c r="M117" s="165">
        <x:v>50949</x:v>
      </x:c>
      <x:c r="N117" s="165">
        <x:v>56547</x:v>
      </x:c>
      <x:c r="O117" s="165">
        <x:v>54973</x:v>
      </x:c>
      <x:c r="P117" s="165">
        <x:v>61260</x:v>
      </x:c>
      <x:c r="Q117" s="165">
        <x:v>61260</x:v>
      </x:c>
      <x:c r="U117" s="188"/>
    </x:row>
    <x:row r="118" spans="2:21">
      <x:c r="B118" s="46" t="s">
        <x:v>1598</x:v>
      </x:c>
      <x:c r="C118" s="60" t="s">
        <x:v>1610</x:v>
      </x:c>
      <x:c r="D118" s="60"/>
      <x:c r="E118" s="65">
        <x:v>40722</x:v>
      </x:c>
      <x:c r="F118" s="65">
        <x:v>39892</x:v>
      </x:c>
      <x:c r="G118" s="165">
        <x:v>42176</x:v>
      </x:c>
      <x:c r="H118" s="165">
        <x:v>46858</x:v>
      </x:c>
      <x:c r="I118" s="165">
        <x:v>45771</x:v>
      </x:c>
      <x:c r="J118" s="165">
        <x:v>62696</x:v>
      </x:c>
      <x:c r="K118" s="165">
        <x:v>61243</x:v>
      </x:c>
      <x:c r="L118" s="165">
        <x:v>51605</x:v>
      </x:c>
      <x:c r="M118" s="165">
        <x:v>50710</x:v>
      </x:c>
      <x:c r="N118" s="165">
        <x:v>56047</x:v>
      </x:c>
      <x:c r="O118" s="165">
        <x:v>53972</x:v>
      </x:c>
      <x:c r="P118" s="165">
        <x:v>61260</x:v>
      </x:c>
      <x:c r="Q118" s="165">
        <x:v>61260</x:v>
      </x:c>
      <x:c r="U118" s="188"/>
    </x:row>
    <x:row r="119" spans="2:21">
      <x:c r="B119" s="46"/>
      <x:c r="C119" s="60"/>
      <x:c r="D119" s="60"/>
      <x:c r="E119" s="69"/>
      <x:c r="F119" s="69"/>
      <x:c r="G119" s="161"/>
      <x:c r="H119" s="161"/>
      <x:c r="I119" s="161"/>
      <x:c r="J119" s="161"/>
      <x:c r="K119" s="161"/>
      <x:c r="L119" s="161"/>
      <x:c r="M119" s="161"/>
      <x:c r="N119" s="161"/>
      <x:c r="O119" s="161"/>
      <x:c r="P119" s="161"/>
      <x:c r="Q119" s="161"/>
      <x:c r="U119" s="188"/>
    </x:row>
    <x:row r="120" spans="2:21">
      <x:c r="B120" s="61" t="str">
        <x:f>INDEX('[2]Language Index'!$A$8:$A$9906,MATCH("Supplemental Items",'[2]Language Index'!$B$8:$B$9906,0))</x:f>
        <x:v>Supplemental Items</x:v>
      </x:c>
      <x:c r="C120" s="60"/>
      <x:c r="D120" s="60"/>
      <x:c r="E120" s="69"/>
      <x:c r="F120" s="69"/>
      <x:c r="G120" s="161"/>
      <x:c r="H120" s="161"/>
      <x:c r="I120" s="161"/>
      <x:c r="J120" s="161"/>
      <x:c r="K120" s="161"/>
      <x:c r="L120" s="161"/>
      <x:c r="M120" s="161"/>
      <x:c r="N120" s="161"/>
      <x:c r="O120" s="161"/>
      <x:c r="P120" s="161"/>
      <x:c r="Q120" s="161"/>
      <x:c r="U120" s="188"/>
    </x:row>
    <x:row r="121" spans="2:21">
      <x:c r="B121" s="46" t="s">
        <x:v>141</x:v>
      </x:c>
      <x:c r="C121" s="60" t="s">
        <x:v>1611</x:v>
      </x:c>
      <x:c r="D121" s="60"/>
      <x:c r="E121" s="62">
        <x:v>988424172</x:v>
      </x:c>
      <x:c r="F121" s="62">
        <x:v>960880915</x:v>
      </x:c>
      <x:c r="G121" s="62">
        <x:v>943212551</x:v>
      </x:c>
      <x:c r="H121" s="62">
        <x:v>921167894</x:v>
      </x:c>
      <x:c r="I121" s="62">
        <x:v>889866256</x:v>
      </x:c>
      <x:c r="J121" s="62">
        <x:v>887110454</x:v>
      </x:c>
      <x:c r="K121" s="62">
        <x:v>893594090</x:v>
      </x:c>
      <x:c r="L121" s="62">
        <x:v>899309986</x:v>
      </x:c>
      <x:c r="M121" s="62">
        <x:v>907105611</x:v>
      </x:c>
      <x:c r="N121" s="62">
        <x:v>916744848</x:v>
      </x:c>
      <x:c r="O121" s="62">
        <x:v>927264332</x:v>
      </x:c>
      <x:c r="P121" s="62">
        <x:v>936500000</x:v>
      </x:c>
      <x:c r="Q121" s="62">
        <x:v>936500000</x:v>
      </x:c>
      <x:c r="U121" s="189">
        <x:f t="shared" ref="U121:U128" si="4">IF(COUNT(E121:Q121)&lt;&gt;0,1,"")</x:f>
        <x:v>1</x:v>
      </x:c>
    </x:row>
    <x:row r="122" spans="2:21">
      <x:c r="B122" s="46" t="s">
        <x:v>203</x:v>
      </x:c>
      <x:c r="C122" s="60" t="s">
        <x:v>1595</x:v>
      </x:c>
      <x:c r="D122" s="60"/>
      <x:c r="E122" s="62">
        <x:v>990500000</x:v>
      </x:c>
      <x:c r="F122" s="62">
        <x:v>965728725</x:v>
      </x:c>
      <x:c r="G122" s="62">
        <x:v>945867403</x:v>
      </x:c>
      <x:c r="H122" s="62">
        <x:v>922179225</x:v>
      </x:c>
      <x:c r="I122" s="62">
        <x:v>892479411</x:v>
      </x:c>
      <x:c r="J122" s="62">
        <x:v>887110454</x:v>
      </x:c>
      <x:c r="K122" s="62">
        <x:v>892653424</x:v>
      </x:c>
      <x:c r="L122" s="62">
        <x:v>898068599</x:v>
      </x:c>
      <x:c r="M122" s="62">
        <x:v>906091977</x:v>
      </x:c>
      <x:c r="N122" s="62">
        <x:v>915013646</x:v>
      </x:c>
      <x:c r="O122" s="62">
        <x:v>926290070</x:v>
      </x:c>
      <x:c r="P122" s="62">
        <x:v>936500000</x:v>
      </x:c>
      <x:c r="Q122" s="62">
        <x:v>936500000</x:v>
      </x:c>
      <x:c r="U122" s="189">
        <x:f t="shared" si="4"/>
        <x:v>1</x:v>
      </x:c>
    </x:row>
    <x:row r="123" spans="2:21">
      <x:c r="B123" s="46" t="s">
        <x:v>518</x:v>
      </x:c>
      <x:c r="C123" s="60" t="s">
        <x:v>1915</x:v>
      </x:c>
      <x:c r="D123" s="60"/>
      <x:c r="E123" s="71">
        <x:v>11.981999999999999</x:v>
      </x:c>
      <x:c r="F123" s="71">
        <x:v>14.768000000000001</x:v>
      </x:c>
      <x:c r="G123" s="71">
        <x:v>19.289999999999999</x:v>
      </x:c>
      <x:c r="H123" s="71">
        <x:v>19.079000000000001</x:v>
      </x:c>
      <x:c r="I123" s="71">
        <x:v>18.818999999999999</x:v>
      </x:c>
      <x:c r="J123" s="71">
        <x:v>23.492999999999999</x:v>
      </x:c>
      <x:c r="K123" s="71">
        <x:v>23.074000000000002</x:v>
      </x:c>
      <x:c r="L123" s="71">
        <x:v>21.045999999999999</x:v>
      </x:c>
      <x:c r="M123" s="71">
        <x:v>24.218</x:v>
      </x:c>
      <x:c r="N123" s="71">
        <x:v>24.626000000000001</x:v>
      </x:c>
      <x:c r="O123" s="71">
        <x:v>29.48</x:v>
      </x:c>
      <x:c r="P123" s="71">
        <x:v>34.862000000000002</x:v>
      </x:c>
      <x:c r="Q123" s="71">
        <x:v>34.862000000000002</x:v>
      </x:c>
      <x:c r="U123" s="189">
        <x:f t="shared" si="4"/>
        <x:v>1</x:v>
      </x:c>
    </x:row>
    <x:row r="124" spans="2:21">
      <x:c r="B124" s="46" t="s">
        <x:v>1206</x:v>
      </x:c>
      <x:c r="C124" s="60" t="s">
        <x:v>2159</x:v>
      </x:c>
      <x:c r="D124" s="60"/>
      <x:c r="E124" s="71" t="s">
        <x:v>818</x:v>
      </x:c>
      <x:c r="F124" s="71" t="s">
        <x:v>818</x:v>
      </x:c>
      <x:c r="G124" s="71" t="s">
        <x:v>818</x:v>
      </x:c>
      <x:c r="H124" s="71" t="s">
        <x:v>818</x:v>
      </x:c>
      <x:c r="I124" s="71" t="s">
        <x:v>818</x:v>
      </x:c>
      <x:c r="J124" s="71" t="s">
        <x:v>818</x:v>
      </x:c>
      <x:c r="K124" s="71" t="s">
        <x:v>818</x:v>
      </x:c>
      <x:c r="L124" s="71" t="s">
        <x:v>818</x:v>
      </x:c>
      <x:c r="M124" s="71" t="s">
        <x:v>818</x:v>
      </x:c>
      <x:c r="N124" s="71" t="s">
        <x:v>818</x:v>
      </x:c>
      <x:c r="O124" s="71" t="s">
        <x:v>818</x:v>
      </x:c>
      <x:c r="P124" s="71" t="s">
        <x:v>818</x:v>
      </x:c>
      <x:c r="Q124" s="71" t="s">
        <x:v>818</x:v>
      </x:c>
      <x:c r="U124" s="189" t="str">
        <x:f t="shared" si="4"/>
        <x:v/>
      </x:c>
    </x:row>
    <x:row r="125" spans="2:21">
      <x:c r="B125" s="46" t="s">
        <x:v>231</x:v>
      </x:c>
      <x:c r="C125" s="60" t="s">
        <x:v>2162</x:v>
      </x:c>
      <x:c r="D125" s="60"/>
      <x:c r="E125" s="71" t="s">
        <x:v>818</x:v>
      </x:c>
      <x:c r="F125" s="71" t="s">
        <x:v>818</x:v>
      </x:c>
      <x:c r="G125" s="71" t="s">
        <x:v>818</x:v>
      </x:c>
      <x:c r="H125" s="71" t="s">
        <x:v>818</x:v>
      </x:c>
      <x:c r="I125" s="71" t="s">
        <x:v>818</x:v>
      </x:c>
      <x:c r="J125" s="71" t="s">
        <x:v>818</x:v>
      </x:c>
      <x:c r="K125" s="71" t="s">
        <x:v>818</x:v>
      </x:c>
      <x:c r="L125" s="71" t="s">
        <x:v>818</x:v>
      </x:c>
      <x:c r="M125" s="71" t="s">
        <x:v>818</x:v>
      </x:c>
      <x:c r="N125" s="71" t="s">
        <x:v>818</x:v>
      </x:c>
      <x:c r="O125" s="71" t="s">
        <x:v>818</x:v>
      </x:c>
      <x:c r="P125" s="71" t="s">
        <x:v>818</x:v>
      </x:c>
      <x:c r="Q125" s="71" t="s">
        <x:v>818</x:v>
      </x:c>
      <x:c r="U125" s="189" t="str">
        <x:f t="shared" si="4"/>
        <x:v/>
      </x:c>
    </x:row>
    <x:row r="126" spans="2:21">
      <x:c r="B126" s="46" t="s">
        <x:v>1207</x:v>
      </x:c>
      <x:c r="C126" s="60" t="s">
        <x:v>1290</x:v>
      </x:c>
      <x:c r="D126" s="60"/>
      <x:c r="E126" s="71">
        <x:v>-22.001000000000001</x:v>
      </x:c>
      <x:c r="F126" s="71">
        <x:v>-22</x:v>
      </x:c>
      <x:c r="G126" s="71">
        <x:v>-23.937000000000001</x:v>
      </x:c>
      <x:c r="H126" s="71">
        <x:v>-24.872</x:v>
      </x:c>
      <x:c r="I126" s="71">
        <x:v>-25.273</x:v>
      </x:c>
      <x:c r="J126" s="71">
        <x:v>-59.311999999999998</x:v>
      </x:c>
      <x:c r="K126" s="71">
        <x:v>-52.548000000000002</x:v>
      </x:c>
      <x:c r="L126" s="71">
        <x:v>-54.843000000000004</x:v>
      </x:c>
      <x:c r="M126" s="71">
        <x:v>-49.872</x:v>
      </x:c>
      <x:c r="N126" s="71">
        <x:v>-53.201999999999998</x:v>
      </x:c>
      <x:c r="O126" s="71">
        <x:v>-47.564999999999998</x:v>
      </x:c>
      <x:c r="P126" s="71">
        <x:v>-49.609999999999999</x:v>
      </x:c>
      <x:c r="Q126" s="71">
        <x:v>-49.609999999999999</x:v>
      </x:c>
      <x:c r="U126" s="189">
        <x:f t="shared" si="4"/>
        <x:v>1</x:v>
      </x:c>
    </x:row>
    <x:row r="127" spans="2:21">
      <x:c r="B127" s="46" t="s">
        <x:v>2445</x:v>
      </x:c>
      <x:c r="C127" s="60" t="s">
        <x:v>2171</x:v>
      </x:c>
      <x:c r="D127" s="60"/>
      <x:c r="E127" s="62">
        <x:v>-21792</x:v>
      </x:c>
      <x:c r="F127" s="62">
        <x:v>-21246</x:v>
      </x:c>
      <x:c r="G127" s="62">
        <x:v>-22641</x:v>
      </x:c>
      <x:c r="H127" s="62">
        <x:v>-22936</x:v>
      </x:c>
      <x:c r="I127" s="62">
        <x:v>-22556</x:v>
      </x:c>
      <x:c r="J127" s="62">
        <x:v>-52616</x:v>
      </x:c>
      <x:c r="K127" s="62">
        <x:v>-46907</x:v>
      </x:c>
      <x:c r="L127" s="62">
        <x:v>-49253</x:v>
      </x:c>
      <x:c r="M127" s="62">
        <x:v>-45189</x:v>
      </x:c>
      <x:c r="N127" s="62">
        <x:v>-48681</x:v>
      </x:c>
      <x:c r="O127" s="62">
        <x:v>-44059</x:v>
      </x:c>
      <x:c r="P127" s="62">
        <x:v>-46460</x:v>
      </x:c>
      <x:c r="Q127" s="62">
        <x:v>-46460</x:v>
      </x:c>
      <x:c r="U127" s="189">
        <x:f t="shared" si="4"/>
        <x:v>1</x:v>
      </x:c>
    </x:row>
    <x:row r="128" spans="2:21">
      <x:c r="B128" s="46" t="s">
        <x:v>2447</x:v>
      </x:c>
      <x:c r="C128" s="60" t="s">
        <x:v>1289</x:v>
      </x:c>
      <x:c r="D128" s="60"/>
      <x:c r="E128" s="62">
        <x:v>33660</x:v>
      </x:c>
      <x:c r="F128" s="62">
        <x:v>35508</x:v>
      </x:c>
      <x:c r="G128" s="62">
        <x:v>40887</x:v>
      </x:c>
      <x:c r="H128" s="62">
        <x:v>40530</x:v>
      </x:c>
      <x:c r="I128" s="62">
        <x:v>39352</x:v>
      </x:c>
      <x:c r="J128" s="62">
        <x:v>73457</x:v>
      </x:c>
      <x:c r="K128" s="62">
        <x:v>67504</x:v>
      </x:c>
      <x:c r="L128" s="62">
        <x:v>68154</x:v>
      </x:c>
      <x:c r="M128" s="62">
        <x:v>67133</x:v>
      </x:c>
      <x:c r="N128" s="62">
        <x:v>71214</x:v>
      </x:c>
      <x:c r="O128" s="62">
        <x:v>71366</x:v>
      </x:c>
      <x:c r="P128" s="62">
        <x:v>79108</x:v>
      </x:c>
      <x:c r="Q128" s="62">
        <x:v>79108</x:v>
      </x:c>
      <x:c r="U128" s="189">
        <x:f t="shared" si="4"/>
        <x:v>1</x:v>
      </x:c>
    </x:row>
    <x:row r="129" spans="2:21">
      <x:c r="B129" s="46" t="s">
        <x:v>2179</x:v>
      </x:c>
      <x:c r="C129" s="60" t="s">
        <x:v>2169</x:v>
      </x:c>
      <x:c r="D129" s="60"/>
      <x:c r="E129" s="62">
        <x:v>8.5570000000000004</x:v>
      </x:c>
      <x:c r="F129" s="62">
        <x:v>7.9589999999999996</x:v>
      </x:c>
      <x:c r="G129" s="62">
        <x:v>8.2739999999999991</x:v>
      </x:c>
      <x:c r="H129" s="62">
        <x:v>12.981999999999999</x:v>
      </x:c>
      <x:c r="I129" s="62">
        <x:v>12.75</x:v>
      </x:c>
      <x:c r="J129" s="62">
        <x:v>9.2119999999999997</x:v>
      </x:c>
      <x:c r="K129" s="62">
        <x:v>14.773999999999999</x:v>
      </x:c>
      <x:c r="L129" s="62">
        <x:v>7.4050000000000002</x:v>
      </x:c>
      <x:c r="M129" s="62">
        <x:v>8.7029999999999994</x:v>
      </x:c>
      <x:c r="N129" s="62">
        <x:v>14.282</x:v>
      </x:c>
      <x:c r="O129" s="62">
        <x:v>15.057</x:v>
      </x:c>
      <x:c r="P129" s="62">
        <x:v>14.507999999999999</x:v>
      </x:c>
      <x:c r="Q129" s="62">
        <x:v>14.507999999999999</x:v>
      </x:c>
      <x:c r="U129" s="189"/>
    </x:row>
    <x:row r="130" spans="2:21">
      <x:c r="B130" s="46" t="s">
        <x:v>1288</x:v>
      </x:c>
      <x:c r="C130" s="60" t="s">
        <x:v>2094</x:v>
      </x:c>
      <x:c r="D130" s="60"/>
      <x:c r="E130" s="62">
        <x:v>40722</x:v>
      </x:c>
      <x:c r="F130" s="62">
        <x:v>39892</x:v>
      </x:c>
      <x:c r="G130" s="62">
        <x:v>42176</x:v>
      </x:c>
      <x:c r="H130" s="62">
        <x:v>46858</x:v>
      </x:c>
      <x:c r="I130" s="62">
        <x:v>45812</x:v>
      </x:c>
      <x:c r="J130" s="62">
        <x:v>68158</x:v>
      </x:c>
      <x:c r="K130" s="62">
        <x:v>65088</x:v>
      </x:c>
      <x:c r="L130" s="62">
        <x:v>55140</x:v>
      </x:c>
      <x:c r="M130" s="62">
        <x:v>54013</x:v>
      </x:c>
      <x:c r="N130" s="62">
        <x:v>59935</x:v>
      </x:c>
      <x:c r="O130" s="62">
        <x:v>58396</x:v>
      </x:c>
      <x:c r="P130" s="62">
        <x:v>64607</x:v>
      </x:c>
      <x:c r="Q130" s="62">
        <x:v>64607</x:v>
      </x:c>
      <x:c r="U130" s="189">
        <x:f>IF(COUNT(E130:Q130)&lt;&gt;0,1,"")</x:f>
        <x:v>1</x:v>
      </x:c>
    </x:row>
    <x:row r="131" spans="2:21">
      <x:c r="B131" s="46" t="s">
        <x:v>1532</x:v>
      </x:c>
      <x:c r="C131" s="60" t="s">
        <x:v>2480</x:v>
      </x:c>
      <x:c r="D131" s="60"/>
      <x:c r="E131" s="62">
        <x:v>5731</x:v>
      </x:c>
      <x:c r="F131" s="62">
        <x:v>6461</x:v>
      </x:c>
      <x:c r="G131" s="62">
        <x:v>7513</x:v>
      </x:c>
      <x:c r="H131" s="62">
        <x:v>6987</x:v>
      </x:c>
      <x:c r="I131" s="62">
        <x:v>10207</x:v>
      </x:c>
      <x:c r="J131" s="62">
        <x:v>10177</x:v>
      </x:c>
      <x:c r="K131" s="62">
        <x:v>8151</x:v>
      </x:c>
      <x:c r="L131" s="62">
        <x:v>7761</x:v>
      </x:c>
      <x:c r="M131" s="62">
        <x:v>5634</x:v>
      </x:c>
      <x:c r="N131" s="62">
        <x:v>7246</x:v>
      </x:c>
      <x:c r="O131" s="62">
        <x:v>5857</x:v>
      </x:c>
      <x:c r="P131" s="62">
        <x:v>7224</x:v>
      </x:c>
      <x:c r="Q131" s="62">
        <x:v>7224</x:v>
      </x:c>
      <x:c r="U131" s="189"/>
    </x:row>
    <x:row r="132" spans="2:21">
      <x:c r="B132" s="46" t="s">
        <x:v>2364</x:v>
      </x:c>
      <x:c r="C132" s="60" t="s">
        <x:v>1603</x:v>
      </x:c>
      <x:c r="D132" s="60"/>
      <x:c r="E132" s="62">
        <x:v>34991</x:v>
      </x:c>
      <x:c r="F132" s="62">
        <x:v>33431</x:v>
      </x:c>
      <x:c r="G132" s="62">
        <x:v>34663</x:v>
      </x:c>
      <x:c r="H132" s="62">
        <x:v>39871</x:v>
      </x:c>
      <x:c r="I132" s="62">
        <x:v>35605</x:v>
      </x:c>
      <x:c r="J132" s="62">
        <x:v>57981</x:v>
      </x:c>
      <x:c r="K132" s="62">
        <x:v>56937</x:v>
      </x:c>
      <x:c r="L132" s="62">
        <x:v>47379</x:v>
      </x:c>
      <x:c r="M132" s="62">
        <x:v>48379</x:v>
      </x:c>
      <x:c r="N132" s="62">
        <x:v>52689</x:v>
      </x:c>
      <x:c r="O132" s="62">
        <x:v>52539</x:v>
      </x:c>
      <x:c r="P132" s="62">
        <x:v>57383</x:v>
      </x:c>
      <x:c r="Q132" s="62">
        <x:v>57383</x:v>
      </x:c>
      <x:c r="U132" s="189"/>
    </x:row>
    <x:row r="133" spans="2:21">
      <x:c r="B133" s="46" t="s">
        <x:v>1287</x:v>
      </x:c>
      <x:c r="C133" s="60" t="s">
        <x:v>1286</x:v>
      </x:c>
      <x:c r="D133" s="60"/>
      <x:c r="E133" s="62">
        <x:v>32241</x:v>
      </x:c>
      <x:c r="F133" s="62">
        <x:v>31698</x:v>
      </x:c>
      <x:c r="G133" s="62">
        <x:v>33649</x:v>
      </x:c>
      <x:c r="H133" s="62">
        <x:v>34276</x:v>
      </x:c>
      <x:c r="I133" s="62">
        <x:v>33815</x:v>
      </x:c>
      <x:c r="J133" s="62">
        <x:v>59290</x:v>
      </x:c>
      <x:c r="K133" s="62">
        <x:v>51300</x:v>
      </x:c>
      <x:c r="L133" s="62">
        <x:v>47890</x:v>
      </x:c>
      <x:c r="M133" s="62">
        <x:v>45275</x:v>
      </x:c>
      <x:c r="N133" s="62">
        <x:v>46494</x:v>
      </x:c>
      <x:c r="O133" s="62">
        <x:v>43805</x:v>
      </x:c>
      <x:c r="P133" s="62">
        <x:v>50190</x:v>
      </x:c>
      <x:c r="Q133" s="62">
        <x:v>50190</x:v>
      </x:c>
      <x:c r="U133" s="189">
        <x:f>IF(COUNT(E133:Q133)&lt;&gt;0,1,"")</x:f>
        <x:v>1</x:v>
      </x:c>
    </x:row>
    <x:row r="134" spans="2:21">
      <x:c r="B134" s="46" t="s">
        <x:v>1601</x:v>
      </x:c>
      <x:c r="C134" s="60" t="s">
        <x:v>1602</x:v>
      </x:c>
      <x:c r="D134" s="60"/>
      <x:c r="E134" s="62">
        <x:v>146</x:v>
      </x:c>
      <x:c r="F134" s="62">
        <x:v>162</x:v>
      </x:c>
      <x:c r="G134" s="62">
        <x:v>146</x:v>
      </x:c>
      <x:c r="H134" s="62">
        <x:v>131</x:v>
      </x:c>
      <x:c r="I134" s="62">
        <x:v>134</x:v>
      </x:c>
      <x:c r="J134" s="62">
        <x:v>144</x:v>
      </x:c>
      <x:c r="K134" s="62">
        <x:v>129</x:v>
      </x:c>
      <x:c r="L134" s="62">
        <x:v>95</x:v>
      </x:c>
      <x:c r="M134" s="62">
        <x:v>77</x:v>
      </x:c>
      <x:c r="N134" s="62">
        <x:v>80</x:v>
      </x:c>
      <x:c r="O134" s="62">
        <x:v>86</x:v>
      </x:c>
      <x:c r="P134" s="62">
        <x:v>93</x:v>
      </x:c>
      <x:c r="Q134" s="62">
        <x:v>93</x:v>
      </x:c>
      <x:c r="U134" s="189">
        <x:f>IF(COUNT(E134:Q134)&lt;&gt;0,1,"")</x:f>
        <x:v>1</x:v>
      </x:c>
    </x:row>
    <x:row r="135" spans="2:21">
      <x:c r="B135" s="46" t="s">
        <x:v>2490</x:v>
      </x:c>
      <x:c r="C135" s="60" t="s">
        <x:v>2160</x:v>
      </x:c>
      <x:c r="D135" s="60"/>
      <x:c r="E135" s="62">
        <x:v>52736</x:v>
      </x:c>
      <x:c r="F135" s="62">
        <x:v>54316</x:v>
      </x:c>
      <x:c r="G135" s="62">
        <x:v>60568</x:v>
      </x:c>
      <x:c r="H135" s="62">
        <x:v>64583</x:v>
      </x:c>
      <x:c r="I135" s="62">
        <x:v>62742</x:v>
      </x:c>
      <x:c r="J135" s="62">
        <x:v>89143</x:v>
      </x:c>
      <x:c r="K135" s="62">
        <x:v>85814</x:v>
      </x:c>
      <x:c r="L135" s="62">
        <x:v>74136</x:v>
      </x:c>
      <x:c r="M135" s="62">
        <x:v>76034</x:v>
      </x:c>
      <x:c r="N135" s="62">
        <x:v>82548</x:v>
      </x:c>
      <x:c r="O135" s="62">
        <x:v>85789</x:v>
      </x:c>
      <x:c r="P135" s="62">
        <x:v>97348</x:v>
      </x:c>
      <x:c r="Q135" s="62">
        <x:v>97348</x:v>
      </x:c>
      <x:c r="U135" s="189">
        <x:f>IF(COUNT(E135:Q135)&lt;&gt;0,1,"")</x:f>
        <x:v>1</x:v>
      </x:c>
    </x:row>
    <x:row r="136" spans="2:21">
      <x:c r="B136" s="46" t="s">
        <x:v>2177</x:v>
      </x:c>
      <x:c r="C136" s="60" t="s">
        <x:v>2183</x:v>
      </x:c>
      <x:c r="D136" s="60"/>
      <x:c r="E136" s="62">
        <x:v>7796</x:v>
      </x:c>
      <x:c r="F136" s="62">
        <x:v>8235</x:v>
      </x:c>
      <x:c r="G136" s="62">
        <x:v>7614</x:v>
      </x:c>
      <x:c r="H136" s="62">
        <x:v>12372</x:v>
      </x:c>
      <x:c r="I136" s="62">
        <x:v>10919</x:v>
      </x:c>
      <x:c r="J136" s="62">
        <x:v>719</x:v>
      </x:c>
      <x:c r="K136" s="62">
        <x:v>-704</x:v>
      </x:c>
      <x:c r="L136" s="62">
        <x:v>-4080</x:v>
      </x:c>
      <x:c r="M136" s="62">
        <x:v>-2387</x:v>
      </x:c>
      <x:c r="N136" s="62">
        <x:v>-1214</x:v>
      </x:c>
      <x:c r="O136" s="62">
        <x:v>1340</x:v>
      </x:c>
      <x:c r="P136" s="62">
        <x:v>-1714</x:v>
      </x:c>
      <x:c r="Q136" s="62">
        <x:v>-1714</x:v>
      </x:c>
      <x:c r="U136" s="189"/>
    </x:row>
    <x:row r="137" spans="2:21">
      <x:c r="B137" s="46" t="s">
        <x:v>533</x:v>
      </x:c>
      <x:c r="C137" s="60" t="s">
        <x:v>524</x:v>
      </x:c>
      <x:c r="D137" s="60"/>
      <x:c r="E137" s="62">
        <x:v>5046</x:v>
      </x:c>
      <x:c r="F137" s="62">
        <x:v>6502</x:v>
      </x:c>
      <x:c r="G137" s="62">
        <x:v>6600</x:v>
      </x:c>
      <x:c r="H137" s="62">
        <x:v>6777</x:v>
      </x:c>
      <x:c r="I137" s="62">
        <x:v>9129</x:v>
      </x:c>
      <x:c r="J137" s="62">
        <x:v>2028</x:v>
      </x:c>
      <x:c r="K137" s="62">
        <x:v>-6341</x:v>
      </x:c>
      <x:c r="L137" s="62">
        <x:v>-3569</x:v>
      </x:c>
      <x:c r="M137" s="62">
        <x:v>-5491</x:v>
      </x:c>
      <x:c r="N137" s="62">
        <x:v>-7409</x:v>
      </x:c>
      <x:c r="O137" s="62">
        <x:v>-7394</x:v>
      </x:c>
      <x:c r="P137" s="62">
        <x:v>-8907</x:v>
      </x:c>
      <x:c r="Q137" s="62">
        <x:v>-8907</x:v>
      </x:c>
      <x:c r="U137" s="189"/>
    </x:row>
    <x:row r="138" spans="2:21">
      <x:c r="B138" s="46" t="s">
        <x:v>126</x:v>
      </x:c>
      <x:c r="C138" s="60" t="s">
        <x:v>530</x:v>
      </x:c>
      <x:c r="D138" s="60"/>
      <x:c r="E138" s="62">
        <x:v>336</x:v>
      </x:c>
      <x:c r="F138" s="62">
        <x:v>367</x:v>
      </x:c>
      <x:c r="G138" s="62">
        <x:v>290</x:v>
      </x:c>
      <x:c r="H138" s="62">
        <x:v>297</x:v>
      </x:c>
      <x:c r="I138" s="62">
        <x:v>309</x:v>
      </x:c>
      <x:c r="J138" s="62">
        <x:v>299</x:v>
      </x:c>
      <x:c r="K138" s="62">
        <x:v>260</x:v>
      </x:c>
      <x:c r="L138" s="62">
        <x:v>218</x:v>
      </x:c>
      <x:c r="M138" s="62">
        <x:v>233</x:v>
      </x:c>
      <x:c r="N138" s="62">
        <x:v>192</x:v>
      </x:c>
      <x:c r="O138" s="62">
        <x:v>114</x:v>
      </x:c>
      <x:c r="P138" s="62" t="s">
        <x:v>818</x:v>
      </x:c>
      <x:c r="Q138" s="62" t="s">
        <x:v>818</x:v>
      </x:c>
      <x:c r="U138" s="189">
        <x:f>IF(COUNT(E138:Q138)&lt;&gt;0,1,"")</x:f>
        <x:v>1</x:v>
      </x:c>
    </x:row>
    <x:row r="139" spans="2:21">
      <x:c r="B139" s="46" t="s">
        <x:v>1604</x:v>
      </x:c>
      <x:c r="C139" s="60" t="s">
        <x:v>531</x:v>
      </x:c>
      <x:c r="D139" s="60"/>
      <x:c r="E139" s="62">
        <x:v>98</x:v>
      </x:c>
      <x:c r="F139" s="62">
        <x:v>82</x:v>
      </x:c>
      <x:c r="G139" s="62">
        <x:v>85</x:v>
      </x:c>
      <x:c r="H139" s="62">
        <x:v>90</x:v>
      </x:c>
      <x:c r="I139" s="62">
        <x:v>192</x:v>
      </x:c>
      <x:c r="J139" s="62">
        <x:v>184</x:v>
      </x:c>
      <x:c r="K139" s="62">
        <x:v>170</x:v>
      </x:c>
      <x:c r="L139" s="62">
        <x:v>159</x:v>
      </x:c>
      <x:c r="M139" s="62">
        <x:v>142</x:v>
      </x:c>
      <x:c r="N139" s="62">
        <x:v>125</x:v>
      </x:c>
      <x:c r="O139" s="62">
        <x:v>108</x:v>
      </x:c>
      <x:c r="P139" s="62" t="s">
        <x:v>818</x:v>
      </x:c>
      <x:c r="Q139" s="62" t="s">
        <x:v>818</x:v>
      </x:c>
      <x:c r="U139" s="189">
        <x:f>IF(COUNT(E139:Q139)&lt;&gt;0,1,"")</x:f>
        <x:v>1</x:v>
      </x:c>
    </x:row>
    <x:row r="140" spans="2:21">
      <x:c r="B140" s="46" t="s">
        <x:v>1209</x:v>
      </x:c>
      <x:c r="C140" s="60" t="s">
        <x:v>2184</x:v>
      </x:c>
      <x:c r="D140" s="60"/>
      <x:c r="E140" s="62">
        <x:v>1833</x:v>
      </x:c>
      <x:c r="F140" s="62">
        <x:v>1630</x:v>
      </x:c>
      <x:c r="G140" s="62">
        <x:v>1611</x:v>
      </x:c>
      <x:c r="H140" s="62">
        <x:v>2227</x:v>
      </x:c>
      <x:c r="I140" s="62">
        <x:v>1545</x:v>
      </x:c>
      <x:c r="J140" s="62">
        <x:v>1563</x:v>
      </x:c>
      <x:c r="K140" s="62">
        <x:v>1075</x:v>
      </x:c>
      <x:c r="L140" s="62">
        <x:v>1194</x:v>
      </x:c>
      <x:c r="M140" s="62">
        <x:v>1252</x:v>
      </x:c>
      <x:c r="N140" s="62">
        <x:v>1321</x:v>
      </x:c>
      <x:c r="O140" s="62">
        <x:v>1241</x:v>
      </x:c>
      <x:c r="P140" s="62" t="s">
        <x:v>818</x:v>
      </x:c>
      <x:c r="Q140" s="62" t="s">
        <x:v>818</x:v>
      </x:c>
      <x:c r="U140" s="189"/>
    </x:row>
    <x:row r="141" spans="2:21">
      <x:c r="B141" s="46" t="s">
        <x:v>2174</x:v>
      </x:c>
      <x:c r="C141" s="60" t="s">
        <x:v>1291</x:v>
      </x:c>
      <x:c r="D141" s="60"/>
      <x:c r="E141" s="62" t="s">
        <x:v>818</x:v>
      </x:c>
      <x:c r="F141" s="62" t="s">
        <x:v>818</x:v>
      </x:c>
      <x:c r="G141" s="62" t="s">
        <x:v>818</x:v>
      </x:c>
      <x:c r="H141" s="62" t="s">
        <x:v>818</x:v>
      </x:c>
      <x:c r="I141" s="62" t="s">
        <x:v>818</x:v>
      </x:c>
      <x:c r="J141" s="62" t="s">
        <x:v>818</x:v>
      </x:c>
      <x:c r="K141" s="62" t="s">
        <x:v>818</x:v>
      </x:c>
      <x:c r="L141" s="62" t="s">
        <x:v>818</x:v>
      </x:c>
      <x:c r="M141" s="62" t="s">
        <x:v>818</x:v>
      </x:c>
      <x:c r="N141" s="62" t="s">
        <x:v>818</x:v>
      </x:c>
      <x:c r="O141" s="62" t="s">
        <x:v>818</x:v>
      </x:c>
      <x:c r="P141" s="62" t="s">
        <x:v>818</x:v>
      </x:c>
      <x:c r="Q141" s="62" t="s">
        <x:v>818</x:v>
      </x:c>
      <x:c r="U141" s="189" t="str">
        <x:f t="shared" ref="U141:U148" si="5">IF(COUNT(E141:Q141)&lt;&gt;0,1,"")</x:f>
        <x:v/>
      </x:c>
    </x:row>
    <x:row r="142" spans="2:21">
      <x:c r="B142" s="46" t="s">
        <x:v>2473</x:v>
      </x:c>
      <x:c r="C142" s="60" t="s">
        <x:v>1292</x:v>
      </x:c>
      <x:c r="D142" s="60"/>
      <x:c r="E142" s="62" t="s">
        <x:v>818</x:v>
      </x:c>
      <x:c r="F142" s="62" t="s">
        <x:v>818</x:v>
      </x:c>
      <x:c r="G142" s="62" t="s">
        <x:v>818</x:v>
      </x:c>
      <x:c r="H142" s="62" t="s">
        <x:v>818</x:v>
      </x:c>
      <x:c r="I142" s="62" t="s">
        <x:v>818</x:v>
      </x:c>
      <x:c r="J142" s="62" t="s">
        <x:v>818</x:v>
      </x:c>
      <x:c r="K142" s="62" t="s">
        <x:v>818</x:v>
      </x:c>
      <x:c r="L142" s="62" t="s">
        <x:v>818</x:v>
      </x:c>
      <x:c r="M142" s="62" t="s">
        <x:v>818</x:v>
      </x:c>
      <x:c r="N142" s="62" t="s">
        <x:v>818</x:v>
      </x:c>
      <x:c r="O142" s="62" t="s">
        <x:v>818</x:v>
      </x:c>
      <x:c r="P142" s="62" t="s">
        <x:v>818</x:v>
      </x:c>
      <x:c r="Q142" s="62" t="s">
        <x:v>818</x:v>
      </x:c>
      <x:c r="U142" s="189" t="str">
        <x:f t="shared" si="5"/>
        <x:v/>
      </x:c>
    </x:row>
    <x:row r="143" spans="2:21">
      <x:c r="B143" s="46" t="s">
        <x:v>1605</x:v>
      </x:c>
      <x:c r="C143" s="60" t="s">
        <x:v>1293</x:v>
      </x:c>
      <x:c r="D143" s="60"/>
      <x:c r="E143" s="62">
        <x:v>1673</x:v>
      </x:c>
      <x:c r="F143" s="62">
        <x:v>1199</x:v>
      </x:c>
      <x:c r="G143" s="62">
        <x:v>1195</x:v>
      </x:c>
      <x:c r="H143" s="62">
        <x:v>1250</x:v>
      </x:c>
      <x:c r="I143" s="62">
        <x:v>1415</x:v>
      </x:c>
      <x:c r="J143" s="62">
        <x:v>1399</x:v>
      </x:c>
      <x:c r="K143" s="62">
        <x:v>1649</x:v>
      </x:c>
      <x:c r="L143" s="62">
        <x:v>1441</x:v>
      </x:c>
      <x:c r="M143" s="62">
        <x:v>1394</x:v>
      </x:c>
      <x:c r="N143" s="62">
        <x:v>1083</x:v>
      </x:c>
      <x:c r="O143" s="62">
        <x:v>1155</x:v>
      </x:c>
      <x:c r="P143" s="62" t="s">
        <x:v>818</x:v>
      </x:c>
      <x:c r="Q143" s="62" t="s">
        <x:v>818</x:v>
      </x:c>
      <x:c r="U143" s="189">
        <x:f t="shared" si="5"/>
        <x:v>1</x:v>
      </x:c>
    </x:row>
    <x:row r="144" spans="2:21">
      <x:c r="B144" s="46" t="s">
        <x:v>1612</x:v>
      </x:c>
      <x:c r="C144" s="60" t="s">
        <x:v>2185</x:v>
      </x:c>
      <x:c r="D144" s="60"/>
      <x:c r="E144" s="62">
        <x:v>430</x:v>
      </x:c>
      <x:c r="F144" s="62">
        <x:v>352</x:v>
      </x:c>
      <x:c r="G144" s="62">
        <x:v>358</x:v>
      </x:c>
      <x:c r="H144" s="62">
        <x:v>333</x:v>
      </x:c>
      <x:c r="I144" s="62">
        <x:v>267</x:v>
      </x:c>
      <x:c r="J144" s="62">
        <x:v>220</x:v>
      </x:c>
      <x:c r="K144" s="62">
        <x:v>163</x:v>
      </x:c>
      <x:c r="L144" s="62">
        <x:v>208</x:v>
      </x:c>
      <x:c r="M144" s="62">
        <x:v>158</x:v>
      </x:c>
      <x:c r="N144" s="62">
        <x:v>78</x:v>
      </x:c>
      <x:c r="O144" s="62">
        <x:v>134</x:v>
      </x:c>
      <x:c r="P144" s="62" t="s">
        <x:v>818</x:v>
      </x:c>
      <x:c r="Q144" s="62" t="s">
        <x:v>818</x:v>
      </x:c>
      <x:c r="U144" s="189">
        <x:f t="shared" si="5"/>
        <x:v>1</x:v>
      </x:c>
    </x:row>
    <x:row r="145" spans="2:21">
      <x:c r="B145" s="46" t="s">
        <x:v>1606</x:v>
      </x:c>
      <x:c r="C145" s="60" t="s">
        <x:v>2170</x:v>
      </x:c>
      <x:c r="D145" s="60"/>
      <x:c r="E145" s="62" t="s">
        <x:v>818</x:v>
      </x:c>
      <x:c r="F145" s="62" t="s">
        <x:v>818</x:v>
      </x:c>
      <x:c r="G145" s="62" t="s">
        <x:v>818</x:v>
      </x:c>
      <x:c r="H145" s="62" t="s">
        <x:v>818</x:v>
      </x:c>
      <x:c r="I145" s="62" t="s">
        <x:v>818</x:v>
      </x:c>
      <x:c r="J145" s="62" t="s">
        <x:v>818</x:v>
      </x:c>
      <x:c r="K145" s="62" t="s">
        <x:v>818</x:v>
      </x:c>
      <x:c r="L145" s="62" t="s">
        <x:v>818</x:v>
      </x:c>
      <x:c r="M145" s="62" t="s">
        <x:v>818</x:v>
      </x:c>
      <x:c r="N145" s="62" t="s">
        <x:v>818</x:v>
      </x:c>
      <x:c r="O145" s="62" t="s">
        <x:v>818</x:v>
      </x:c>
      <x:c r="P145" s="62" t="s">
        <x:v>818</x:v>
      </x:c>
      <x:c r="Q145" s="62" t="s">
        <x:v>818</x:v>
      </x:c>
      <x:c r="U145" s="189" t="str">
        <x:f t="shared" si="5"/>
        <x:v/>
      </x:c>
    </x:row>
    <x:row r="146" spans="2:21">
      <x:c r="B146" s="46" t="s">
        <x:v>1929</x:v>
      </x:c>
      <x:c r="C146" s="60" t="s">
        <x:v>1911</x:v>
      </x:c>
      <x:c r="D146" s="60"/>
      <x:c r="E146" s="62">
        <x:v>667</x:v>
      </x:c>
      <x:c r="F146" s="62">
        <x:v>558</x:v>
      </x:c>
      <x:c r="G146" s="62">
        <x:v>506</x:v>
      </x:c>
      <x:c r="H146" s="62">
        <x:v>480</x:v>
      </x:c>
      <x:c r="I146" s="62">
        <x:v>447</x:v>
      </x:c>
      <x:c r="J146" s="62">
        <x:v>365</x:v>
      </x:c>
      <x:c r="K146" s="62">
        <x:v>234</x:v>
      </x:c>
      <x:c r="L146" s="62">
        <x:v>224</x:v>
      </x:c>
      <x:c r="M146" s="62">
        <x:v>213</x:v>
      </x:c>
      <x:c r="N146" s="62">
        <x:v>182</x:v>
      </x:c>
      <x:c r="O146" s="62">
        <x:v>179</x:v>
      </x:c>
      <x:c r="P146" s="62" t="s">
        <x:v>818</x:v>
      </x:c>
      <x:c r="Q146" s="62" t="s">
        <x:v>818</x:v>
      </x:c>
      <x:c r="U146" s="189">
        <x:f t="shared" si="5"/>
        <x:v>1</x:v>
      </x:c>
    </x:row>
    <x:row r="147" spans="2:21">
      <x:c r="B147" s="46" t="s">
        <x:v>1232</x:v>
      </x:c>
      <x:c r="C147" s="60" t="s">
        <x:v>2172</x:v>
      </x:c>
      <x:c r="D147" s="60"/>
      <x:c r="E147" s="62">
        <x:v>9524</x:v>
      </x:c>
      <x:c r="F147" s="62">
        <x:v>6552</x:v>
      </x:c>
      <x:c r="G147" s="62">
        <x:v>9763</x:v>
      </x:c>
      <x:c r="H147" s="62">
        <x:v>10073</x:v>
      </x:c>
      <x:c r="I147" s="62">
        <x:v>9640</x:v>
      </x:c>
      <x:c r="J147" s="62">
        <x:v>9364</x:v>
      </x:c>
      <x:c r="K147" s="62">
        <x:v>6407</x:v>
      </x:c>
      <x:c r="L147" s="62">
        <x:v>6049</x:v>
      </x:c>
      <x:c r="M147" s="62">
        <x:v>5678</x:v>
      </x:c>
      <x:c r="N147" s="62">
        <x:v>5333</x:v>
      </x:c>
      <x:c r="O147" s="62">
        <x:v>4825</x:v>
      </x:c>
      <x:c r="P147" s="62" t="s">
        <x:v>818</x:v>
      </x:c>
      <x:c r="Q147" s="62" t="s">
        <x:v>818</x:v>
      </x:c>
      <x:c r="U147" s="189">
        <x:f t="shared" si="5"/>
        <x:v>1</x:v>
      </x:c>
    </x:row>
    <x:row r="148" spans="2:21">
      <x:c r="B148" s="46" t="s">
        <x:v>1231</x:v>
      </x:c>
      <x:c r="C148" s="60" t="s">
        <x:v>2166</x:v>
      </x:c>
      <x:c r="D148" s="60"/>
      <x:c r="E148" s="62">
        <x:v>28843</x:v>
      </x:c>
      <x:c r="F148" s="62">
        <x:v>22233</x:v>
      </x:c>
      <x:c r="G148" s="62">
        <x:v>15995</x:v>
      </x:c>
      <x:c r="H148" s="62">
        <x:v>17718</x:v>
      </x:c>
      <x:c r="I148" s="62">
        <x:v>18292</x:v>
      </x:c>
      <x:c r="J148" s="62">
        <x:v>18578</x:v>
      </x:c>
      <x:c r="K148" s="62">
        <x:v>13460</x:v>
      </x:c>
      <x:c r="L148" s="62">
        <x:v>13811</x:v>
      </x:c>
      <x:c r="M148" s="62">
        <x:v>12804</x:v>
      </x:c>
      <x:c r="N148" s="62">
        <x:v>12607</x:v>
      </x:c>
      <x:c r="O148" s="62">
        <x:v>12687</x:v>
      </x:c>
      <x:c r="P148" s="62" t="s">
        <x:v>818</x:v>
      </x:c>
      <x:c r="Q148" s="62" t="s">
        <x:v>818</x:v>
      </x:c>
      <x:c r="U148" s="189">
        <x:f t="shared" si="5"/>
        <x:v>1</x:v>
      </x:c>
    </x:row>
    <x:row r="149" spans="2:21">
      <x:c r="B149" s="46" t="s">
        <x:v>1208</x:v>
      </x:c>
      <x:c r="C149" s="60" t="s">
        <x:v>1233</x:v>
      </x:c>
      <x:c r="D149" s="60"/>
      <x:c r="E149" s="62" t="s">
        <x:v>818</x:v>
      </x:c>
      <x:c r="F149" s="62" t="s">
        <x:v>818</x:v>
      </x:c>
      <x:c r="G149" s="62" t="s">
        <x:v>818</x:v>
      </x:c>
      <x:c r="H149" s="62" t="s">
        <x:v>818</x:v>
      </x:c>
      <x:c r="I149" s="62" t="s">
        <x:v>818</x:v>
      </x:c>
      <x:c r="J149" s="62" t="s">
        <x:v>818</x:v>
      </x:c>
      <x:c r="K149" s="62" t="s">
        <x:v>818</x:v>
      </x:c>
      <x:c r="L149" s="62" t="s">
        <x:v>818</x:v>
      </x:c>
      <x:c r="M149" s="62" t="s">
        <x:v>818</x:v>
      </x:c>
      <x:c r="N149" s="62" t="s">
        <x:v>818</x:v>
      </x:c>
      <x:c r="O149" s="62" t="s">
        <x:v>818</x:v>
      </x:c>
      <x:c r="P149" s="62" t="s">
        <x:v>818</x:v>
      </x:c>
      <x:c r="Q149" s="62" t="s">
        <x:v>818</x:v>
      </x:c>
      <x:c r="U149" s="189"/>
    </x:row>
    <x:row r="150" spans="2:21">
      <x:c r="B150" s="46" t="s">
        <x:v>1607</x:v>
      </x:c>
      <x:c r="C150" s="60" t="s">
        <x:v>1608</x:v>
      </x:c>
      <x:c r="D150" s="60"/>
      <x:c r="E150" s="62" t="s">
        <x:v>818</x:v>
      </x:c>
      <x:c r="F150" s="62" t="s">
        <x:v>818</x:v>
      </x:c>
      <x:c r="G150" s="62" t="s">
        <x:v>818</x:v>
      </x:c>
      <x:c r="H150" s="62" t="s">
        <x:v>818</x:v>
      </x:c>
      <x:c r="I150" s="62" t="s">
        <x:v>818</x:v>
      </x:c>
      <x:c r="J150" s="62" t="s">
        <x:v>818</x:v>
      </x:c>
      <x:c r="K150" s="62" t="s">
        <x:v>818</x:v>
      </x:c>
      <x:c r="L150" s="62" t="s">
        <x:v>818</x:v>
      </x:c>
      <x:c r="M150" s="62" t="s">
        <x:v>818</x:v>
      </x:c>
      <x:c r="N150" s="62" t="s">
        <x:v>818</x:v>
      </x:c>
      <x:c r="O150" s="62" t="s">
        <x:v>818</x:v>
      </x:c>
      <x:c r="P150" s="62" t="s">
        <x:v>818</x:v>
      </x:c>
      <x:c r="Q150" s="62" t="s">
        <x:v>818</x:v>
      </x:c>
      <x:c r="U150" s="189" t="str">
        <x:f t="shared" ref="U150:U165" si="6">IF(COUNT(E150:Q150)&lt;&gt;0,1,"")</x:f>
        <x:v/>
      </x:c>
    </x:row>
    <x:row r="151" spans="2:21">
      <x:c r="B151" s="46" t="s">
        <x:v>1613</x:v>
      </x:c>
      <x:c r="C151" s="60" t="s">
        <x:v>1916</x:v>
      </x:c>
      <x:c r="D151" s="60"/>
      <x:c r="E151" s="62" t="s">
        <x:v>818</x:v>
      </x:c>
      <x:c r="F151" s="62" t="s">
        <x:v>818</x:v>
      </x:c>
      <x:c r="G151" s="62" t="s">
        <x:v>818</x:v>
      </x:c>
      <x:c r="H151" s="62" t="s">
        <x:v>818</x:v>
      </x:c>
      <x:c r="I151" s="62" t="s">
        <x:v>818</x:v>
      </x:c>
      <x:c r="J151" s="62" t="s">
        <x:v>818</x:v>
      </x:c>
      <x:c r="K151" s="62" t="s">
        <x:v>818</x:v>
      </x:c>
      <x:c r="L151" s="62" t="s">
        <x:v>818</x:v>
      </x:c>
      <x:c r="M151" s="62" t="s">
        <x:v>818</x:v>
      </x:c>
      <x:c r="N151" s="62" t="s">
        <x:v>818</x:v>
      </x:c>
      <x:c r="O151" s="62" t="s">
        <x:v>818</x:v>
      </x:c>
      <x:c r="P151" s="62" t="s">
        <x:v>818</x:v>
      </x:c>
      <x:c r="Q151" s="62" t="s">
        <x:v>818</x:v>
      </x:c>
      <x:c r="U151" s="189" t="str">
        <x:f t="shared" si="6"/>
        <x:v/>
      </x:c>
    </x:row>
    <x:row r="152" spans="2:21">
      <x:c r="B152" s="46" t="s">
        <x:v>2479</x:v>
      </x:c>
      <x:c r="C152" s="60" t="s">
        <x:v>1614</x:v>
      </x:c>
      <x:c r="D152" s="60"/>
      <x:c r="E152" s="62" t="s">
        <x:v>818</x:v>
      </x:c>
      <x:c r="F152" s="62" t="s">
        <x:v>818</x:v>
      </x:c>
      <x:c r="G152" s="62" t="s">
        <x:v>818</x:v>
      </x:c>
      <x:c r="H152" s="62" t="s">
        <x:v>818</x:v>
      </x:c>
      <x:c r="I152" s="62" t="s">
        <x:v>818</x:v>
      </x:c>
      <x:c r="J152" s="62" t="s">
        <x:v>818</x:v>
      </x:c>
      <x:c r="K152" s="62" t="s">
        <x:v>818</x:v>
      </x:c>
      <x:c r="L152" s="62" t="s">
        <x:v>818</x:v>
      </x:c>
      <x:c r="M152" s="62" t="s">
        <x:v>818</x:v>
      </x:c>
      <x:c r="N152" s="62" t="s">
        <x:v>818</x:v>
      </x:c>
      <x:c r="O152" s="62" t="s">
        <x:v>818</x:v>
      </x:c>
      <x:c r="P152" s="62" t="s">
        <x:v>818</x:v>
      </x:c>
      <x:c r="Q152" s="62" t="s">
        <x:v>818</x:v>
      </x:c>
      <x:c r="U152" s="189" t="str">
        <x:f t="shared" si="6"/>
        <x:v/>
      </x:c>
    </x:row>
    <x:row r="153" spans="2:21">
      <x:c r="B153" s="46" t="s">
        <x:v>1211</x:v>
      </x:c>
      <x:c r="C153" s="60" t="s">
        <x:v>535</x:v>
      </x:c>
      <x:c r="D153" s="60"/>
      <x:c r="E153" s="62">
        <x:v>980</x:v>
      </x:c>
      <x:c r="F153" s="62">
        <x:v>2290</x:v>
      </x:c>
      <x:c r="G153" s="62">
        <x:v>1212</x:v>
      </x:c>
      <x:c r="H153" s="62">
        <x:v>34</x:v>
      </x:c>
      <x:c r="I153" s="62">
        <x:v>25</x:v>
      </x:c>
      <x:c r="J153" s="62">
        <x:v>427</x:v>
      </x:c>
      <x:c r="K153" s="62">
        <x:v>150</x:v>
      </x:c>
      <x:c r="L153" s="62">
        <x:v>1070</x:v>
      </x:c>
      <x:c r="M153" s="62">
        <x:v>306</x:v>
      </x:c>
      <x:c r="N153" s="62">
        <x:v>519</x:v>
      </x:c>
      <x:c r="O153" s="62">
        <x:v>284</x:v>
      </x:c>
      <x:c r="P153" s="62" t="s">
        <x:v>818</x:v>
      </x:c>
      <x:c r="Q153" s="62" t="s">
        <x:v>818</x:v>
      </x:c>
      <x:c r="U153" s="189">
        <x:f t="shared" si="6"/>
        <x:v>1</x:v>
      </x:c>
    </x:row>
    <x:row r="154" spans="2:21">
      <x:c r="B154" s="46" t="s">
        <x:v>716</x:v>
      </x:c>
      <x:c r="C154" s="60" t="s">
        <x:v>536</x:v>
      </x:c>
      <x:c r="D154" s="60"/>
      <x:c r="E154" s="62">
        <x:v>6138</x:v>
      </x:c>
      <x:c r="F154" s="62">
        <x:v>4381</x:v>
      </x:c>
      <x:c r="G154" s="62">
        <x:v>5460</x:v>
      </x:c>
      <x:c r="H154" s="62">
        <x:v>10117</x:v>
      </x:c>
      <x:c r="I154" s="62">
        <x:v>9026</x:v>
      </x:c>
      <x:c r="J154" s="62">
        <x:v>5394</x:v>
      </x:c>
      <x:c r="K154" s="62">
        <x:v>8982</x:v>
      </x:c>
      <x:c r="L154" s="62">
        <x:v>3494</x:v>
      </x:c>
      <x:c r="M154" s="62">
        <x:v>4842</x:v>
      </x:c>
      <x:c r="N154" s="62">
        <x:v>7920</x:v>
      </x:c>
      <x:c r="O154" s="62">
        <x:v>7978</x:v>
      </x:c>
      <x:c r="P154" s="62" t="s">
        <x:v>818</x:v>
      </x:c>
      <x:c r="Q154" s="62" t="s">
        <x:v>818</x:v>
      </x:c>
      <x:c r="U154" s="189">
        <x:f t="shared" si="6"/>
        <x:v>1</x:v>
      </x:c>
    </x:row>
    <x:row r="155" spans="2:21">
      <x:c r="B155" s="46" t="s">
        <x:v>220</x:v>
      </x:c>
      <x:c r="C155" s="60" t="s">
        <x:v>510</x:v>
      </x:c>
      <x:c r="D155" s="60"/>
      <x:c r="E155" s="62" t="s">
        <x:v>818</x:v>
      </x:c>
      <x:c r="F155" s="62" t="s">
        <x:v>818</x:v>
      </x:c>
      <x:c r="G155" s="62" t="s">
        <x:v>818</x:v>
      </x:c>
      <x:c r="H155" s="62" t="s">
        <x:v>818</x:v>
      </x:c>
      <x:c r="I155" s="62" t="s">
        <x:v>818</x:v>
      </x:c>
      <x:c r="J155" s="62" t="s">
        <x:v>818</x:v>
      </x:c>
      <x:c r="K155" s="62" t="s">
        <x:v>818</x:v>
      </x:c>
      <x:c r="L155" s="62" t="s">
        <x:v>818</x:v>
      </x:c>
      <x:c r="M155" s="62" t="s">
        <x:v>818</x:v>
      </x:c>
      <x:c r="N155" s="62" t="s">
        <x:v>818</x:v>
      </x:c>
      <x:c r="O155" s="62" t="s">
        <x:v>818</x:v>
      </x:c>
      <x:c r="P155" s="62" t="s">
        <x:v>818</x:v>
      </x:c>
      <x:c r="Q155" s="62" t="s">
        <x:v>818</x:v>
      </x:c>
      <x:c r="U155" s="189" t="str">
        <x:f t="shared" si="6"/>
        <x:v/>
      </x:c>
    </x:row>
    <x:row r="156" spans="2:21">
      <x:c r="B156" s="46" t="s">
        <x:v>722</x:v>
      </x:c>
      <x:c r="C156" s="60" t="s">
        <x:v>698</x:v>
      </x:c>
      <x:c r="D156" s="60"/>
      <x:c r="E156" s="62" t="s">
        <x:v>818</x:v>
      </x:c>
      <x:c r="F156" s="62" t="s">
        <x:v>818</x:v>
      </x:c>
      <x:c r="G156" s="62" t="s">
        <x:v>818</x:v>
      </x:c>
      <x:c r="H156" s="62" t="s">
        <x:v>818</x:v>
      </x:c>
      <x:c r="I156" s="62" t="s">
        <x:v>818</x:v>
      </x:c>
      <x:c r="J156" s="62" t="s">
        <x:v>818</x:v>
      </x:c>
      <x:c r="K156" s="62" t="s">
        <x:v>818</x:v>
      </x:c>
      <x:c r="L156" s="62" t="s">
        <x:v>818</x:v>
      </x:c>
      <x:c r="M156" s="62" t="s">
        <x:v>818</x:v>
      </x:c>
      <x:c r="N156" s="62" t="s">
        <x:v>818</x:v>
      </x:c>
      <x:c r="O156" s="62" t="s">
        <x:v>818</x:v>
      </x:c>
      <x:c r="P156" s="62" t="s">
        <x:v>818</x:v>
      </x:c>
      <x:c r="Q156" s="62" t="s">
        <x:v>818</x:v>
      </x:c>
      <x:c r="U156" s="189" t="str">
        <x:f t="shared" si="6"/>
        <x:v/>
      </x:c>
    </x:row>
    <x:row r="157" spans="2:21">
      <x:c r="B157" s="46" t="s">
        <x:v>2467</x:v>
      </x:c>
      <x:c r="C157" s="60" t="s">
        <x:v>2484</x:v>
      </x:c>
      <x:c r="D157" s="60"/>
      <x:c r="E157" s="62">
        <x:v>7118</x:v>
      </x:c>
      <x:c r="F157" s="62">
        <x:v>6671</x:v>
      </x:c>
      <x:c r="G157" s="62">
        <x:v>6672</x:v>
      </x:c>
      <x:c r="H157" s="62">
        <x:v>10151</x:v>
      </x:c>
      <x:c r="I157" s="62">
        <x:v>9051</x:v>
      </x:c>
      <x:c r="J157" s="62">
        <x:v>5821</x:v>
      </x:c>
      <x:c r="K157" s="62">
        <x:v>9132</x:v>
      </x:c>
      <x:c r="L157" s="62">
        <x:v>4564</x:v>
      </x:c>
      <x:c r="M157" s="62">
        <x:v>5148</x:v>
      </x:c>
      <x:c r="N157" s="62">
        <x:v>8439</x:v>
      </x:c>
      <x:c r="O157" s="62">
        <x:v>8262</x:v>
      </x:c>
      <x:c r="P157" s="62" t="s">
        <x:v>818</x:v>
      </x:c>
      <x:c r="Q157" s="62" t="s">
        <x:v>818</x:v>
      </x:c>
      <x:c r="U157" s="189">
        <x:f t="shared" si="6"/>
        <x:v>1</x:v>
      </x:c>
    </x:row>
    <x:row r="158" spans="2:21">
      <x:c r="B158" s="46" t="s">
        <x:v>723</x:v>
      </x:c>
      <x:c r="C158" s="60" t="s">
        <x:v>2474</x:v>
      </x:c>
      <x:c r="D158" s="60"/>
      <x:c r="E158" s="62" t="s">
        <x:v>818</x:v>
      </x:c>
      <x:c r="F158" s="62" t="s">
        <x:v>818</x:v>
      </x:c>
      <x:c r="G158" s="62" t="s">
        <x:v>818</x:v>
      </x:c>
      <x:c r="H158" s="62" t="s">
        <x:v>818</x:v>
      </x:c>
      <x:c r="I158" s="62" t="s">
        <x:v>818</x:v>
      </x:c>
      <x:c r="J158" s="62" t="s">
        <x:v>818</x:v>
      </x:c>
      <x:c r="K158" s="62" t="s">
        <x:v>818</x:v>
      </x:c>
      <x:c r="L158" s="62" t="s">
        <x:v>818</x:v>
      </x:c>
      <x:c r="M158" s="62" t="s">
        <x:v>818</x:v>
      </x:c>
      <x:c r="N158" s="62" t="s">
        <x:v>818</x:v>
      </x:c>
      <x:c r="O158" s="62" t="s">
        <x:v>818</x:v>
      </x:c>
      <x:c r="P158" s="62" t="s">
        <x:v>818</x:v>
      </x:c>
      <x:c r="Q158" s="62" t="s">
        <x:v>818</x:v>
      </x:c>
      <x:c r="U158" s="189" t="str">
        <x:f t="shared" si="6"/>
        <x:v/>
      </x:c>
    </x:row>
    <x:row r="159" spans="2:21">
      <x:c r="B159" s="46" t="s">
        <x:v>232</x:v>
      </x:c>
      <x:c r="C159" s="60" t="s">
        <x:v>2476</x:v>
      </x:c>
      <x:c r="D159" s="60"/>
      <x:c r="E159" s="62">
        <x:v>37720</x:v>
      </x:c>
      <x:c r="F159" s="62">
        <x:v>35406</x:v>
      </x:c>
      <x:c r="G159" s="62">
        <x:v>37044</x:v>
      </x:c>
      <x:c r="H159" s="62">
        <x:v>42679</x:v>
      </x:c>
      <x:c r="I159" s="62">
        <x:v>36931</x:v>
      </x:c>
      <x:c r="J159" s="62">
        <x:v>59099</x:v>
      </x:c>
      <x:c r="K159" s="62">
        <x:v>62087</x:v>
      </x:c>
      <x:c r="L159" s="62">
        <x:v>49624</x:v>
      </x:c>
      <x:c r="M159" s="62">
        <x:v>43548</x:v>
      </x:c>
      <x:c r="N159" s="62">
        <x:v>48877</x:v>
      </x:c>
      <x:c r="O159" s="62">
        <x:v>48115</x:v>
      </x:c>
      <x:c r="P159" s="62" t="s">
        <x:v>818</x:v>
      </x:c>
      <x:c r="Q159" s="62" t="s">
        <x:v>818</x:v>
      </x:c>
      <x:c r="U159" s="189">
        <x:f t="shared" si="6"/>
        <x:v>1</x:v>
      </x:c>
    </x:row>
    <x:row r="160" spans="2:21">
      <x:c r="B160" s="46" t="s">
        <x:v>137</x:v>
      </x:c>
      <x:c r="C160" s="60" t="s">
        <x:v>2468</x:v>
      </x:c>
      <x:c r="D160" s="60"/>
      <x:c r="E160" s="62" t="s">
        <x:v>818</x:v>
      </x:c>
      <x:c r="F160" s="62" t="s">
        <x:v>818</x:v>
      </x:c>
      <x:c r="G160" s="62" t="s">
        <x:v>818</x:v>
      </x:c>
      <x:c r="H160" s="62" t="s">
        <x:v>818</x:v>
      </x:c>
      <x:c r="I160" s="62" t="s">
        <x:v>818</x:v>
      </x:c>
      <x:c r="J160" s="62" t="s">
        <x:v>818</x:v>
      </x:c>
      <x:c r="K160" s="62" t="s">
        <x:v>818</x:v>
      </x:c>
      <x:c r="L160" s="62" t="s">
        <x:v>818</x:v>
      </x:c>
      <x:c r="M160" s="62" t="s">
        <x:v>818</x:v>
      </x:c>
      <x:c r="N160" s="62" t="s">
        <x:v>818</x:v>
      </x:c>
      <x:c r="O160" s="62" t="s">
        <x:v>818</x:v>
      </x:c>
      <x:c r="P160" s="62" t="s">
        <x:v>818</x:v>
      </x:c>
      <x:c r="Q160" s="62" t="s">
        <x:v>818</x:v>
      </x:c>
      <x:c r="U160" s="189" t="str">
        <x:f t="shared" si="6"/>
        <x:v/>
      </x:c>
    </x:row>
    <x:row r="161" spans="2:21">
      <x:c r="B161" s="46" t="s">
        <x:v>221</x:v>
      </x:c>
      <x:c r="C161" s="60" t="s">
        <x:v>145</x:v>
      </x:c>
      <x:c r="D161" s="60"/>
      <x:c r="E161" s="62" t="s">
        <x:v>818</x:v>
      </x:c>
      <x:c r="F161" s="62" t="s">
        <x:v>818</x:v>
      </x:c>
      <x:c r="G161" s="62" t="s">
        <x:v>818</x:v>
      </x:c>
      <x:c r="H161" s="62" t="s">
        <x:v>818</x:v>
      </x:c>
      <x:c r="I161" s="62" t="s">
        <x:v>818</x:v>
      </x:c>
      <x:c r="J161" s="62" t="s">
        <x:v>818</x:v>
      </x:c>
      <x:c r="K161" s="62" t="s">
        <x:v>818</x:v>
      </x:c>
      <x:c r="L161" s="62" t="s">
        <x:v>818</x:v>
      </x:c>
      <x:c r="M161" s="62" t="s">
        <x:v>818</x:v>
      </x:c>
      <x:c r="N161" s="62" t="s">
        <x:v>818</x:v>
      </x:c>
      <x:c r="O161" s="62" t="s">
        <x:v>818</x:v>
      </x:c>
      <x:c r="P161" s="62" t="s">
        <x:v>818</x:v>
      </x:c>
      <x:c r="Q161" s="62" t="s">
        <x:v>818</x:v>
      </x:c>
      <x:c r="U161" s="189" t="str">
        <x:f t="shared" si="6"/>
        <x:v/>
      </x:c>
    </x:row>
    <x:row r="162" spans="2:21">
      <x:c r="B162" s="46" t="s">
        <x:v>1615</x:v>
      </x:c>
      <x:c r="C162" s="60" t="s">
        <x:v>1640</x:v>
      </x:c>
      <x:c r="D162" s="60"/>
      <x:c r="E162" s="62">
        <x:v>37720</x:v>
      </x:c>
      <x:c r="F162" s="62">
        <x:v>35406</x:v>
      </x:c>
      <x:c r="G162" s="62">
        <x:v>37044</x:v>
      </x:c>
      <x:c r="H162" s="62">
        <x:v>42679</x:v>
      </x:c>
      <x:c r="I162" s="62">
        <x:v>36931</x:v>
      </x:c>
      <x:c r="J162" s="62">
        <x:v>59099</x:v>
      </x:c>
      <x:c r="K162" s="62">
        <x:v>62087</x:v>
      </x:c>
      <x:c r="L162" s="62">
        <x:v>49624</x:v>
      </x:c>
      <x:c r="M162" s="62">
        <x:v>43548</x:v>
      </x:c>
      <x:c r="N162" s="62">
        <x:v>48877</x:v>
      </x:c>
      <x:c r="O162" s="62">
        <x:v>48115</x:v>
      </x:c>
      <x:c r="P162" s="62" t="s">
        <x:v>818</x:v>
      </x:c>
      <x:c r="Q162" s="62" t="s">
        <x:v>818</x:v>
      </x:c>
      <x:c r="U162" s="189">
        <x:f t="shared" si="6"/>
        <x:v>1</x:v>
      </x:c>
    </x:row>
    <x:row r="163" spans="2:21">
      <x:c r="B163" s="46" t="s">
        <x:v>229</x:v>
      </x:c>
      <x:c r="C163" s="60" t="s">
        <x:v>725</x:v>
      </x:c>
      <x:c r="D163" s="60"/>
      <x:c r="E163" s="62" t="s">
        <x:v>818</x:v>
      </x:c>
      <x:c r="F163" s="62" t="s">
        <x:v>818</x:v>
      </x:c>
      <x:c r="G163" s="62" t="s">
        <x:v>818</x:v>
      </x:c>
      <x:c r="H163" s="62" t="s">
        <x:v>818</x:v>
      </x:c>
      <x:c r="I163" s="62" t="s">
        <x:v>818</x:v>
      </x:c>
      <x:c r="J163" s="62" t="s">
        <x:v>818</x:v>
      </x:c>
      <x:c r="K163" s="62" t="s">
        <x:v>818</x:v>
      </x:c>
      <x:c r="L163" s="62" t="s">
        <x:v>818</x:v>
      </x:c>
      <x:c r="M163" s="62" t="s">
        <x:v>818</x:v>
      </x:c>
      <x:c r="N163" s="62" t="s">
        <x:v>818</x:v>
      </x:c>
      <x:c r="O163" s="62" t="s">
        <x:v>818</x:v>
      </x:c>
      <x:c r="P163" s="62" t="s">
        <x:v>818</x:v>
      </x:c>
      <x:c r="Q163" s="62" t="s">
        <x:v>818</x:v>
      </x:c>
      <x:c r="U163" s="189" t="str">
        <x:f t="shared" si="6"/>
        <x:v/>
      </x:c>
    </x:row>
    <x:row r="164" spans="2:21">
      <x:c r="B164" s="46" t="s">
        <x:v>1212</x:v>
      </x:c>
      <x:c r="C164" s="60" t="s">
        <x:v>2189</x:v>
      </x:c>
      <x:c r="D164" s="60"/>
      <x:c r="E164" s="62">
        <x:v>379592</x:v>
      </x:c>
      <x:c r="F164" s="62">
        <x:v>377757</x:v>
      </x:c>
      <x:c r="G164" s="62">
        <x:v>380300</x:v>
      </x:c>
      <x:c r="H164" s="62">
        <x:v>366600</x:v>
      </x:c>
      <x:c r="I164" s="62">
        <x:v>350600</x:v>
      </x:c>
      <x:c r="J164" s="62">
        <x:v>352600</x:v>
      </x:c>
      <x:c r="K164" s="62">
        <x:v>345900</x:v>
      </x:c>
      <x:c r="L164" s="62">
        <x:v>282100</x:v>
      </x:c>
      <x:c r="M164" s="62">
        <x:v>288300</x:v>
      </x:c>
      <x:c r="N164" s="62">
        <x:v>282200</x:v>
      </x:c>
      <x:c r="O164" s="62">
        <x:v>270300</x:v>
      </x:c>
      <x:c r="P164" s="62" t="s">
        <x:v>818</x:v>
      </x:c>
      <x:c r="Q164" s="62" t="s">
        <x:v>818</x:v>
      </x:c>
      <x:c r="U164" s="189">
        <x:f t="shared" si="6"/>
        <x:v>1</x:v>
      </x:c>
    </x:row>
    <x:row r="165" spans="2:21">
      <x:c r="B165" s="46" t="s">
        <x:v>1210</x:v>
      </x:c>
      <x:c r="C165" s="60" t="s">
        <x:v>2173</x:v>
      </x:c>
      <x:c r="D165" s="60"/>
      <x:c r="E165" s="62" t="s">
        <x:v>818</x:v>
      </x:c>
      <x:c r="F165" s="62" t="s">
        <x:v>818</x:v>
      </x:c>
      <x:c r="G165" s="62" t="s">
        <x:v>818</x:v>
      </x:c>
      <x:c r="H165" s="62" t="s">
        <x:v>818</x:v>
      </x:c>
      <x:c r="I165" s="62" t="s">
        <x:v>818</x:v>
      </x:c>
      <x:c r="J165" s="62" t="s">
        <x:v>818</x:v>
      </x:c>
      <x:c r="K165" s="62" t="s">
        <x:v>818</x:v>
      </x:c>
      <x:c r="L165" s="62" t="s">
        <x:v>818</x:v>
      </x:c>
      <x:c r="M165" s="62" t="s">
        <x:v>818</x:v>
      </x:c>
      <x:c r="N165" s="62" t="s">
        <x:v>818</x:v>
      </x:c>
      <x:c r="O165" s="62" t="s">
        <x:v>818</x:v>
      </x:c>
      <x:c r="P165" s="62" t="s">
        <x:v>818</x:v>
      </x:c>
      <x:c r="Q165" s="62" t="s">
        <x:v>818</x:v>
      </x:c>
      <x:c r="U165" s="189" t="str">
        <x:f t="shared" si="6"/>
        <x:v/>
      </x:c>
    </x:row>
    <x:row r="166" spans="2:21">
      <x:c r="B166" s="46" t="s">
        <x:v>2161</x:v>
      </x:c>
      <x:c r="C166" s="60" t="s">
        <x:v>506</x:v>
      </x:c>
      <x:c r="D166" s="60"/>
      <x:c r="E166" s="62">
        <x:v>379592</x:v>
      </x:c>
      <x:c r="F166" s="62">
        <x:v>377757</x:v>
      </x:c>
      <x:c r="G166" s="62">
        <x:v>380300</x:v>
      </x:c>
      <x:c r="H166" s="62">
        <x:v>366600</x:v>
      </x:c>
      <x:c r="I166" s="62">
        <x:v>350600</x:v>
      </x:c>
      <x:c r="J166" s="62">
        <x:v>352600</x:v>
      </x:c>
      <x:c r="K166" s="62">
        <x:v>345900</x:v>
      </x:c>
      <x:c r="L166" s="62">
        <x:v>282100</x:v>
      </x:c>
      <x:c r="M166" s="62">
        <x:v>288300</x:v>
      </x:c>
      <x:c r="N166" s="62">
        <x:v>282200</x:v>
      </x:c>
      <x:c r="O166" s="62">
        <x:v>270300</x:v>
      </x:c>
      <x:c r="P166" s="62" t="s">
        <x:v>818</x:v>
      </x:c>
      <x:c r="Q166" s="62" t="s">
        <x:v>818</x:v>
      </x:c>
      <x:c r="U166" s="189"/>
    </x:row>
    <x:row r="167" spans="2:21">
      <x:c r="B167" s="46" t="s">
        <x:v>2187</x:v>
      </x:c>
      <x:c r="C167" s="60" t="s">
        <x:v>507</x:v>
      </x:c>
      <x:c r="D167" s="60"/>
      <x:c r="E167" s="62" t="s">
        <x:v>818</x:v>
      </x:c>
      <x:c r="F167" s="62" t="s">
        <x:v>818</x:v>
      </x:c>
      <x:c r="G167" s="62" t="s">
        <x:v>818</x:v>
      </x:c>
      <x:c r="H167" s="62" t="s">
        <x:v>818</x:v>
      </x:c>
      <x:c r="I167" s="62" t="s">
        <x:v>818</x:v>
      </x:c>
      <x:c r="J167" s="62" t="s">
        <x:v>818</x:v>
      </x:c>
      <x:c r="K167" s="62" t="s">
        <x:v>818</x:v>
      </x:c>
      <x:c r="L167" s="62" t="s">
        <x:v>818</x:v>
      </x:c>
      <x:c r="M167" s="62" t="s">
        <x:v>818</x:v>
      </x:c>
      <x:c r="N167" s="62" t="s">
        <x:v>818</x:v>
      </x:c>
      <x:c r="O167" s="62" t="s">
        <x:v>818</x:v>
      </x:c>
      <x:c r="P167" s="62" t="s">
        <x:v>818</x:v>
      </x:c>
      <x:c r="Q167" s="62" t="s">
        <x:v>818</x:v>
      </x:c>
      <x:c r="U167" s="189"/>
    </x:row>
    <x:row r="168" spans="2:21">
      <x:c r="B168" s="46" t="s">
        <x:v>187</x:v>
      </x:c>
      <x:c r="C168" s="60" t="s">
        <x:v>2472</x:v>
      </x:c>
      <x:c r="D168" s="60"/>
      <x:c r="E168" s="62">
        <x:v>11162</x:v>
      </x:c>
      <x:c r="F168" s="62">
        <x:v>10373</x:v>
      </x:c>
      <x:c r="G168" s="62">
        <x:v>9774</x:v>
      </x:c>
      <x:c r="H168" s="62">
        <x:v>8063</x:v>
      </x:c>
      <x:c r="I168" s="62">
        <x:v>8611</x:v>
      </x:c>
      <x:c r="J168" s="62">
        <x:v>6453</x:v>
      </x:c>
      <x:c r="K168" s="62">
        <x:v>5990</x:v>
      </x:c>
      <x:c r="L168" s="62">
        <x:v>1448</x:v>
      </x:c>
      <x:c r="M168" s="62">
        <x:v>-711</x:v>
      </x:c>
      <x:c r="N168" s="62">
        <x:v>1218</x:v>
      </x:c>
      <x:c r="O168" s="62">
        <x:v>-87</x:v>
      </x:c>
      <x:c r="P168" s="62" t="s">
        <x:v>818</x:v>
      </x:c>
      <x:c r="Q168" s="62" t="s">
        <x:v>818</x:v>
      </x:c>
      <x:c r="U168" s="189">
        <x:f t="shared" ref="U168:U198" si="7">IF(COUNT(E168:Q168)&lt;&gt;0,1,"")</x:f>
        <x:v>1</x:v>
      </x:c>
    </x:row>
    <x:row r="169" spans="2:21">
      <x:c r="B169" s="46" t="s">
        <x:v>1217</x:v>
      </x:c>
      <x:c r="C169" s="60" t="s">
        <x:v>1644</x:v>
      </x:c>
      <x:c r="D169" s="60"/>
      <x:c r="E169" s="62">
        <x:v>11976</x:v>
      </x:c>
      <x:c r="F169" s="62">
        <x:v>11560</x:v>
      </x:c>
      <x:c r="G169" s="62" t="s">
        <x:v>818</x:v>
      </x:c>
      <x:c r="H169" s="62" t="s">
        <x:v>818</x:v>
      </x:c>
      <x:c r="I169" s="62" t="s">
        <x:v>818</x:v>
      </x:c>
      <x:c r="J169" s="62">
        <x:v>12984</x:v>
      </x:c>
      <x:c r="K169" s="62">
        <x:v>12192</x:v>
      </x:c>
      <x:c r="L169" s="62">
        <x:v>11496</x:v>
      </x:c>
      <x:c r="M169" s="62">
        <x:v>9976</x:v>
      </x:c>
      <x:c r="N169" s="62">
        <x:v>10336</x:v>
      </x:c>
      <x:c r="O169" s="62">
        <x:v>10472</x:v>
      </x:c>
      <x:c r="P169" s="62" t="s">
        <x:v>818</x:v>
      </x:c>
      <x:c r="Q169" s="62" t="s">
        <x:v>818</x:v>
      </x:c>
      <x:c r="U169" s="189">
        <x:f t="shared" si="7"/>
        <x:v>1</x:v>
      </x:c>
    </x:row>
    <x:row r="170" spans="2:21">
      <x:c r="B170" s="46" t="s">
        <x:v>223</x:v>
      </x:c>
      <x:c r="C170" s="60" t="s">
        <x:v>1645</x:v>
      </x:c>
      <x:c r="D170" s="60"/>
      <x:c r="E170" s="62" t="s">
        <x:v>818</x:v>
      </x:c>
      <x:c r="F170" s="62" t="s">
        <x:v>818</x:v>
      </x:c>
      <x:c r="G170" s="62" t="s">
        <x:v>818</x:v>
      </x:c>
      <x:c r="H170" s="62" t="s">
        <x:v>818</x:v>
      </x:c>
      <x:c r="I170" s="62" t="s">
        <x:v>818</x:v>
      </x:c>
      <x:c r="J170" s="62" t="s">
        <x:v>818</x:v>
      </x:c>
      <x:c r="K170" s="62" t="s">
        <x:v>818</x:v>
      </x:c>
      <x:c r="L170" s="62" t="s">
        <x:v>818</x:v>
      </x:c>
      <x:c r="M170" s="62" t="s">
        <x:v>818</x:v>
      </x:c>
      <x:c r="N170" s="62" t="s">
        <x:v>818</x:v>
      </x:c>
      <x:c r="O170" s="62" t="s">
        <x:v>818</x:v>
      </x:c>
      <x:c r="P170" s="62" t="s">
        <x:v>818</x:v>
      </x:c>
      <x:c r="Q170" s="62" t="s">
        <x:v>818</x:v>
      </x:c>
      <x:c r="U170" s="189" t="str">
        <x:f t="shared" si="7"/>
        <x:v/>
      </x:c>
    </x:row>
    <x:row r="171" spans="2:21">
      <x:c r="B171" s="46" t="s">
        <x:v>233</x:v>
      </x:c>
      <x:c r="C171" s="60" t="s">
        <x:v>1654</x:v>
      </x:c>
      <x:c r="D171" s="60"/>
      <x:c r="E171" s="62">
        <x:v>29103</x:v>
      </x:c>
      <x:c r="F171" s="62">
        <x:v>27205</x:v>
      </x:c>
      <x:c r="G171" s="62">
        <x:v>27859</x:v>
      </x:c>
      <x:c r="H171" s="62">
        <x:v>31434</x:v>
      </x:c>
      <x:c r="I171" s="62">
        <x:v>31227</x:v>
      </x:c>
      <x:c r="J171" s="62">
        <x:v>24727</x:v>
      </x:c>
      <x:c r="K171" s="62">
        <x:v>21098</x:v>
      </x:c>
      <x:c r="L171" s="62">
        <x:v>13929</x:v>
      </x:c>
      <x:c r="M171" s="62">
        <x:v>12872</x:v>
      </x:c>
      <x:c r="N171" s="62">
        <x:v>11879</x:v>
      </x:c>
      <x:c r="O171" s="62">
        <x:v>12116</x:v>
      </x:c>
      <x:c r="P171" s="62">
        <x:v>15100</x:v>
      </x:c>
      <x:c r="Q171" s="62">
        <x:v>15100</x:v>
      </x:c>
      <x:c r="U171" s="189">
        <x:f t="shared" si="7"/>
        <x:v>1</x:v>
      </x:c>
    </x:row>
    <x:row r="172" spans="2:21">
      <x:c r="B172" s="46" t="s">
        <x:v>1631</x:v>
      </x:c>
      <x:c r="C172" s="60" t="s">
        <x:v>2485</x:v>
      </x:c>
      <x:c r="D172" s="60"/>
      <x:c r="E172" s="62">
        <x:v>29103</x:v>
      </x:c>
      <x:c r="F172" s="62">
        <x:v>27205</x:v>
      </x:c>
      <x:c r="G172" s="62">
        <x:v>27859</x:v>
      </x:c>
      <x:c r="H172" s="62">
        <x:v>31434</x:v>
      </x:c>
      <x:c r="I172" s="62">
        <x:v>31227</x:v>
      </x:c>
      <x:c r="J172" s="62">
        <x:v>24727</x:v>
      </x:c>
      <x:c r="K172" s="62">
        <x:v>21098</x:v>
      </x:c>
      <x:c r="L172" s="62">
        <x:v>13929</x:v>
      </x:c>
      <x:c r="M172" s="62">
        <x:v>12872</x:v>
      </x:c>
      <x:c r="N172" s="62">
        <x:v>11879</x:v>
      </x:c>
      <x:c r="O172" s="62">
        <x:v>12116</x:v>
      </x:c>
      <x:c r="P172" s="62">
        <x:v>15100</x:v>
      </x:c>
      <x:c r="Q172" s="62">
        <x:v>15100</x:v>
      </x:c>
      <x:c r="U172" s="189">
        <x:f t="shared" si="7"/>
        <x:v>1</x:v>
      </x:c>
    </x:row>
    <x:row r="173" spans="2:21">
      <x:c r="B173" s="46" t="s">
        <x:v>234</x:v>
      </x:c>
      <x:c r="C173" s="60" t="s">
        <x:v>2464</x:v>
      </x:c>
      <x:c r="D173" s="60"/>
      <x:c r="E173" s="62" t="s">
        <x:v>818</x:v>
      </x:c>
      <x:c r="F173" s="62" t="s">
        <x:v>818</x:v>
      </x:c>
      <x:c r="G173" s="62" t="s">
        <x:v>818</x:v>
      </x:c>
      <x:c r="H173" s="62" t="s">
        <x:v>818</x:v>
      </x:c>
      <x:c r="I173" s="62" t="s">
        <x:v>818</x:v>
      </x:c>
      <x:c r="J173" s="62" t="s">
        <x:v>818</x:v>
      </x:c>
      <x:c r="K173" s="62" t="s">
        <x:v>818</x:v>
      </x:c>
      <x:c r="L173" s="62" t="s">
        <x:v>818</x:v>
      </x:c>
      <x:c r="M173" s="62" t="s">
        <x:v>818</x:v>
      </x:c>
      <x:c r="N173" s="62" t="s">
        <x:v>818</x:v>
      </x:c>
      <x:c r="O173" s="62" t="s">
        <x:v>818</x:v>
      </x:c>
      <x:c r="P173" s="62" t="s">
        <x:v>818</x:v>
      </x:c>
      <x:c r="Q173" s="62" t="s">
        <x:v>818</x:v>
      </x:c>
      <x:c r="U173" s="189" t="str">
        <x:f t="shared" si="7"/>
        <x:v/>
      </x:c>
    </x:row>
    <x:row r="174" spans="2:21">
      <x:c r="B174" s="46" t="s">
        <x:v>224</x:v>
      </x:c>
      <x:c r="C174" s="60" t="s">
        <x:v>2486</x:v>
      </x:c>
      <x:c r="D174" s="60"/>
      <x:c r="E174" s="62" t="s">
        <x:v>818</x:v>
      </x:c>
      <x:c r="F174" s="62" t="s">
        <x:v>818</x:v>
      </x:c>
      <x:c r="G174" s="62" t="s">
        <x:v>818</x:v>
      </x:c>
      <x:c r="H174" s="62" t="s">
        <x:v>818</x:v>
      </x:c>
      <x:c r="I174" s="62" t="s">
        <x:v>818</x:v>
      </x:c>
      <x:c r="J174" s="62" t="s">
        <x:v>818</x:v>
      </x:c>
      <x:c r="K174" s="62" t="s">
        <x:v>818</x:v>
      </x:c>
      <x:c r="L174" s="62" t="s">
        <x:v>818</x:v>
      </x:c>
      <x:c r="M174" s="62" t="s">
        <x:v>818</x:v>
      </x:c>
      <x:c r="N174" s="62" t="s">
        <x:v>818</x:v>
      </x:c>
      <x:c r="O174" s="62" t="s">
        <x:v>818</x:v>
      </x:c>
      <x:c r="P174" s="62" t="s">
        <x:v>818</x:v>
      </x:c>
      <x:c r="Q174" s="62" t="s">
        <x:v>818</x:v>
      </x:c>
      <x:c r="U174" s="189" t="str">
        <x:f t="shared" si="7"/>
        <x:v/>
      </x:c>
    </x:row>
    <x:row r="175" spans="2:21">
      <x:c r="B175" s="46" t="s">
        <x:v>694</x:v>
      </x:c>
      <x:c r="C175" s="60" t="s">
        <x:v>2469</x:v>
      </x:c>
      <x:c r="D175" s="60"/>
      <x:c r="E175" s="62" t="s">
        <x:v>818</x:v>
      </x:c>
      <x:c r="F175" s="62" t="s">
        <x:v>818</x:v>
      </x:c>
      <x:c r="G175" s="62" t="s">
        <x:v>818</x:v>
      </x:c>
      <x:c r="H175" s="62" t="s">
        <x:v>818</x:v>
      </x:c>
      <x:c r="I175" s="62" t="s">
        <x:v>818</x:v>
      </x:c>
      <x:c r="J175" s="62" t="s">
        <x:v>818</x:v>
      </x:c>
      <x:c r="K175" s="62" t="s">
        <x:v>818</x:v>
      </x:c>
      <x:c r="L175" s="62" t="s">
        <x:v>818</x:v>
      </x:c>
      <x:c r="M175" s="62" t="s">
        <x:v>818</x:v>
      </x:c>
      <x:c r="N175" s="62" t="s">
        <x:v>818</x:v>
      </x:c>
      <x:c r="O175" s="62" t="s">
        <x:v>818</x:v>
      </x:c>
      <x:c r="P175" s="62" t="s">
        <x:v>818</x:v>
      </x:c>
      <x:c r="Q175" s="62" t="s">
        <x:v>818</x:v>
      </x:c>
      <x:c r="U175" s="189" t="str">
        <x:f t="shared" si="7"/>
        <x:v/>
      </x:c>
    </x:row>
    <x:row r="176" spans="2:21">
      <x:c r="B176" s="46" t="s">
        <x:v>202</x:v>
      </x:c>
      <x:c r="C176" s="60" t="s">
        <x:v>695</x:v>
      </x:c>
      <x:c r="D176" s="60"/>
      <x:c r="E176" s="62" t="s">
        <x:v>818</x:v>
      </x:c>
      <x:c r="F176" s="62" t="s">
        <x:v>818</x:v>
      </x:c>
      <x:c r="G176" s="62">
        <x:v>1125</x:v>
      </x:c>
      <x:c r="H176" s="62" t="s">
        <x:v>818</x:v>
      </x:c>
      <x:c r="I176" s="62" t="s">
        <x:v>818</x:v>
      </x:c>
      <x:c r="J176" s="62" t="s">
        <x:v>818</x:v>
      </x:c>
      <x:c r="K176" s="62" t="s">
        <x:v>818</x:v>
      </x:c>
      <x:c r="L176" s="62" t="s">
        <x:v>818</x:v>
      </x:c>
      <x:c r="M176" s="62" t="s">
        <x:v>818</x:v>
      </x:c>
      <x:c r="N176" s="62" t="s">
        <x:v>818</x:v>
      </x:c>
      <x:c r="O176" s="62" t="s">
        <x:v>818</x:v>
      </x:c>
      <x:c r="P176" s="62" t="s">
        <x:v>818</x:v>
      </x:c>
      <x:c r="Q176" s="62" t="s">
        <x:v>818</x:v>
      </x:c>
      <x:c r="U176" s="189">
        <x:f t="shared" si="7"/>
        <x:v>1</x:v>
      </x:c>
    </x:row>
    <x:row r="177" spans="2:21">
      <x:c r="B177" s="46" t="s">
        <x:v>1871</x:v>
      </x:c>
      <x:c r="C177" s="60" t="s">
        <x:v>2477</x:v>
      </x:c>
      <x:c r="D177" s="60"/>
      <x:c r="E177" s="62">
        <x:v>7747</x:v>
      </x:c>
      <x:c r="F177" s="62">
        <x:v>7948</x:v>
      </x:c>
      <x:c r="G177" s="62">
        <x:v>7852</x:v>
      </x:c>
      <x:c r="H177" s="62">
        <x:v>6505</x:v>
      </x:c>
      <x:c r="I177" s="62">
        <x:v>6261</x:v>
      </x:c>
      <x:c r="J177" s="62">
        <x:v>7300</x:v>
      </x:c>
      <x:c r="K177" s="62" t="s">
        <x:v>818</x:v>
      </x:c>
      <x:c r="L177" s="62" t="s">
        <x:v>818</x:v>
      </x:c>
      <x:c r="M177" s="62" t="s">
        <x:v>818</x:v>
      </x:c>
      <x:c r="N177" s="62" t="s">
        <x:v>818</x:v>
      </x:c>
      <x:c r="O177" s="62" t="s">
        <x:v>818</x:v>
      </x:c>
      <x:c r="P177" s="62" t="s">
        <x:v>818</x:v>
      </x:c>
      <x:c r="Q177" s="62" t="s">
        <x:v>818</x:v>
      </x:c>
      <x:c r="U177" s="189">
        <x:f t="shared" si="7"/>
        <x:v>1</x:v>
      </x:c>
    </x:row>
    <x:row r="178" spans="2:21">
      <x:c r="B178" s="46" t="s">
        <x:v>1214</x:v>
      </x:c>
      <x:c r="C178" s="60" t="s">
        <x:v>1632</x:v>
      </x:c>
      <x:c r="D178" s="60"/>
      <x:c r="E178" s="62">
        <x:v>165</x:v>
      </x:c>
      <x:c r="F178" s="62">
        <x:v>164</x:v>
      </x:c>
      <x:c r="G178" s="62">
        <x:v>145</x:v>
      </x:c>
      <x:c r="H178" s="62">
        <x:v>378</x:v>
      </x:c>
      <x:c r="I178" s="62">
        <x:v>177</x:v>
      </x:c>
      <x:c r="J178" s="62">
        <x:v>167</x:v>
      </x:c>
      <x:c r="K178" s="62">
        <x:v>587</x:v>
      </x:c>
      <x:c r="L178" s="62">
        <x:v>60</x:v>
      </x:c>
      <x:c r="M178" s="62">
        <x:v>546</x:v>
      </x:c>
      <x:c r="N178" s="62">
        <x:v>294</x:v>
      </x:c>
      <x:c r="O178" s="62">
        <x:v>262</x:v>
      </x:c>
      <x:c r="P178" s="62" t="s">
        <x:v>818</x:v>
      </x:c>
      <x:c r="Q178" s="62" t="s">
        <x:v>818</x:v>
      </x:c>
      <x:c r="U178" s="189">
        <x:f t="shared" si="7"/>
        <x:v>1</x:v>
      </x:c>
    </x:row>
    <x:row r="179" spans="2:21">
      <x:c r="B179" s="46" t="s">
        <x:v>702</x:v>
      </x:c>
      <x:c r="C179" s="60" t="s">
        <x:v>1215</x:v>
      </x:c>
      <x:c r="D179" s="60"/>
      <x:c r="E179" s="62">
        <x:v>30</x:v>
      </x:c>
      <x:c r="F179" s="62">
        <x:v>19</x:v>
      </x:c>
      <x:c r="G179" s="62">
        <x:v>53</x:v>
      </x:c>
      <x:c r="H179" s="62">
        <x:v>4</x:v>
      </x:c>
      <x:c r="I179" s="62">
        <x:v>206</x:v>
      </x:c>
      <x:c r="J179" s="62">
        <x:v>506</x:v>
      </x:c>
      <x:c r="K179" s="62">
        <x:v>40</x:v>
      </x:c>
      <x:c r="L179" s="62">
        <x:v>103</x:v>
      </x:c>
      <x:c r="M179" s="62">
        <x:v>488</x:v>
      </x:c>
      <x:c r="N179" s="62">
        <x:v>299</x:v>
      </x:c>
      <x:c r="O179" s="62">
        <x:v>463</x:v>
      </x:c>
      <x:c r="P179" s="62" t="s">
        <x:v>818</x:v>
      </x:c>
      <x:c r="Q179" s="62" t="s">
        <x:v>818</x:v>
      </x:c>
      <x:c r="U179" s="189">
        <x:f t="shared" si="7"/>
        <x:v>1</x:v>
      </x:c>
    </x:row>
    <x:row r="180" spans="2:21">
      <x:c r="B180" s="46" t="s">
        <x:v>696</x:v>
      </x:c>
      <x:c r="C180" s="60" t="s">
        <x:v>1213</x:v>
      </x:c>
      <x:c r="D180" s="60"/>
      <x:c r="E180" s="62">
        <x:v>5</x:v>
      </x:c>
      <x:c r="F180" s="62" t="s">
        <x:v>818</x:v>
      </x:c>
      <x:c r="G180" s="62" t="s">
        <x:v>818</x:v>
      </x:c>
      <x:c r="H180" s="62">
        <x:v>2</x:v>
      </x:c>
      <x:c r="I180" s="62" t="s">
        <x:v>818</x:v>
      </x:c>
      <x:c r="J180" s="62" t="s">
        <x:v>818</x:v>
      </x:c>
      <x:c r="K180" s="62" t="s">
        <x:v>818</x:v>
      </x:c>
      <x:c r="L180" s="62" t="s">
        <x:v>818</x:v>
      </x:c>
      <x:c r="M180" s="62" t="s">
        <x:v>818</x:v>
      </x:c>
      <x:c r="N180" s="62" t="s">
        <x:v>818</x:v>
      </x:c>
      <x:c r="O180" s="62" t="s">
        <x:v>818</x:v>
      </x:c>
      <x:c r="P180" s="62" t="s">
        <x:v>818</x:v>
      </x:c>
      <x:c r="Q180" s="62" t="s">
        <x:v>818</x:v>
      </x:c>
      <x:c r="U180" s="189">
        <x:f t="shared" si="7"/>
        <x:v>1</x:v>
      </x:c>
    </x:row>
    <x:row r="181" spans="2:21">
      <x:c r="B181" s="46" t="s">
        <x:v>1652</x:v>
      </x:c>
      <x:c r="C181" s="60" t="s">
        <x:v>1216</x:v>
      </x:c>
      <x:c r="D181" s="60"/>
      <x:c r="E181" s="62">
        <x:v>746</x:v>
      </x:c>
      <x:c r="F181" s="62">
        <x:v>293</x:v>
      </x:c>
      <x:c r="G181" s="62">
        <x:v>532</x:v>
      </x:c>
      <x:c r="H181" s="62">
        <x:v>184</x:v>
      </x:c>
      <x:c r="I181" s="62">
        <x:v>385</x:v>
      </x:c>
      <x:c r="J181" s="62">
        <x:v>149</x:v>
      </x:c>
      <x:c r="K181" s="62">
        <x:v>85</x:v>
      </x:c>
      <x:c r="L181" s="62">
        <x:v>358</x:v>
      </x:c>
      <x:c r="M181" s="62">
        <x:v>271</x:v>
      </x:c>
      <x:c r="N181" s="62">
        <x:v>304</x:v>
      </x:c>
      <x:c r="O181" s="62">
        <x:v>575</x:v>
      </x:c>
      <x:c r="P181" s="62" t="s">
        <x:v>818</x:v>
      </x:c>
      <x:c r="Q181" s="62" t="s">
        <x:v>818</x:v>
      </x:c>
      <x:c r="U181" s="189">
        <x:f t="shared" si="7"/>
        <x:v>1</x:v>
      </x:c>
    </x:row>
    <x:row r="182" spans="2:21">
      <x:c r="B182" s="46" t="s">
        <x:v>1856</x:v>
      </x:c>
      <x:c r="C182" s="60" t="s">
        <x:v>2475</x:v>
      </x:c>
      <x:c r="D182" s="60"/>
      <x:c r="E182" s="62">
        <x:v>54</x:v>
      </x:c>
      <x:c r="F182" s="62">
        <x:v>45</x:v>
      </x:c>
      <x:c r="G182" s="62">
        <x:v>39</x:v>
      </x:c>
      <x:c r="H182" s="62">
        <x:v>298</x:v>
      </x:c>
      <x:c r="I182" s="62">
        <x:v>347</x:v>
      </x:c>
      <x:c r="J182" s="62">
        <x:v>94</x:v>
      </x:c>
      <x:c r="K182" s="62">
        <x:v>151</x:v>
      </x:c>
      <x:c r="L182" s="62">
        <x:v>40</x:v>
      </x:c>
      <x:c r="M182" s="62">
        <x:v>7</x:v>
      </x:c>
      <x:c r="N182" s="62">
        <x:v>37</x:v>
      </x:c>
      <x:c r="O182" s="62">
        <x:v>96</x:v>
      </x:c>
      <x:c r="P182" s="62" t="s">
        <x:v>818</x:v>
      </x:c>
      <x:c r="Q182" s="62" t="s">
        <x:v>818</x:v>
      </x:c>
      <x:c r="U182" s="189">
        <x:f t="shared" si="7"/>
        <x:v>1</x:v>
      </x:c>
    </x:row>
    <x:row r="183" spans="2:21">
      <x:c r="B183" s="46" t="s">
        <x:v>2481</x:v>
      </x:c>
      <x:c r="C183" s="60" t="s">
        <x:v>2487</x:v>
      </x:c>
      <x:c r="D183" s="60"/>
      <x:c r="E183" s="62">
        <x:v>5432</x:v>
      </x:c>
      <x:c r="F183" s="62">
        <x:v>5196</x:v>
      </x:c>
      <x:c r="G183" s="62">
        <x:v>6928</x:v>
      </x:c>
      <x:c r="H183" s="62">
        <x:v>5660</x:v>
      </x:c>
      <x:c r="I183" s="62">
        <x:v>4921</x:v>
      </x:c>
      <x:c r="J183" s="62">
        <x:v>17538</x:v>
      </x:c>
      <x:c r="K183" s="62">
        <x:v>16945</x:v>
      </x:c>
      <x:c r="L183" s="62">
        <x:v>17335</x:v>
      </x:c>
      <x:c r="M183" s="62">
        <x:v>15938</x:v>
      </x:c>
      <x:c r="N183" s="62">
        <x:v>16628</x:v>
      </x:c>
      <x:c r="O183" s="62">
        <x:v>17964</x:v>
      </x:c>
      <x:c r="P183" s="62" t="s">
        <x:v>818</x:v>
      </x:c>
      <x:c r="Q183" s="62" t="s">
        <x:v>818</x:v>
      </x:c>
      <x:c r="U183" s="189">
        <x:f t="shared" si="7"/>
        <x:v>1</x:v>
      </x:c>
    </x:row>
    <x:row r="184" spans="2:21">
      <x:c r="B184" s="46" t="s">
        <x:v>265</x:v>
      </x:c>
      <x:c r="C184" s="60" t="s">
        <x:v>512</x:v>
      </x:c>
      <x:c r="D184" s="60"/>
      <x:c r="E184" s="62" t="s">
        <x:v>818</x:v>
      </x:c>
      <x:c r="F184" s="62" t="s">
        <x:v>818</x:v>
      </x:c>
      <x:c r="G184" s="62" t="s">
        <x:v>818</x:v>
      </x:c>
      <x:c r="H184" s="62" t="s">
        <x:v>818</x:v>
      </x:c>
      <x:c r="I184" s="62" t="s">
        <x:v>818</x:v>
      </x:c>
      <x:c r="J184" s="62" t="s">
        <x:v>818</x:v>
      </x:c>
      <x:c r="K184" s="62" t="s">
        <x:v>818</x:v>
      </x:c>
      <x:c r="L184" s="62" t="s">
        <x:v>818</x:v>
      </x:c>
      <x:c r="M184" s="62" t="s">
        <x:v>818</x:v>
      </x:c>
      <x:c r="N184" s="62" t="s">
        <x:v>818</x:v>
      </x:c>
      <x:c r="O184" s="62" t="s">
        <x:v>818</x:v>
      </x:c>
      <x:c r="P184" s="62" t="s">
        <x:v>818</x:v>
      </x:c>
      <x:c r="Q184" s="62" t="s">
        <x:v>818</x:v>
      </x:c>
      <x:c r="U184" s="189" t="str">
        <x:f t="shared" si="7"/>
        <x:v/>
      </x:c>
    </x:row>
    <x:row r="185" spans="2:21">
      <x:c r="B185" s="46" t="s">
        <x:v>101</x:v>
      </x:c>
      <x:c r="C185" s="60" t="s">
        <x:v>1650</x:v>
      </x:c>
      <x:c r="D185" s="60"/>
      <x:c r="E185" s="62">
        <x:v>-3024</x:v>
      </x:c>
      <x:c r="F185" s="62">
        <x:v>-2476</x:v>
      </x:c>
      <x:c r="G185" s="62">
        <x:v>-3116</x:v>
      </x:c>
      <x:c r="H185" s="62">
        <x:v>-2728</x:v>
      </x:c>
      <x:c r="I185" s="62">
        <x:v>-2772</x:v>
      </x:c>
      <x:c r="J185" s="62">
        <x:v>-3309</x:v>
      </x:c>
      <x:c r="K185" s="62">
        <x:v>-4169</x:v>
      </x:c>
      <x:c r="L185" s="62">
        <x:v>-5769</x:v>
      </x:c>
      <x:c r="M185" s="62">
        <x:v>-5699</x:v>
      </x:c>
      <x:c r="N185" s="62">
        <x:v>-6466</x:v>
      </x:c>
      <x:c r="O185" s="62">
        <x:v>-8094</x:v>
      </x:c>
      <x:c r="P185" s="62" t="s">
        <x:v>818</x:v>
      </x:c>
      <x:c r="Q185" s="62" t="s">
        <x:v>818</x:v>
      </x:c>
      <x:c r="U185" s="189">
        <x:f t="shared" si="7"/>
        <x:v>1</x:v>
      </x:c>
    </x:row>
    <x:row r="186" spans="2:21">
      <x:c r="B186" s="46" t="s">
        <x:v>2181</x:v>
      </x:c>
      <x:c r="C186" s="60" t="s">
        <x:v>556</x:v>
      </x:c>
      <x:c r="D186" s="60"/>
      <x:c r="E186" s="62" t="s">
        <x:v>818</x:v>
      </x:c>
      <x:c r="F186" s="62" t="s">
        <x:v>818</x:v>
      </x:c>
      <x:c r="G186" s="62" t="s">
        <x:v>818</x:v>
      </x:c>
      <x:c r="H186" s="62" t="s">
        <x:v>818</x:v>
      </x:c>
      <x:c r="I186" s="62" t="s">
        <x:v>818</x:v>
      </x:c>
      <x:c r="J186" s="62" t="s">
        <x:v>818</x:v>
      </x:c>
      <x:c r="K186" s="62" t="s">
        <x:v>818</x:v>
      </x:c>
      <x:c r="L186" s="62" t="s">
        <x:v>818</x:v>
      </x:c>
      <x:c r="M186" s="62" t="s">
        <x:v>818</x:v>
      </x:c>
      <x:c r="N186" s="62" t="s">
        <x:v>818</x:v>
      </x:c>
      <x:c r="O186" s="62" t="s">
        <x:v>818</x:v>
      </x:c>
      <x:c r="P186" s="62" t="s">
        <x:v>818</x:v>
      </x:c>
      <x:c r="Q186" s="62" t="s">
        <x:v>818</x:v>
      </x:c>
      <x:c r="U186" s="189" t="str">
        <x:f t="shared" si="7"/>
        <x:v/>
      </x:c>
    </x:row>
    <x:row r="187" spans="2:21">
      <x:c r="B187" s="46" t="s">
        <x:v>2188</x:v>
      </x:c>
      <x:c r="C187" s="60" t="s">
        <x:v>555</x:v>
      </x:c>
      <x:c r="D187" s="60"/>
      <x:c r="E187" s="62" t="s">
        <x:v>818</x:v>
      </x:c>
      <x:c r="F187" s="62" t="s">
        <x:v>818</x:v>
      </x:c>
      <x:c r="G187" s="62" t="s">
        <x:v>818</x:v>
      </x:c>
      <x:c r="H187" s="62" t="s">
        <x:v>818</x:v>
      </x:c>
      <x:c r="I187" s="62">
        <x:v>36265</x:v>
      </x:c>
      <x:c r="J187" s="62">
        <x:v>58222</x:v>
      </x:c>
      <x:c r="K187" s="62">
        <x:v>53765</x:v>
      </x:c>
      <x:c r="L187" s="62">
        <x:v>55643</x:v>
      </x:c>
      <x:c r="M187" s="62">
        <x:v>55949</x:v>
      </x:c>
      <x:c r="N187" s="62">
        <x:v>60178</x:v>
      </x:c>
      <x:c r="O187" s="62">
        <x:v>60706</x:v>
      </x:c>
      <x:c r="P187" s="62">
        <x:v>67717</x:v>
      </x:c>
      <x:c r="Q187" s="62">
        <x:v>67717</x:v>
      </x:c>
      <x:c r="U187" s="189">
        <x:f t="shared" si="7"/>
        <x:v>1</x:v>
      </x:c>
    </x:row>
    <x:row r="188" spans="2:21">
      <x:c r="B188" s="46" t="s">
        <x:v>508</x:v>
      </x:c>
      <x:c r="C188" s="60" t="s">
        <x:v>2167</x:v>
      </x:c>
      <x:c r="D188" s="60"/>
      <x:c r="E188" s="62" t="s">
        <x:v>818</x:v>
      </x:c>
      <x:c r="F188" s="62" t="s">
        <x:v>818</x:v>
      </x:c>
      <x:c r="G188" s="62" t="s">
        <x:v>818</x:v>
      </x:c>
      <x:c r="H188" s="62" t="s">
        <x:v>818</x:v>
      </x:c>
      <x:c r="I188" s="62">
        <x:v>3087</x:v>
      </x:c>
      <x:c r="J188" s="62">
        <x:v>15235</x:v>
      </x:c>
      <x:c r="K188" s="62">
        <x:v>13739</x:v>
      </x:c>
      <x:c r="L188" s="62">
        <x:v>12511</x:v>
      </x:c>
      <x:c r="M188" s="62">
        <x:v>11184</x:v>
      </x:c>
      <x:c r="N188" s="62">
        <x:v>11036</x:v>
      </x:c>
      <x:c r="O188" s="62">
        <x:v>10660</x:v>
      </x:c>
      <x:c r="P188" s="62">
        <x:v>11391</x:v>
      </x:c>
      <x:c r="Q188" s="62">
        <x:v>11391</x:v>
      </x:c>
      <x:c r="U188" s="189">
        <x:f t="shared" si="7"/>
        <x:v>1</x:v>
      </x:c>
    </x:row>
    <x:row r="189" spans="2:21">
      <x:c r="B189" s="46" t="s">
        <x:v>265</x:v>
      </x:c>
      <x:c r="C189" s="60" t="s">
        <x:v>2488</x:v>
      </x:c>
      <x:c r="D189" s="60"/>
      <x:c r="E189" s="62"/>
      <x:c r="F189" s="62"/>
      <x:c r="G189" s="62"/>
      <x:c r="H189" s="62"/>
      <x:c r="I189" s="62"/>
      <x:c r="J189" s="62"/>
      <x:c r="K189" s="62"/>
      <x:c r="L189" s="62"/>
      <x:c r="M189" s="62"/>
      <x:c r="N189" s="62"/>
      <x:c r="O189" s="62"/>
      <x:c r="P189" s="62"/>
      <x:c r="Q189" s="62"/>
      <x:c r="U189" s="189" t="str">
        <x:f t="shared" si="7"/>
        <x:v/>
      </x:c>
    </x:row>
    <x:row r="190" spans="2:21">
      <x:c r="B190" s="46" t="s">
        <x:v>1218</x:v>
      </x:c>
      <x:c r="C190" s="60" t="s">
        <x:v>2482</x:v>
      </x:c>
      <x:c r="D190" s="60"/>
      <x:c r="E190" s="62" t="s">
        <x:v>818</x:v>
      </x:c>
      <x:c r="F190" s="62" t="s">
        <x:v>818</x:v>
      </x:c>
      <x:c r="G190" s="62" t="s">
        <x:v>818</x:v>
      </x:c>
      <x:c r="H190" s="62" t="s">
        <x:v>818</x:v>
      </x:c>
      <x:c r="I190" s="62" t="s">
        <x:v>818</x:v>
      </x:c>
      <x:c r="J190" s="62" t="s">
        <x:v>818</x:v>
      </x:c>
      <x:c r="K190" s="62" t="s">
        <x:v>818</x:v>
      </x:c>
      <x:c r="L190" s="62" t="s">
        <x:v>818</x:v>
      </x:c>
      <x:c r="M190" s="62" t="s">
        <x:v>818</x:v>
      </x:c>
      <x:c r="N190" s="62" t="s">
        <x:v>818</x:v>
      </x:c>
      <x:c r="O190" s="62" t="s">
        <x:v>818</x:v>
      </x:c>
      <x:c r="P190" s="62" t="s">
        <x:v>818</x:v>
      </x:c>
      <x:c r="Q190" s="62" t="s">
        <x:v>818</x:v>
      </x:c>
      <x:c r="U190" s="189" t="str">
        <x:f t="shared" si="7"/>
        <x:v/>
      </x:c>
    </x:row>
    <x:row r="191" spans="2:21">
      <x:c r="B191" s="46" t="s">
        <x:v>2489</x:v>
      </x:c>
      <x:c r="C191" s="60" t="s">
        <x:v>1633</x:v>
      </x:c>
      <x:c r="D191" s="60"/>
      <x:c r="E191" s="62" t="s">
        <x:v>818</x:v>
      </x:c>
      <x:c r="F191" s="62" t="s">
        <x:v>818</x:v>
      </x:c>
      <x:c r="G191" s="62" t="s">
        <x:v>818</x:v>
      </x:c>
      <x:c r="H191" s="62" t="s">
        <x:v>818</x:v>
      </x:c>
      <x:c r="I191" s="62" t="s">
        <x:v>818</x:v>
      </x:c>
      <x:c r="J191" s="62" t="s">
        <x:v>818</x:v>
      </x:c>
      <x:c r="K191" s="62" t="s">
        <x:v>818</x:v>
      </x:c>
      <x:c r="L191" s="62" t="s">
        <x:v>818</x:v>
      </x:c>
      <x:c r="M191" s="62" t="s">
        <x:v>818</x:v>
      </x:c>
      <x:c r="N191" s="62" t="s">
        <x:v>818</x:v>
      </x:c>
      <x:c r="O191" s="62" t="s">
        <x:v>818</x:v>
      </x:c>
      <x:c r="P191" s="62" t="s">
        <x:v>818</x:v>
      </x:c>
      <x:c r="Q191" s="62" t="s">
        <x:v>818</x:v>
      </x:c>
      <x:c r="U191" s="189" t="str">
        <x:f t="shared" si="7"/>
        <x:v/>
      </x:c>
    </x:row>
    <x:row r="192" spans="2:21">
      <x:c r="B192" s="46" t="s">
        <x:v>2135</x:v>
      </x:c>
      <x:c r="C192" s="60" t="s">
        <x:v>525</x:v>
      </x:c>
      <x:c r="D192" s="60"/>
      <x:c r="E192" s="62" t="s">
        <x:v>818</x:v>
      </x:c>
      <x:c r="F192" s="62" t="s">
        <x:v>818</x:v>
      </x:c>
      <x:c r="G192" s="62" t="s">
        <x:v>818</x:v>
      </x:c>
      <x:c r="H192" s="62">
        <x:v>262</x:v>
      </x:c>
      <x:c r="I192" s="62">
        <x:v>225</x:v>
      </x:c>
      <x:c r="J192" s="62">
        <x:v>141</x:v>
      </x:c>
      <x:c r="K192" s="62">
        <x:v>463</x:v>
      </x:c>
      <x:c r="L192" s="62">
        <x:v>307</x:v>
      </x:c>
      <x:c r="M192" s="62">
        <x:v>103</x:v>
      </x:c>
      <x:c r="N192" s="62">
        <x:v>21</x:v>
      </x:c>
      <x:c r="O192" s="62">
        <x:v>214</x:v>
      </x:c>
      <x:c r="P192" s="62">
        <x:v>54</x:v>
      </x:c>
      <x:c r="Q192" s="62">
        <x:v>54</x:v>
      </x:c>
      <x:c r="U192" s="189">
        <x:f t="shared" si="7"/>
        <x:v>1</x:v>
      </x:c>
    </x:row>
    <x:row r="193" spans="2:21">
      <x:c r="B193" s="46" t="s">
        <x:v>1219</x:v>
      </x:c>
      <x:c r="C193" s="60" t="s">
        <x:v>2483</x:v>
      </x:c>
      <x:c r="D193" s="60"/>
      <x:c r="E193" s="62">
        <x:v>40722</x:v>
      </x:c>
      <x:c r="F193" s="62">
        <x:v>39892</x:v>
      </x:c>
      <x:c r="G193" s="62">
        <x:v>42176</x:v>
      </x:c>
      <x:c r="H193" s="62">
        <x:v>46858</x:v>
      </x:c>
      <x:c r="I193" s="62">
        <x:v>45812</x:v>
      </x:c>
      <x:c r="J193" s="62">
        <x:v>68158</x:v>
      </x:c>
      <x:c r="K193" s="62">
        <x:v>65088</x:v>
      </x:c>
      <x:c r="L193" s="62">
        <x:v>55140</x:v>
      </x:c>
      <x:c r="M193" s="62">
        <x:v>54013</x:v>
      </x:c>
      <x:c r="N193" s="62">
        <x:v>59935</x:v>
      </x:c>
      <x:c r="O193" s="62">
        <x:v>58396</x:v>
      </x:c>
      <x:c r="P193" s="62">
        <x:v>64607</x:v>
      </x:c>
      <x:c r="Q193" s="62">
        <x:v>64607</x:v>
      </x:c>
      <x:c r="U193" s="189">
        <x:f t="shared" si="7"/>
        <x:v>1</x:v>
      </x:c>
    </x:row>
    <x:row r="194" spans="2:21">
      <x:c r="B194" s="46" t="s">
        <x:v>2163</x:v>
      </x:c>
      <x:c r="C194" s="60" t="s">
        <x:v>511</x:v>
      </x:c>
      <x:c r="D194" s="60"/>
      <x:c r="E194" s="62" t="s">
        <x:v>818</x:v>
      </x:c>
      <x:c r="F194" s="62" t="s">
        <x:v>818</x:v>
      </x:c>
      <x:c r="G194" s="62" t="s">
        <x:v>818</x:v>
      </x:c>
      <x:c r="H194" s="62" t="s">
        <x:v>818</x:v>
      </x:c>
      <x:c r="I194" s="62" t="s">
        <x:v>818</x:v>
      </x:c>
      <x:c r="J194" s="62" t="s">
        <x:v>818</x:v>
      </x:c>
      <x:c r="K194" s="62" t="s">
        <x:v>818</x:v>
      </x:c>
      <x:c r="L194" s="62" t="s">
        <x:v>818</x:v>
      </x:c>
      <x:c r="M194" s="62" t="s">
        <x:v>818</x:v>
      </x:c>
      <x:c r="N194" s="62" t="s">
        <x:v>818</x:v>
      </x:c>
      <x:c r="O194" s="62" t="s">
        <x:v>818</x:v>
      </x:c>
      <x:c r="P194" s="62" t="s">
        <x:v>818</x:v>
      </x:c>
      <x:c r="Q194" s="62" t="s">
        <x:v>818</x:v>
      </x:c>
      <x:c r="U194" s="189" t="str">
        <x:f t="shared" si="7"/>
        <x:v/>
      </x:c>
    </x:row>
    <x:row r="195" spans="2:21">
      <x:c r="B195" s="46" t="s">
        <x:v>1653</x:v>
      </x:c>
      <x:c r="C195" s="60" t="s">
        <x:v>509</x:v>
      </x:c>
      <x:c r="D195" s="60"/>
      <x:c r="E195" s="62" t="s">
        <x:v>818</x:v>
      </x:c>
      <x:c r="F195" s="62" t="s">
        <x:v>818</x:v>
      </x:c>
      <x:c r="G195" s="62" t="s">
        <x:v>818</x:v>
      </x:c>
      <x:c r="H195" s="62" t="s">
        <x:v>818</x:v>
      </x:c>
      <x:c r="I195" s="62" t="s">
        <x:v>818</x:v>
      </x:c>
      <x:c r="J195" s="62" t="s">
        <x:v>818</x:v>
      </x:c>
      <x:c r="K195" s="62" t="s">
        <x:v>818</x:v>
      </x:c>
      <x:c r="L195" s="62" t="s">
        <x:v>818</x:v>
      </x:c>
      <x:c r="M195" s="62" t="s">
        <x:v>818</x:v>
      </x:c>
      <x:c r="N195" s="62" t="s">
        <x:v>818</x:v>
      </x:c>
      <x:c r="O195" s="62" t="s">
        <x:v>818</x:v>
      </x:c>
      <x:c r="P195" s="62" t="s">
        <x:v>818</x:v>
      </x:c>
      <x:c r="Q195" s="62" t="s">
        <x:v>818</x:v>
      </x:c>
      <x:c r="U195" s="189" t="str">
        <x:f t="shared" si="7"/>
        <x:v/>
      </x:c>
    </x:row>
    <x:row r="196" spans="2:21">
      <x:c r="B196" s="46" t="s">
        <x:v>1220</x:v>
      </x:c>
      <x:c r="C196" s="60" t="s">
        <x:v>2466</x:v>
      </x:c>
      <x:c r="D196" s="60"/>
      <x:c r="E196" s="62" t="s">
        <x:v>818</x:v>
      </x:c>
      <x:c r="F196" s="62" t="s">
        <x:v>818</x:v>
      </x:c>
      <x:c r="G196" s="62" t="s">
        <x:v>818</x:v>
      </x:c>
      <x:c r="H196" s="62" t="s">
        <x:v>818</x:v>
      </x:c>
      <x:c r="I196" s="62" t="s">
        <x:v>818</x:v>
      </x:c>
      <x:c r="J196" s="62" t="s">
        <x:v>818</x:v>
      </x:c>
      <x:c r="K196" s="62" t="s">
        <x:v>818</x:v>
      </x:c>
      <x:c r="L196" s="62" t="s">
        <x:v>818</x:v>
      </x:c>
      <x:c r="M196" s="62" t="s">
        <x:v>818</x:v>
      </x:c>
      <x:c r="N196" s="62" t="s">
        <x:v>818</x:v>
      </x:c>
      <x:c r="O196" s="62" t="s">
        <x:v>818</x:v>
      </x:c>
      <x:c r="P196" s="62" t="s">
        <x:v>818</x:v>
      </x:c>
      <x:c r="Q196" s="62" t="s">
        <x:v>818</x:v>
      </x:c>
      <x:c r="U196" s="189" t="str">
        <x:f t="shared" si="7"/>
        <x:v/>
      </x:c>
    </x:row>
    <x:row r="197" spans="2:21">
      <x:c r="B197" s="46" t="s">
        <x:v>699</x:v>
      </x:c>
      <x:c r="C197" s="60" t="s">
        <x:v>513</x:v>
      </x:c>
      <x:c r="D197" s="60"/>
      <x:c r="E197" s="62" t="s">
        <x:v>818</x:v>
      </x:c>
      <x:c r="F197" s="62" t="s">
        <x:v>818</x:v>
      </x:c>
      <x:c r="G197" s="62" t="s">
        <x:v>818</x:v>
      </x:c>
      <x:c r="H197" s="62" t="s">
        <x:v>818</x:v>
      </x:c>
      <x:c r="I197" s="62" t="s">
        <x:v>818</x:v>
      </x:c>
      <x:c r="J197" s="62" t="s">
        <x:v>818</x:v>
      </x:c>
      <x:c r="K197" s="62" t="s">
        <x:v>818</x:v>
      </x:c>
      <x:c r="L197" s="62" t="s">
        <x:v>818</x:v>
      </x:c>
      <x:c r="M197" s="62" t="s">
        <x:v>818</x:v>
      </x:c>
      <x:c r="N197" s="62" t="s">
        <x:v>818</x:v>
      </x:c>
      <x:c r="O197" s="62" t="s">
        <x:v>818</x:v>
      </x:c>
      <x:c r="P197" s="62" t="s">
        <x:v>818</x:v>
      </x:c>
      <x:c r="Q197" s="62" t="s">
        <x:v>818</x:v>
      </x:c>
      <x:c r="U197" s="189" t="str">
        <x:f t="shared" si="7"/>
        <x:v/>
      </x:c>
    </x:row>
    <x:row r="198" spans="2:21">
      <x:c r="B198" s="46" t="s">
        <x:v>257</x:v>
      </x:c>
      <x:c r="C198" s="60" t="s">
        <x:v>2478</x:v>
      </x:c>
      <x:c r="D198" s="60"/>
      <x:c r="E198" s="62" t="s">
        <x:v>818</x:v>
      </x:c>
      <x:c r="F198" s="62" t="s">
        <x:v>818</x:v>
      </x:c>
      <x:c r="G198" s="62" t="s">
        <x:v>818</x:v>
      </x:c>
      <x:c r="H198" s="62" t="s">
        <x:v>818</x:v>
      </x:c>
      <x:c r="I198" s="62" t="s">
        <x:v>818</x:v>
      </x:c>
      <x:c r="J198" s="62" t="s">
        <x:v>818</x:v>
      </x:c>
      <x:c r="K198" s="62" t="s">
        <x:v>818</x:v>
      </x:c>
      <x:c r="L198" s="62" t="s">
        <x:v>818</x:v>
      </x:c>
      <x:c r="M198" s="62" t="s">
        <x:v>818</x:v>
      </x:c>
      <x:c r="N198" s="62" t="s">
        <x:v>818</x:v>
      </x:c>
      <x:c r="O198" s="62" t="s">
        <x:v>818</x:v>
      </x:c>
      <x:c r="P198" s="62" t="s">
        <x:v>818</x:v>
      </x:c>
      <x:c r="Q198" s="62" t="s">
        <x:v>818</x:v>
      </x:c>
      <x:c r="U198" s="189" t="str">
        <x:f t="shared" si="7"/>
        <x:v/>
      </x:c>
    </x:row>
    <x:row r="199" spans="2:21">
      <x:c r="B199" s="46" t="s">
        <x:v>2155</x:v>
      </x:c>
      <x:c r="C199" s="60" t="s">
        <x:v>2421</x:v>
      </x:c>
      <x:c r="D199" s="60"/>
      <x:c r="E199" s="62" t="s">
        <x:v>819</x:v>
      </x:c>
      <x:c r="F199" s="62" t="s">
        <x:v>819</x:v>
      </x:c>
      <x:c r="G199" s="62" t="s">
        <x:v>819</x:v>
      </x:c>
      <x:c r="H199" s="62" t="s">
        <x:v>819</x:v>
      </x:c>
      <x:c r="I199" s="62" t="s">
        <x:v>819</x:v>
      </x:c>
      <x:c r="J199" s="62" t="s">
        <x:v>819</x:v>
      </x:c>
      <x:c r="K199" s="62" t="s">
        <x:v>819</x:v>
      </x:c>
      <x:c r="L199" s="62" t="s">
        <x:v>819</x:v>
      </x:c>
      <x:c r="M199" s="62" t="s">
        <x:v>819</x:v>
      </x:c>
      <x:c r="N199" s="62" t="s">
        <x:v>819</x:v>
      </x:c>
      <x:c r="O199" s="62" t="s">
        <x:v>819</x:v>
      </x:c>
      <x:c r="P199" s="62" t="s">
        <x:v>819</x:v>
      </x:c>
      <x:c r="Q199" s="62" t="s">
        <x:v>819</x:v>
      </x:c>
      <x:c r="U199" s="189">
        <x:v>1</x:v>
      </x:c>
    </x:row>
    <x:row r="200" spans="2:21">
      <x:c r="B200" s="46" t="s">
        <x:v>1274</x:v>
      </x:c>
      <x:c r="C200" s="60" t="s">
        <x:v>605</x:v>
      </x:c>
      <x:c r="D200" s="60"/>
      <x:c r="E200" s="232">
        <x:v>42794</x:v>
      </x:c>
      <x:c r="F200" s="232">
        <x:v>43158</x:v>
      </x:c>
      <x:c r="G200" s="232">
        <x:v>43522</x:v>
      </x:c>
      <x:c r="H200" s="232">
        <x:v>43886</x:v>
      </x:c>
      <x:c r="I200" s="232">
        <x:v>44250</x:v>
      </x:c>
      <x:c r="J200" s="232">
        <x:v>44614</x:v>
      </x:c>
      <x:c r="K200" s="232">
        <x:v>44985</x:v>
      </x:c>
      <x:c r="L200" s="232">
        <x:v>45348</x:v>
      </x:c>
      <x:c r="M200" s="232">
        <x:v>45713</x:v>
      </x:c>
      <x:c r="N200" s="232">
        <x:v>45713</x:v>
      </x:c>
      <x:c r="O200" s="232">
        <x:v>45713</x:v>
      </x:c>
      <x:c r="P200" s="232">
        <x:v>46050</x:v>
      </x:c>
      <x:c r="Q200" s="232">
        <x:v>46050</x:v>
      </x:c>
      <x:c r="U200" s="189">
        <x:v>1</x:v>
      </x:c>
    </x:row>
    <x:row r="201" spans="2:21">
      <x:c r="B201" s="46" t="s">
        <x:v>1272</x:v>
      </x:c>
      <x:c r="C201" s="60" t="s">
        <x:v>2085</x:v>
      </x:c>
      <x:c r="D201" s="60"/>
      <x:c r="E201" s="232">
        <x:v>42004</x:v>
      </x:c>
      <x:c r="F201" s="232">
        <x:v>42369</x:v>
      </x:c>
      <x:c r="G201" s="232">
        <x:v>42735</x:v>
      </x:c>
      <x:c r="H201" s="232">
        <x:v>43100</x:v>
      </x:c>
      <x:c r="I201" s="232">
        <x:v>43465</x:v>
      </x:c>
      <x:c r="J201" s="232">
        <x:v>43830</x:v>
      </x:c>
      <x:c r="K201" s="232">
        <x:v>44196</x:v>
      </x:c>
      <x:c r="L201" s="232">
        <x:v>44561</x:v>
      </x:c>
      <x:c r="M201" s="232">
        <x:v>44926</x:v>
      </x:c>
      <x:c r="N201" s="232">
        <x:v>45291</x:v>
      </x:c>
      <x:c r="O201" s="232">
        <x:v>45657</x:v>
      </x:c>
      <x:c r="P201" s="232">
        <x:v>46022</x:v>
      </x:c>
      <x:c r="Q201" s="232">
        <x:v>46022</x:v>
      </x:c>
      <x:c r="U201" s="189">
        <x:v>1</x:v>
      </x:c>
    </x:row>
    <x:row r="202" spans="2:21">
      <x:c r="B202" s="46" t="s">
        <x:v>608</x:v>
      </x:c>
      <x:c r="C202" s="60" t="s">
        <x:v>2491</x:v>
      </x:c>
      <x:c r="D202" s="60"/>
      <x:c r="E202" s="76" t="s">
        <x:v>1128</x:v>
      </x:c>
      <x:c r="F202" s="76" t="s">
        <x:v>550</x:v>
      </x:c>
      <x:c r="G202" s="76" t="s">
        <x:v>550</x:v>
      </x:c>
      <x:c r="H202" s="76" t="s">
        <x:v>550</x:v>
      </x:c>
      <x:c r="I202" s="76" t="s">
        <x:v>550</x:v>
      </x:c>
      <x:c r="J202" s="76" t="s">
        <x:v>550</x:v>
      </x:c>
      <x:c r="K202" s="76" t="s">
        <x:v>1884</x:v>
      </x:c>
      <x:c r="L202" s="76" t="s">
        <x:v>550</x:v>
      </x:c>
      <x:c r="M202" s="76" t="s">
        <x:v>550</x:v>
      </x:c>
      <x:c r="N202" s="76" t="s">
        <x:v>550</x:v>
      </x:c>
      <x:c r="O202" s="76" t="s">
        <x:v>1271</x:v>
      </x:c>
      <x:c r="P202" s="76" t="s">
        <x:v>1126</x:v>
      </x:c>
      <x:c r="Q202" s="76" t="s">
        <x:v>1126</x:v>
      </x:c>
      <x:c r="U202" s="189">
        <x:v>1</x:v>
      </x:c>
    </x:row>
    <x:row r="203" spans="2:21">
      <x:c r="B203" s="46" t="s">
        <x:v>595</x:v>
      </x:c>
      <x:c r="C203" s="60" t="s">
        <x:v>2492</x:v>
      </x:c>
      <x:c r="D203" s="60"/>
      <x:c r="E203" s="76" t="s">
        <x:v>38</x:v>
      </x:c>
      <x:c r="F203" s="76" t="s">
        <x:v>38</x:v>
      </x:c>
      <x:c r="G203" s="76" t="s">
        <x:v>38</x:v>
      </x:c>
      <x:c r="H203" s="76" t="s">
        <x:v>38</x:v>
      </x:c>
      <x:c r="I203" s="76" t="s">
        <x:v>38</x:v>
      </x:c>
      <x:c r="J203" s="76" t="s">
        <x:v>38</x:v>
      </x:c>
      <x:c r="K203" s="76" t="s">
        <x:v>38</x:v>
      </x:c>
      <x:c r="L203" s="76" t="s">
        <x:v>38</x:v>
      </x:c>
      <x:c r="M203" s="76" t="s">
        <x:v>38</x:v>
      </x:c>
      <x:c r="N203" s="76" t="s">
        <x:v>734</x:v>
      </x:c>
      <x:c r="O203" s="76" t="s">
        <x:v>734</x:v>
      </x:c>
      <x:c r="P203" s="76" t="s">
        <x:v>734</x:v>
      </x:c>
      <x:c r="Q203" s="76" t="s">
        <x:v>734</x:v>
      </x:c>
      <x:c r="U203" s="189">
        <x:v>1</x:v>
      </x:c>
    </x:row>
    <x:row r="204" spans="2:21">
      <x:c r="B204" s="46" t="s">
        <x:v>1424</x:v>
      </x:c>
      <x:c r="C204" s="60" t="s">
        <x:v>1098</x:v>
      </x:c>
      <x:c r="D204" s="60"/>
      <x:c r="E204" s="77" t="s">
        <x:v>1096</x:v>
      </x:c>
      <x:c r="F204" s="77" t="s">
        <x:v>1096</x:v>
      </x:c>
      <x:c r="G204" s="77" t="s">
        <x:v>1096</x:v>
      </x:c>
      <x:c r="H204" s="77" t="s">
        <x:v>1096</x:v>
      </x:c>
      <x:c r="I204" s="77" t="s">
        <x:v>1096</x:v>
      </x:c>
      <x:c r="J204" s="77" t="s">
        <x:v>1096</x:v>
      </x:c>
      <x:c r="K204" s="77" t="s">
        <x:v>1096</x:v>
      </x:c>
      <x:c r="L204" s="77" t="s">
        <x:v>1096</x:v>
      </x:c>
      <x:c r="M204" s="77" t="s">
        <x:v>1096</x:v>
      </x:c>
      <x:c r="N204" s="77" t="s">
        <x:v>1096</x:v>
      </x:c>
      <x:c r="O204" s="77" t="s">
        <x:v>1096</x:v>
      </x:c>
      <x:c r="P204" s="77" t="s">
        <x:v>1096</x:v>
      </x:c>
      <x:c r="Q204" s="77" t="s">
        <x:v>1096</x:v>
      </x:c>
      <x:c r="U204" s="189">
        <x:v>1</x:v>
      </x:c>
    </x:row>
    <x:row r="205" spans="2:17">
      <x:c r="B205" s="203"/>
      <x:c r="C205" s="206"/>
      <x:c r="D205" s="206"/>
      <x:c r="E205" s="204"/>
      <x:c r="F205" s="204"/>
      <x:c r="G205" s="204"/>
      <x:c r="H205" s="204"/>
      <x:c r="I205" s="204"/>
      <x:c r="J205" s="204"/>
      <x:c r="K205" s="204"/>
      <x:c r="L205" s="204"/>
      <x:c r="M205" s="204"/>
      <x:c r="N205" s="204"/>
      <x:c r="O205" s="204"/>
      <x:c r="P205" s="204"/>
      <x:c r="Q205" s="204"/>
    </x:row>
  </x:sheetData>
  <x:pageMargins left="0.25" right="0.25" top="0.25" bottom="0.25" header="0" footer="0"/>
  <x:pageSetup paperSize="9" scale="44" firstPageNumber="1" fitToWidth="1" fitToHeight="0" orientation="portrait" usePrinterDefaults="1" blackAndWhite="0" draft="0" useFirstPageNumber="0" horizontalDpi="600" verticalDpi="600" copies="1"/>
  <x:legacyDrawing r:id="rId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2:U102"/>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39.33203125" style="1" customWidth="1"/>
    <x:col min="3" max="3" width="20.83203125" style="3" hidden="1" customWidth="1" outlineLevel="1"/>
    <x:col min="4" max="4" width="24.33203125" style="3" hidden="1" customWidth="1" outlineLevel="1"/>
    <x:col min="5" max="5" width="13.5" style="1" customWidth="1" collapsed="1"/>
    <x:col min="6" max="17" width="13.5" style="1" customWidth="1"/>
    <x:col min="21" max="21" width="9.33203125" style="1" hidden="1" customWidth="1" outlineLevel="1"/>
    <x:col min="22" max="22" width="8.83203125" style="1" collapsed="1"/>
  </x:cols>
  <x:sheetData>
    <x:row r="2" spans="2:2">
      <x:c r="B2" s="1" t="s">
        <x:v>112</x:v>
      </x:c>
    </x:row>
    <x:row r="3" spans="1:17">
      <x:c r="A3" s="46"/>
      <x:c r="B3" s="46"/>
      <x:c r="C3" s="84"/>
      <x:c r="D3" s="84"/>
      <x:c r="E3" s="46"/>
      <x:c r="F3" s="46"/>
      <x:c r="G3" s="48"/>
      <x:c r="H3" s="46"/>
      <x:c r="I3" s="46"/>
      <x:c r="J3" s="46"/>
      <x:c r="K3" s="46"/>
      <x:c r="L3" s="46"/>
      <x:c r="M3" s="46"/>
      <x:c r="N3" s="46"/>
      <x:c r="O3" s="46"/>
      <x:c r="P3" s="46"/>
      <x:c r="Q3" s="46"/>
    </x:row>
    <x:row r="4" spans="1:17" ht="16.5">
      <x:c r="A4" s="46"/>
      <x:c r="B4" s="49" t="str">
        <x:f>E11</x:f>
        <x:v>International Business Machines Corporation</x:v>
      </x:c>
      <x:c r="C4" s="90"/>
      <x:c r="D4" s="90"/>
      <x:c r="E4" s="52"/>
      <x:c r="F4" s="52"/>
      <x:c r="G4" s="52"/>
      <x:c r="H4" s="52"/>
      <x:c r="I4" s="52"/>
      <x:c r="J4" s="52"/>
      <x:c r="K4" s="52"/>
      <x:c r="L4" s="52"/>
      <x:c r="M4" s="52"/>
      <x:c r="N4" s="50"/>
      <x:c r="O4" s="50"/>
      <x:c r="P4" s="104"/>
      <x:c r="Q4" s="104" t="s">
        <x:v>1558</x:v>
      </x:c>
    </x:row>
    <x:row r="5" spans="1:17" ht="17.25" customHeight="1">
      <x:c r="A5" s="46"/>
      <x:c r="B5" s="53" t="str">
        <x:f>"Data in "&amp;'Pension-OPEB'!$AC$18</x:f>
        <x:v>Data in ($M)</x:v>
      </x:c>
      <x:c r="C5" s="53"/>
      <x:c r="D5" s="84"/>
      <x:c r="E5" s="250" t="str">
        <x:f>Key_Stats!$T$11</x:f>
        <x:v>Fiscal Year Ended,</x:v>
      </x:c>
      <x:c r="F5" s="54"/>
      <x:c r="G5" s="54"/>
      <x:c r="H5" s="54"/>
      <x:c r="I5" s="54"/>
      <x:c r="J5" s="54"/>
      <x:c r="K5" s="54"/>
      <x:c r="L5" s="54"/>
      <x:c r="M5" s="54"/>
      <x:c r="N5" s="54"/>
      <x:c r="O5" s="54"/>
      <x:c r="P5" s="54"/>
      <x:c r="Q5" s="250" t="s">
        <x:v>811</x:v>
      </x:c>
    </x:row>
    <x:row r="6" spans="1:17" hidden="1" outlineLevel="1">
      <x:c r="A6" s="46"/>
      <x:c r="B6" s="55"/>
      <x:c r="C6" s="56" t="s">
        <x:v>1435</x:v>
      </x:c>
      <x:c r="D6" s="56"/>
      <x:c r="E6" s="58" t="str">
        <x:f>Key_Stats!$F$9</x:f>
        <x:v>NYSE:IBM</x:v>
      </x:c>
      <x:c r="F6" s="58" t="str">
        <x:f>Key_Stats!$F$9</x:f>
        <x:v>NYSE:IBM</x:v>
      </x:c>
      <x:c r="G6" s="58" t="str">
        <x:f>Key_Stats!$F$9</x:f>
        <x:v>NYSE:IBM</x:v>
      </x:c>
      <x:c r="H6" s="58" t="str">
        <x:f>Key_Stats!$F$9</x:f>
        <x:v>NYSE:IBM</x:v>
      </x:c>
      <x:c r="I6" s="58" t="str">
        <x:f>Key_Stats!$F$9</x:f>
        <x:v>NYSE:IBM</x:v>
      </x:c>
      <x:c r="J6" s="58" t="str">
        <x:f>Key_Stats!$F$9</x:f>
        <x:v>NYSE:IBM</x:v>
      </x:c>
      <x:c r="K6" s="58" t="str">
        <x:f>Key_Stats!$F$9</x:f>
        <x:v>NYSE:IBM</x:v>
      </x:c>
      <x:c r="L6" s="58" t="str">
        <x:f>Key_Stats!$F$9</x:f>
        <x:v>NYSE:IBM</x:v>
      </x:c>
      <x:c r="M6" s="58" t="str">
        <x:f>Key_Stats!$F$9</x:f>
        <x:v>NYSE:IBM</x:v>
      </x:c>
      <x:c r="N6" s="58" t="str">
        <x:f>Key_Stats!$F$9</x:f>
        <x:v>NYSE:IBM</x:v>
      </x:c>
      <x:c r="O6" s="58" t="str">
        <x:f>Key_Stats!$F$9</x:f>
        <x:v>NYSE:IBM</x:v>
      </x:c>
      <x:c r="P6" s="58" t="str">
        <x:f>Key_Stats!$F$9</x:f>
        <x:v>NYSE:IBM</x:v>
      </x:c>
      <x:c r="Q6" s="58" t="str">
        <x:f>Key_Stats!$F$9</x:f>
        <x:v>NYSE:IBM</x:v>
      </x:c>
    </x:row>
    <x:row r="7" spans="1:17" hidden="1" outlineLevel="1">
      <x:c r="A7" s="46"/>
      <x:c r="B7" s="55"/>
      <x:c r="C7" s="56"/>
      <x:c r="D7" s="56"/>
      <x:c r="E7" s="58" t="str">
        <x:f t="shared" ref="E7:N7" si="0">LEFT(F7,LEN(F7)-1)&amp;RIGHT(F7,1)+1</x:f>
        <x:v>FY-11</x:v>
      </x:c>
      <x:c r="F7" s="58" t="str">
        <x:f t="shared" si="0"/>
        <x:v>FY-10</x:v>
      </x:c>
      <x:c r="G7" s="58" t="str">
        <x:f t="shared" si="0"/>
        <x:v>FY-9</x:v>
      </x:c>
      <x:c r="H7" s="58" t="str">
        <x:f t="shared" si="0"/>
        <x:v>FY-8</x:v>
      </x:c>
      <x:c r="I7" s="58" t="str">
        <x:f t="shared" si="0"/>
        <x:v>FY-7</x:v>
      </x:c>
      <x:c r="J7" s="58" t="str">
        <x:f t="shared" si="0"/>
        <x:v>FY-6</x:v>
      </x:c>
      <x:c r="K7" s="58" t="str">
        <x:f t="shared" si="0"/>
        <x:v>FY-5</x:v>
      </x:c>
      <x:c r="L7" s="58" t="str">
        <x:f t="shared" si="0"/>
        <x:v>FY-4</x:v>
      </x:c>
      <x:c r="M7" s="58" t="str">
        <x:f t="shared" si="0"/>
        <x:v>FY-3</x:v>
      </x:c>
      <x:c r="N7" s="58" t="str">
        <x:f t="shared" si="0"/>
        <x:v>FY-2</x:v>
      </x:c>
      <x:c r="O7" s="58" t="str">
        <x:f>VLOOKUP(Key_Stats!$F$11,FormatTable,2,FALSE)</x:f>
        <x:v>FY-1</x:v>
      </x:c>
      <x:c r="P7" s="58" t="str">
        <x:f>Key_Stats!$F$11</x:f>
        <x:v>FY0</x:v>
      </x:c>
      <x:c r="Q7" s="58" t="s">
        <x:v>811</x:v>
      </x:c>
    </x:row>
    <x:row r="8" spans="1:17" hidden="1" outlineLevel="1">
      <x:c r="A8" s="46"/>
      <x:c r="B8" s="55"/>
      <x:c r="C8" s="56"/>
      <x:c r="D8" s="56"/>
      <x:c r="E8" s="181">
        <x:f>IF(Key_Stats!$F$15="","",Key_Stats!$F$15)</x:f>
        <x:v>46059</x:v>
      </x:c>
      <x:c r="F8" s="181">
        <x:f>IF(Key_Stats!$F$15="","",Key_Stats!$F$15)</x:f>
        <x:v>46059</x:v>
      </x:c>
      <x:c r="G8" s="181">
        <x:f>IF(Key_Stats!$F$15="","",Key_Stats!$F$15)</x:f>
        <x:v>46059</x:v>
      </x:c>
      <x:c r="H8" s="181">
        <x:f>IF(Key_Stats!$F$15="","",Key_Stats!$F$15)</x:f>
        <x:v>46059</x:v>
      </x:c>
      <x:c r="I8" s="181">
        <x:f>IF(Key_Stats!$F$15="","",Key_Stats!$F$15)</x:f>
        <x:v>46059</x:v>
      </x:c>
      <x:c r="J8" s="181">
        <x:f>IF(Key_Stats!$F$15="","",Key_Stats!$F$15)</x:f>
        <x:v>46059</x:v>
      </x:c>
      <x:c r="K8" s="181">
        <x:f>IF(Key_Stats!$F$15="","",Key_Stats!$F$15)</x:f>
        <x:v>46059</x:v>
      </x:c>
      <x:c r="L8" s="181">
        <x:f>IF(Key_Stats!$F$15="","",Key_Stats!$F$15)</x:f>
        <x:v>46059</x:v>
      </x:c>
      <x:c r="M8" s="181">
        <x:f>IF(Key_Stats!$F$15="","",Key_Stats!$F$15)</x:f>
        <x:v>46059</x:v>
      </x:c>
      <x:c r="N8" s="181">
        <x:f>IF(Key_Stats!$F$15="","",Key_Stats!$F$15)</x:f>
        <x:v>46059</x:v>
      </x:c>
      <x:c r="O8" s="181">
        <x:f>IF(Key_Stats!$F$15="","",Key_Stats!$F$15)</x:f>
        <x:v>46059</x:v>
      </x:c>
      <x:c r="P8" s="181">
        <x:f>IF(Key_Stats!$F$15="","",Key_Stats!$F$15)</x:f>
        <x:v>46059</x:v>
      </x:c>
      <x:c r="Q8" s="181">
        <x:f>IF(Key_Stats!$F$15="","",Key_Stats!$F$15)</x:f>
        <x:v>46059</x:v>
      </x:c>
    </x:row>
    <x:row r="9" spans="1:17" hidden="1" outlineLevel="1">
      <x:c r="A9" s="46"/>
      <x:c r="B9" s="55"/>
      <x:c r="C9" s="91"/>
      <x:c r="D9" s="91"/>
      <x:c r="E9" s="46"/>
      <x:c r="F9" s="46"/>
      <x:c r="G9" s="46"/>
      <x:c r="H9" s="46"/>
      <x:c r="I9" s="46"/>
      <x:c r="J9" s="46"/>
      <x:c r="K9" s="46"/>
      <x:c r="L9" s="46"/>
      <x:c r="M9" s="46"/>
      <x:c r="N9" s="54"/>
      <x:c r="O9" s="54"/>
      <x:c r="P9" s="54"/>
      <x:c r="Q9" s="54"/>
    </x:row>
    <x:row r="10" spans="1:17" hidden="1" outlineLevel="1">
      <x:c r="A10" s="46"/>
      <x:c r="B10" s="55"/>
      <x:c r="C10" s="91"/>
      <x:c r="D10" s="91"/>
      <x:c r="E10" s="46"/>
      <x:c r="F10" s="46"/>
      <x:c r="G10" s="46"/>
      <x:c r="H10" s="46"/>
      <x:c r="I10" s="46"/>
      <x:c r="J10" s="46"/>
      <x:c r="K10" s="46"/>
      <x:c r="L10" s="46"/>
      <x:c r="M10" s="46"/>
      <x:c r="N10" s="54"/>
      <x:c r="O10" s="54"/>
      <x:c r="P10" s="54"/>
      <x:c r="Q10" s="54"/>
    </x:row>
    <x:row r="11" spans="1:17" hidden="1" outlineLevel="1">
      <x:c r="A11" s="46"/>
      <x:c r="B11" s="55"/>
      <x:c r="C11" s="60" t="s">
        <x:v>2049</x:v>
      </x:c>
      <x:c r="D11" s="60"/>
      <x:c r="E11" s="46" t="s">
        <x:v>1006</x:v>
      </x:c>
      <x:c r="F11" s="46" t="s">
        <x:v>1006</x:v>
      </x:c>
      <x:c r="G11" s="46" t="s">
        <x:v>1006</x:v>
      </x:c>
      <x:c r="H11" s="46" t="s">
        <x:v>1006</x:v>
      </x:c>
      <x:c r="I11" s="46" t="s">
        <x:v>1006</x:v>
      </x:c>
      <x:c r="J11" s="46" t="s">
        <x:v>1006</x:v>
      </x:c>
      <x:c r="K11" s="46" t="s">
        <x:v>1006</x:v>
      </x:c>
      <x:c r="L11" s="46" t="s">
        <x:v>1006</x:v>
      </x:c>
      <x:c r="M11" s="46" t="s">
        <x:v>1006</x:v>
      </x:c>
      <x:c r="N11" s="54" t="s">
        <x:v>1006</x:v>
      </x:c>
      <x:c r="O11" s="54" t="s">
        <x:v>1006</x:v>
      </x:c>
      <x:c r="P11" s="54" t="s">
        <x:v>1006</x:v>
      </x:c>
      <x:c r="Q11" s="54" t="s">
        <x:v>1006</x:v>
      </x:c>
    </x:row>
    <x:row r="12" spans="1:17" hidden="1" outlineLevel="1">
      <x:c r="A12" s="46"/>
      <x:c r="B12" s="55"/>
      <x:c r="C12" s="60" t="s">
        <x:v>1533</x:v>
      </x:c>
      <x:c r="D12" s="60"/>
      <x:c r="E12" s="46" t="s">
        <x:v>1102</x:v>
      </x:c>
      <x:c r="F12" s="46" t="s">
        <x:v>1102</x:v>
      </x:c>
      <x:c r="G12" s="46" t="s">
        <x:v>1102</x:v>
      </x:c>
      <x:c r="H12" s="46" t="s">
        <x:v>1102</x:v>
      </x:c>
      <x:c r="I12" s="46" t="s">
        <x:v>1102</x:v>
      </x:c>
      <x:c r="J12" s="46" t="s">
        <x:v>1102</x:v>
      </x:c>
      <x:c r="K12" s="46" t="s">
        <x:v>1102</x:v>
      </x:c>
      <x:c r="L12" s="46" t="s">
        <x:v>1102</x:v>
      </x:c>
      <x:c r="M12" s="46" t="s">
        <x:v>1102</x:v>
      </x:c>
      <x:c r="N12" s="54" t="s">
        <x:v>1102</x:v>
      </x:c>
      <x:c r="O12" s="54" t="s">
        <x:v>1102</x:v>
      </x:c>
      <x:c r="P12" s="54" t="s">
        <x:v>1102</x:v>
      </x:c>
      <x:c r="Q12" s="54" t="s">
        <x:v>1102</x:v>
      </x:c>
    </x:row>
    <x:row r="13" spans="1:21" ht="18.75" customHeight="1" collapsed="1">
      <x:c r="A13" s="46"/>
      <x:c r="B13" s="28" t="s">
        <x:v>2079</x:v>
      </x:c>
      <x:c r="C13" s="60" t="s">
        <x:v>2085</x:v>
      </x:c>
      <x:c r="D13" s="60"/>
      <x:c r="E13" s="144">
        <x:v>42004</x:v>
      </x:c>
      <x:c r="F13" s="144">
        <x:v>42369</x:v>
      </x:c>
      <x:c r="G13" s="144">
        <x:v>42735</x:v>
      </x:c>
      <x:c r="H13" s="144">
        <x:v>43100</x:v>
      </x:c>
      <x:c r="I13" s="144">
        <x:v>43465</x:v>
      </x:c>
      <x:c r="J13" s="144">
        <x:v>43830</x:v>
      </x:c>
      <x:c r="K13" s="144">
        <x:v>44196</x:v>
      </x:c>
      <x:c r="L13" s="144">
        <x:v>44561</x:v>
      </x:c>
      <x:c r="M13" s="144">
        <x:v>44926</x:v>
      </x:c>
      <x:c r="N13" s="144">
        <x:v>45291</x:v>
      </x:c>
      <x:c r="O13" s="144">
        <x:v>45657</x:v>
      </x:c>
      <x:c r="P13" s="144">
        <x:v>46022</x:v>
      </x:c>
      <x:c r="Q13" s="144">
        <x:v>46022</x:v>
      </x:c>
      <x:c r="U13" s="1" t="s">
        <x:v>1544</x:v>
      </x:c>
    </x:row>
    <x:row r="14" spans="5:17">
      <x:c r="E14" s="15"/>
      <x:c r="F14" s="15"/>
      <x:c r="G14" s="15"/>
      <x:c r="H14" s="15"/>
      <x:c r="I14" s="15"/>
      <x:c r="J14" s="15"/>
      <x:c r="K14" s="15"/>
      <x:c r="L14" s="15"/>
      <x:c r="M14" s="15"/>
      <x:c r="N14" s="15"/>
      <x:c r="O14" s="15"/>
      <x:c r="P14" s="15"/>
      <x:c r="Q14" s="15"/>
    </x:row>
    <x:row r="15" spans="2:21">
      <x:c r="B15" s="61" t="s">
        <x:v>1251</x:v>
      </x:c>
      <x:c r="C15" s="60" t="s">
        <x:v>549</x:v>
      </x:c>
      <x:c r="D15" s="60"/>
      <x:c r="E15" s="70">
        <x:v>12022</x:v>
      </x:c>
      <x:c r="F15" s="70">
        <x:v>13190</x:v>
      </x:c>
      <x:c r="G15" s="70">
        <x:v>11872</x:v>
      </x:c>
      <x:c r="H15" s="70">
        <x:v>5753</x:v>
      </x:c>
      <x:c r="I15" s="70">
        <x:v>8728</x:v>
      </x:c>
      <x:c r="J15" s="70">
        <x:v>9431</x:v>
      </x:c>
      <x:c r="K15" s="70">
        <x:v>5590</x:v>
      </x:c>
      <x:c r="L15" s="70">
        <x:v>5743</x:v>
      </x:c>
      <x:c r="M15" s="70">
        <x:v>1639</x:v>
      </x:c>
      <x:c r="N15" s="70">
        <x:v>7502</x:v>
      </x:c>
      <x:c r="O15" s="70">
        <x:v>6023</x:v>
      </x:c>
      <x:c r="P15" s="70">
        <x:v>10593</x:v>
      </x:c>
      <x:c r="Q15" s="70">
        <x:v>10593</x:v>
      </x:c>
      <x:c r="R15" s="249"/>
      <x:c r="U15" s="189">
        <x:v>1</x:v>
      </x:c>
    </x:row>
    <x:row r="16" spans="2:21">
      <x:c r="B16" s="46" t="s">
        <x:v>2390</x:v>
      </x:c>
      <x:c r="C16" s="60" t="s">
        <x:v>2182</x:v>
      </x:c>
      <x:c r="D16" s="60"/>
      <x:c r="E16" s="62">
        <x:v>3145</x:v>
      </x:c>
      <x:c r="F16" s="62">
        <x:v>2662</x:v>
      </x:c>
      <x:c r="G16" s="62">
        <x:v>2837</x:v>
      </x:c>
      <x:c r="H16" s="62">
        <x:v>3021</x:v>
      </x:c>
      <x:c r="I16" s="62">
        <x:v>3127</x:v>
      </x:c>
      <x:c r="J16" s="62">
        <x:v>4209</x:v>
      </x:c>
      <x:c r="K16" s="62">
        <x:v>4227</x:v>
      </x:c>
      <x:c r="L16" s="62">
        <x:v>3888</x:v>
      </x:c>
      <x:c r="M16" s="62">
        <x:v>2407</x:v>
      </x:c>
      <x:c r="N16" s="62">
        <x:v>2109</x:v>
      </x:c>
      <x:c r="O16" s="62">
        <x:v>2168</x:v>
      </x:c>
      <x:c r="P16" s="62">
        <x:v>5021</x:v>
      </x:c>
      <x:c r="Q16" s="62">
        <x:v>5021</x:v>
      </x:c>
      <x:c r="U16" s="189">
        <x:f>IF(COUNT(E16:Q16)&lt;&gt;0,1,"")</x:f>
        <x:v>1</x:v>
      </x:c>
    </x:row>
    <x:row r="17" spans="2:21">
      <x:c r="B17" s="46" t="s">
        <x:v>739</x:v>
      </x:c>
      <x:c r="C17" s="60" t="s">
        <x:v>2493</x:v>
      </x:c>
      <x:c r="D17" s="60"/>
      <x:c r="E17" s="62">
        <x:v>1347</x:v>
      </x:c>
      <x:c r="F17" s="62">
        <x:v>1193</x:v>
      </x:c>
      <x:c r="G17" s="62">
        <x:v>1544</x:v>
      </x:c>
      <x:c r="H17" s="62">
        <x:v>1520</x:v>
      </x:c>
      <x:c r="I17" s="62">
        <x:v>1353</x:v>
      </x:c>
      <x:c r="J17" s="62">
        <x:v>1850</x:v>
      </x:c>
      <x:c r="K17" s="62">
        <x:v>2468</x:v>
      </x:c>
      <x:c r="L17" s="62">
        <x:v>1838</x:v>
      </x:c>
      <x:c r="M17" s="62">
        <x:v>1747</x:v>
      </x:c>
      <x:c r="N17" s="62">
        <x:v>1627</x:v>
      </x:c>
      <x:c r="O17" s="62">
        <x:v>1830</x:v>
      </x:c>
      <x:c r="P17" s="62" t="s">
        <x:v>818</x:v>
      </x:c>
      <x:c r="Q17" s="62" t="s">
        <x:v>818</x:v>
      </x:c>
      <x:c r="U17" s="189">
        <x:f>IF(COUNT(E17:Q17)&lt;&gt;0,1,"")</x:f>
        <x:v>1</x:v>
      </x:c>
    </x:row>
    <x:row r="18" spans="2:21">
      <x:c r="B18" s="46" t="s">
        <x:v>729</x:v>
      </x:c>
      <x:c r="C18" s="60" t="s">
        <x:v>2168</x:v>
      </x:c>
      <x:c r="D18" s="60"/>
      <x:c r="E18" s="148" t="s">
        <x:v>818</x:v>
      </x:c>
      <x:c r="F18" s="148" t="s">
        <x:v>818</x:v>
      </x:c>
      <x:c r="G18" s="148" t="s">
        <x:v>818</x:v>
      </x:c>
      <x:c r="H18" s="148" t="s">
        <x:v>818</x:v>
      </x:c>
      <x:c r="I18" s="148" t="s">
        <x:v>818</x:v>
      </x:c>
      <x:c r="J18" s="148" t="s">
        <x:v>818</x:v>
      </x:c>
      <x:c r="K18" s="148" t="s">
        <x:v>818</x:v>
      </x:c>
      <x:c r="L18" s="148" t="s">
        <x:v>818</x:v>
      </x:c>
      <x:c r="M18" s="148" t="s">
        <x:v>818</x:v>
      </x:c>
      <x:c r="N18" s="148" t="s">
        <x:v>818</x:v>
      </x:c>
      <x:c r="O18" s="148" t="s">
        <x:v>818</x:v>
      </x:c>
      <x:c r="P18" s="148" t="s">
        <x:v>818</x:v>
      </x:c>
      <x:c r="Q18" s="148" t="s">
        <x:v>818</x:v>
      </x:c>
      <x:c r="U18" s="189" t="str">
        <x:f>IF(COUNT(E18:Q18)&lt;&gt;0,1,"")</x:f>
        <x:v/>
      </x:c>
    </x:row>
    <x:row r="19" spans="2:21">
      <x:c r="B19" s="63" t="s">
        <x:v>1221</x:v>
      </x:c>
      <x:c r="C19" s="60" t="s">
        <x:v>551</x:v>
      </x:c>
      <x:c r="D19" s="60"/>
      <x:c r="E19" s="147">
        <x:v>4492</x:v>
      </x:c>
      <x:c r="F19" s="147">
        <x:v>3855</x:v>
      </x:c>
      <x:c r="G19" s="147">
        <x:v>4381</x:v>
      </x:c>
      <x:c r="H19" s="147">
        <x:v>4541</x:v>
      </x:c>
      <x:c r="I19" s="147">
        <x:v>4480</x:v>
      </x:c>
      <x:c r="J19" s="147">
        <x:v>6059</x:v>
      </x:c>
      <x:c r="K19" s="147">
        <x:v>6695</x:v>
      </x:c>
      <x:c r="L19" s="147">
        <x:v>5726</x:v>
      </x:c>
      <x:c r="M19" s="147">
        <x:v>4154</x:v>
      </x:c>
      <x:c r="N19" s="147">
        <x:v>3736</x:v>
      </x:c>
      <x:c r="O19" s="147">
        <x:v>3998</x:v>
      </x:c>
      <x:c r="P19" s="147">
        <x:v>5021</x:v>
      </x:c>
      <x:c r="Q19" s="147">
        <x:v>5021</x:v>
      </x:c>
      <x:c r="U19" s="188">
        <x:v>1</x:v>
      </x:c>
    </x:row>
    <x:row r="20" spans="2:21">
      <x:c r="B20" s="65"/>
      <x:c r="C20" s="60" t="s">
        <x:v>798</x:v>
      </x:c>
      <x:c r="D20" s="60"/>
      <x:c r="E20" s="62"/>
      <x:c r="F20" s="62"/>
      <x:c r="G20" s="62"/>
      <x:c r="H20" s="62"/>
      <x:c r="I20" s="62"/>
      <x:c r="J20" s="62"/>
      <x:c r="K20" s="62"/>
      <x:c r="L20" s="62"/>
      <x:c r="M20" s="62"/>
      <x:c r="N20" s="62"/>
      <x:c r="O20" s="62"/>
      <x:c r="P20" s="62"/>
      <x:c r="Q20" s="62"/>
      <x:c r="U20" s="188">
        <x:v>1</x:v>
      </x:c>
    </x:row>
    <x:row r="21" spans="2:21">
      <x:c r="B21" s="46" t="s">
        <x:v>514</x:v>
      </x:c>
      <x:c r="C21" s="60" t="s">
        <x:v>2164</x:v>
      </x:c>
      <x:c r="D21" s="60"/>
      <x:c r="E21" s="62" t="s">
        <x:v>818</x:v>
      </x:c>
      <x:c r="F21" s="62" t="s">
        <x:v>818</x:v>
      </x:c>
      <x:c r="G21" s="62" t="s">
        <x:v>818</x:v>
      </x:c>
      <x:c r="H21" s="62" t="s">
        <x:v>818</x:v>
      </x:c>
      <x:c r="I21" s="62" t="s">
        <x:v>818</x:v>
      </x:c>
      <x:c r="J21" s="62" t="s">
        <x:v>818</x:v>
      </x:c>
      <x:c r="K21" s="62" t="s">
        <x:v>818</x:v>
      </x:c>
      <x:c r="L21" s="62">
        <x:v>691</x:v>
      </x:c>
      <x:c r="M21" s="62">
        <x:v>648</x:v>
      </x:c>
      <x:c r="N21" s="62">
        <x:v>660</x:v>
      </x:c>
      <x:c r="O21" s="62">
        <x:v>669</x:v>
      </x:c>
      <x:c r="P21" s="62" t="s">
        <x:v>818</x:v>
      </x:c>
      <x:c r="Q21" s="62" t="s">
        <x:v>818</x:v>
      </x:c>
      <x:c r="U21" s="189">
        <x:f t="shared" ref="U21:U41" si="1">IF(COUNT(E21:Q21)&lt;&gt;0,1,"")</x:f>
        <x:v>1</x:v>
      </x:c>
    </x:row>
    <x:row r="22" spans="2:21">
      <x:c r="B22" s="46" t="s">
        <x:v>1556</x:v>
      </x:c>
      <x:c r="C22" s="60" t="s">
        <x:v>2465</x:v>
      </x:c>
      <x:c r="D22" s="60"/>
      <x:c r="E22" s="62" t="s">
        <x:v>818</x:v>
      </x:c>
      <x:c r="F22" s="62" t="s">
        <x:v>818</x:v>
      </x:c>
      <x:c r="G22" s="62" t="s">
        <x:v>818</x:v>
      </x:c>
      <x:c r="H22" s="62" t="s">
        <x:v>818</x:v>
      </x:c>
      <x:c r="I22" s="62" t="s">
        <x:v>818</x:v>
      </x:c>
      <x:c r="J22" s="62" t="s">
        <x:v>818</x:v>
      </x:c>
      <x:c r="K22" s="62" t="s">
        <x:v>818</x:v>
      </x:c>
      <x:c r="L22" s="62" t="s">
        <x:v>818</x:v>
      </x:c>
      <x:c r="M22" s="62" t="s">
        <x:v>818</x:v>
      </x:c>
      <x:c r="N22" s="62" t="s">
        <x:v>818</x:v>
      </x:c>
      <x:c r="O22" s="62" t="s">
        <x:v>818</x:v>
      </x:c>
      <x:c r="P22" s="62" t="s">
        <x:v>818</x:v>
      </x:c>
      <x:c r="Q22" s="62" t="s">
        <x:v>818</x:v>
      </x:c>
      <x:c r="U22" s="189" t="str">
        <x:f t="shared" si="1"/>
        <x:v/>
      </x:c>
    </x:row>
    <x:row r="23" spans="2:21">
      <x:c r="B23" s="46" t="s">
        <x:v>1223</x:v>
      </x:c>
      <x:c r="C23" s="60" t="s">
        <x:v>515</x:v>
      </x:c>
      <x:c r="D23" s="60"/>
      <x:c r="E23" s="62">
        <x:v>-1535</x:v>
      </x:c>
      <x:c r="F23" s="62">
        <x:v>481</x:v>
      </x:c>
      <x:c r="G23" s="62">
        <x:v>62</x:v>
      </x:c>
      <x:c r="H23" s="62">
        <x:v>14</x:v>
      </x:c>
      <x:c r="I23" s="62">
        <x:v>123</x:v>
      </x:c>
      <x:c r="J23" s="62">
        <x:v>-1096</x:v>
      </x:c>
      <x:c r="K23" s="62">
        <x:v>-70</x:v>
      </x:c>
      <x:c r="L23" s="62">
        <x:v>-136</x:v>
      </x:c>
      <x:c r="M23" s="62">
        <x:v>-363</x:v>
      </x:c>
      <x:c r="N23" s="62">
        <x:v>-170</x:v>
      </x:c>
      <x:c r="O23" s="62">
        <x:v>-652</x:v>
      </x:c>
      <x:c r="P23" s="62" t="s">
        <x:v>818</x:v>
      </x:c>
      <x:c r="Q23" s="62" t="s">
        <x:v>818</x:v>
      </x:c>
      <x:c r="U23" s="189">
        <x:f t="shared" si="1"/>
        <x:v>1</x:v>
      </x:c>
    </x:row>
    <x:row r="24" spans="2:21">
      <x:c r="B24" s="46" t="s">
        <x:v>1222</x:v>
      </x:c>
      <x:c r="C24" s="60" t="s">
        <x:v>516</x:v>
      </x:c>
      <x:c r="D24" s="60"/>
      <x:c r="E24" s="62" t="s">
        <x:v>818</x:v>
      </x:c>
      <x:c r="F24" s="62" t="s">
        <x:v>818</x:v>
      </x:c>
      <x:c r="G24" s="62" t="s">
        <x:v>818</x:v>
      </x:c>
      <x:c r="H24" s="62" t="s">
        <x:v>818</x:v>
      </x:c>
      <x:c r="I24" s="62" t="s">
        <x:v>818</x:v>
      </x:c>
      <x:c r="J24" s="62" t="s">
        <x:v>818</x:v>
      </x:c>
      <x:c r="K24" s="62" t="s">
        <x:v>818</x:v>
      </x:c>
      <x:c r="L24" s="62" t="s">
        <x:v>818</x:v>
      </x:c>
      <x:c r="M24" s="62" t="s">
        <x:v>818</x:v>
      </x:c>
      <x:c r="N24" s="62" t="s">
        <x:v>818</x:v>
      </x:c>
      <x:c r="O24" s="62" t="s">
        <x:v>818</x:v>
      </x:c>
      <x:c r="P24" s="62" t="s">
        <x:v>818</x:v>
      </x:c>
      <x:c r="Q24" s="62" t="s">
        <x:v>818</x:v>
      </x:c>
      <x:c r="U24" s="189" t="str">
        <x:f t="shared" si="1"/>
        <x:v/>
      </x:c>
    </x:row>
    <x:row r="25" spans="2:21">
      <x:c r="B25" s="46" t="s">
        <x:v>255</x:v>
      </x:c>
      <x:c r="C25" s="60" t="s">
        <x:v>2470</x:v>
      </x:c>
      <x:c r="D25" s="60"/>
      <x:c r="E25" s="62" t="s">
        <x:v>818</x:v>
      </x:c>
      <x:c r="F25" s="62" t="s">
        <x:v>818</x:v>
      </x:c>
      <x:c r="G25" s="62" t="s">
        <x:v>818</x:v>
      </x:c>
      <x:c r="H25" s="62" t="s">
        <x:v>818</x:v>
      </x:c>
      <x:c r="I25" s="62" t="s">
        <x:v>818</x:v>
      </x:c>
      <x:c r="J25" s="62" t="s">
        <x:v>818</x:v>
      </x:c>
      <x:c r="K25" s="62" t="s">
        <x:v>818</x:v>
      </x:c>
      <x:c r="L25" s="62" t="s">
        <x:v>818</x:v>
      </x:c>
      <x:c r="M25" s="62" t="s">
        <x:v>818</x:v>
      </x:c>
      <x:c r="N25" s="62" t="s">
        <x:v>818</x:v>
      </x:c>
      <x:c r="O25" s="62" t="s">
        <x:v>818</x:v>
      </x:c>
      <x:c r="P25" s="62" t="s">
        <x:v>818</x:v>
      </x:c>
      <x:c r="Q25" s="62" t="s">
        <x:v>818</x:v>
      </x:c>
      <x:c r="U25" s="189" t="str">
        <x:f t="shared" si="1"/>
        <x:v/>
      </x:c>
    </x:row>
    <x:row r="26" spans="2:21">
      <x:c r="B26" s="46" t="s">
        <x:v>128</x:v>
      </x:c>
      <x:c r="C26" s="60" t="s">
        <x:v>552</x:v>
      </x:c>
      <x:c r="D26" s="60"/>
      <x:c r="E26" s="62" t="s">
        <x:v>818</x:v>
      </x:c>
      <x:c r="F26" s="62" t="s">
        <x:v>818</x:v>
      </x:c>
      <x:c r="G26" s="62" t="s">
        <x:v>818</x:v>
      </x:c>
      <x:c r="H26" s="62" t="s">
        <x:v>818</x:v>
      </x:c>
      <x:c r="I26" s="62" t="s">
        <x:v>818</x:v>
      </x:c>
      <x:c r="J26" s="62" t="s">
        <x:v>818</x:v>
      </x:c>
      <x:c r="K26" s="62" t="s">
        <x:v>818</x:v>
      </x:c>
      <x:c r="L26" s="62" t="s">
        <x:v>818</x:v>
      </x:c>
      <x:c r="M26" s="62" t="s">
        <x:v>818</x:v>
      </x:c>
      <x:c r="N26" s="62" t="s">
        <x:v>818</x:v>
      </x:c>
      <x:c r="O26" s="62" t="s">
        <x:v>818</x:v>
      </x:c>
      <x:c r="P26" s="62" t="s">
        <x:v>818</x:v>
      </x:c>
      <x:c r="Q26" s="62" t="s">
        <x:v>818</x:v>
      </x:c>
      <x:c r="U26" s="189" t="str">
        <x:f t="shared" si="1"/>
        <x:v/>
      </x:c>
    </x:row>
    <x:row r="27" spans="2:21">
      <x:c r="B27" s="46" t="s">
        <x:v>1649</x:v>
      </x:c>
      <x:c r="C27" s="60" t="s">
        <x:v>483</x:v>
      </x:c>
      <x:c r="D27" s="60"/>
      <x:c r="E27" s="62" t="s">
        <x:v>818</x:v>
      </x:c>
      <x:c r="F27" s="62" t="s">
        <x:v>818</x:v>
      </x:c>
      <x:c r="G27" s="62" t="s">
        <x:v>818</x:v>
      </x:c>
      <x:c r="H27" s="62" t="s">
        <x:v>818</x:v>
      </x:c>
      <x:c r="I27" s="62" t="s">
        <x:v>818</x:v>
      </x:c>
      <x:c r="J27" s="62" t="s">
        <x:v>818</x:v>
      </x:c>
      <x:c r="K27" s="62" t="s">
        <x:v>818</x:v>
      </x:c>
      <x:c r="L27" s="62" t="s">
        <x:v>818</x:v>
      </x:c>
      <x:c r="M27" s="62" t="s">
        <x:v>818</x:v>
      </x:c>
      <x:c r="N27" s="62" t="s">
        <x:v>818</x:v>
      </x:c>
      <x:c r="O27" s="62" t="s">
        <x:v>818</x:v>
      </x:c>
      <x:c r="P27" s="62" t="s">
        <x:v>818</x:v>
      </x:c>
      <x:c r="Q27" s="62" t="s">
        <x:v>818</x:v>
      </x:c>
      <x:c r="U27" s="189" t="str">
        <x:f t="shared" si="1"/>
        <x:v/>
      </x:c>
    </x:row>
    <x:row r="28" spans="2:21">
      <x:c r="B28" s="46" t="s">
        <x:v>1224</x:v>
      </x:c>
      <x:c r="C28" s="60" t="s">
        <x:v>484</x:v>
      </x:c>
      <x:c r="D28" s="60"/>
      <x:c r="E28" s="62" t="s">
        <x:v>818</x:v>
      </x:c>
      <x:c r="F28" s="62" t="s">
        <x:v>818</x:v>
      </x:c>
      <x:c r="G28" s="62" t="s">
        <x:v>818</x:v>
      </x:c>
      <x:c r="H28" s="62" t="s">
        <x:v>818</x:v>
      </x:c>
      <x:c r="I28" s="62" t="s">
        <x:v>818</x:v>
      </x:c>
      <x:c r="J28" s="62" t="s">
        <x:v>818</x:v>
      </x:c>
      <x:c r="K28" s="62" t="s">
        <x:v>818</x:v>
      </x:c>
      <x:c r="L28" s="62" t="s">
        <x:v>818</x:v>
      </x:c>
      <x:c r="M28" s="62" t="s">
        <x:v>818</x:v>
      </x:c>
      <x:c r="N28" s="62" t="s">
        <x:v>818</x:v>
      </x:c>
      <x:c r="O28" s="62" t="s">
        <x:v>818</x:v>
      </x:c>
      <x:c r="P28" s="62" t="s">
        <x:v>818</x:v>
      </x:c>
      <x:c r="Q28" s="62" t="s">
        <x:v>818</x:v>
      </x:c>
      <x:c r="U28" s="189" t="str">
        <x:f t="shared" si="1"/>
        <x:v/>
      </x:c>
    </x:row>
    <x:row r="29" spans="2:21">
      <x:c r="B29" s="46" t="s">
        <x:v>1562</x:v>
      </x:c>
      <x:c r="C29" s="60" t="s">
        <x:v>480</x:v>
      </x:c>
      <x:c r="D29" s="60"/>
      <x:c r="E29" s="62">
        <x:v>512</x:v>
      </x:c>
      <x:c r="F29" s="62">
        <x:v>468</x:v>
      </x:c>
      <x:c r="G29" s="62">
        <x:v>544</x:v>
      </x:c>
      <x:c r="H29" s="62">
        <x:v>534</x:v>
      </x:c>
      <x:c r="I29" s="62">
        <x:v>510</x:v>
      </x:c>
      <x:c r="J29" s="62">
        <x:v>679</x:v>
      </x:c>
      <x:c r="K29" s="62">
        <x:v>937</x:v>
      </x:c>
      <x:c r="L29" s="62">
        <x:v>982</x:v>
      </x:c>
      <x:c r="M29" s="62">
        <x:v>987</x:v>
      </x:c>
      <x:c r="N29" s="62">
        <x:v>1133</x:v>
      </x:c>
      <x:c r="O29" s="62">
        <x:v>1311</x:v>
      </x:c>
      <x:c r="P29" s="62">
        <x:v>1715</x:v>
      </x:c>
      <x:c r="Q29" s="62">
        <x:v>1715</x:v>
      </x:c>
      <x:c r="U29" s="189">
        <x:f t="shared" si="1"/>
        <x:v>1</x:v>
      </x:c>
    </x:row>
    <x:row r="30" spans="2:21">
      <x:c r="B30" s="46" t="s">
        <x:v>1227</x:v>
      </x:c>
      <x:c r="C30" s="60" t="s">
        <x:v>2471</x:v>
      </x:c>
      <x:c r="D30" s="60"/>
      <x:c r="E30" s="62" t="s">
        <x:v>818</x:v>
      </x:c>
      <x:c r="F30" s="62" t="s">
        <x:v>818</x:v>
      </x:c>
      <x:c r="G30" s="62" t="s">
        <x:v>818</x:v>
      </x:c>
      <x:c r="H30" s="62" t="s">
        <x:v>818</x:v>
      </x:c>
      <x:c r="I30" s="62" t="s">
        <x:v>818</x:v>
      </x:c>
      <x:c r="J30" s="62" t="s">
        <x:v>818</x:v>
      </x:c>
      <x:c r="K30" s="62" t="s">
        <x:v>818</x:v>
      </x:c>
      <x:c r="L30" s="62" t="s">
        <x:v>818</x:v>
      </x:c>
      <x:c r="M30" s="62" t="s">
        <x:v>818</x:v>
      </x:c>
      <x:c r="N30" s="62" t="s">
        <x:v>818</x:v>
      </x:c>
      <x:c r="O30" s="62" t="s">
        <x:v>818</x:v>
      </x:c>
      <x:c r="P30" s="62" t="s">
        <x:v>818</x:v>
      </x:c>
      <x:c r="Q30" s="62" t="s">
        <x:v>818</x:v>
      </x:c>
      <x:c r="U30" s="189" t="str">
        <x:f t="shared" si="1"/>
        <x:v/>
      </x:c>
    </x:row>
    <x:row r="31" spans="2:21">
      <x:c r="B31" s="46" t="s">
        <x:v>701</x:v>
      </x:c>
      <x:c r="C31" s="60" t="s">
        <x:v>2494</x:v>
      </x:c>
      <x:c r="D31" s="60"/>
      <x:c r="E31" s="62" t="s">
        <x:v>818</x:v>
      </x:c>
      <x:c r="F31" s="62" t="s">
        <x:v>818</x:v>
      </x:c>
      <x:c r="G31" s="62" t="s">
        <x:v>818</x:v>
      </x:c>
      <x:c r="H31" s="62" t="s">
        <x:v>818</x:v>
      </x:c>
      <x:c r="I31" s="62" t="s">
        <x:v>818</x:v>
      </x:c>
      <x:c r="J31" s="62" t="s">
        <x:v>818</x:v>
      </x:c>
      <x:c r="K31" s="62" t="s">
        <x:v>818</x:v>
      </x:c>
      <x:c r="L31" s="62" t="s">
        <x:v>818</x:v>
      </x:c>
      <x:c r="M31" s="62" t="s">
        <x:v>818</x:v>
      </x:c>
      <x:c r="N31" s="62" t="s">
        <x:v>818</x:v>
      </x:c>
      <x:c r="O31" s="62" t="s">
        <x:v>818</x:v>
      </x:c>
      <x:c r="P31" s="62" t="s">
        <x:v>818</x:v>
      </x:c>
      <x:c r="Q31" s="62" t="s">
        <x:v>818</x:v>
      </x:c>
      <x:c r="U31" s="189" t="str">
        <x:f t="shared" si="1"/>
        <x:v/>
      </x:c>
    </x:row>
    <x:row r="32" spans="2:21">
      <x:c r="B32" s="46" t="s">
        <x:v>1226</x:v>
      </x:c>
      <x:c r="C32" s="60" t="s">
        <x:v>553</x:v>
      </x:c>
      <x:c r="D32" s="60"/>
      <x:c r="E32" s="62">
        <x:v>3381</x:v>
      </x:c>
      <x:c r="F32" s="62">
        <x:v>71</x:v>
      </x:c>
      <x:c r="G32" s="62" t="s">
        <x:v>818</x:v>
      </x:c>
      <x:c r="H32" s="62" t="s">
        <x:v>818</x:v>
      </x:c>
      <x:c r="I32" s="62" t="s">
        <x:v>818</x:v>
      </x:c>
      <x:c r="J32" s="62" t="s">
        <x:v>818</x:v>
      </x:c>
      <x:c r="K32" s="62" t="s">
        <x:v>818</x:v>
      </x:c>
      <x:c r="L32" s="62" t="s">
        <x:v>818</x:v>
      </x:c>
      <x:c r="M32" s="62" t="s">
        <x:v>818</x:v>
      </x:c>
      <x:c r="N32" s="62" t="s">
        <x:v>818</x:v>
      </x:c>
      <x:c r="O32" s="62" t="s">
        <x:v>818</x:v>
      </x:c>
      <x:c r="P32" s="62" t="s">
        <x:v>818</x:v>
      </x:c>
      <x:c r="Q32" s="62" t="s">
        <x:v>818</x:v>
      </x:c>
      <x:c r="U32" s="189">
        <x:f t="shared" si="1"/>
        <x:v>1</x:v>
      </x:c>
    </x:row>
    <x:row r="33" spans="2:21">
      <x:c r="B33" s="46" t="s">
        <x:v>1634</x:v>
      </x:c>
      <x:c r="C33" s="60" t="s">
        <x:v>481</x:v>
      </x:c>
      <x:c r="D33" s="60"/>
      <x:c r="E33" s="62">
        <x:v>-238</x:v>
      </x:c>
      <x:c r="F33" s="62">
        <x:v>1386</x:v>
      </x:c>
      <x:c r="G33" s="62">
        <x:v>-1132</x:v>
      </x:c>
      <x:c r="H33" s="62">
        <x:v>-931</x:v>
      </x:c>
      <x:c r="I33" s="62">
        <x:v>852</x:v>
      </x:c>
      <x:c r="J33" s="62">
        <x:v>-1528</x:v>
      </x:c>
      <x:c r="K33" s="62">
        <x:v>-3204</x:v>
      </x:c>
      <x:c r="L33" s="62">
        <x:v>-2001</x:v>
      </x:c>
      <x:c r="M33" s="62">
        <x:v>3168</x:v>
      </x:c>
      <x:c r="N33" s="62">
        <x:v>-1114</x:v>
      </x:c>
      <x:c r="O33" s="62">
        <x:v>783</x:v>
      </x:c>
      <x:c r="P33" s="62">
        <x:v>1</x:v>
      </x:c>
      <x:c r="Q33" s="62">
        <x:v>1</x:v>
      </x:c>
      <x:c r="U33" s="189">
        <x:f t="shared" si="1"/>
        <x:v>1</x:v>
      </x:c>
    </x:row>
    <x:row r="34" spans="2:21">
      <x:c r="B34" s="46" t="s">
        <x:v>703</x:v>
      </x:c>
      <x:c r="C34" s="60" t="s">
        <x:v>1657</x:v>
      </x:c>
      <x:c r="D34" s="60"/>
      <x:c r="E34" s="62" t="s">
        <x:v>818</x:v>
      </x:c>
      <x:c r="F34" s="62" t="s">
        <x:v>818</x:v>
      </x:c>
      <x:c r="G34" s="62" t="s">
        <x:v>818</x:v>
      </x:c>
      <x:c r="H34" s="62" t="s">
        <x:v>818</x:v>
      </x:c>
      <x:c r="I34" s="62" t="s">
        <x:v>818</x:v>
      </x:c>
      <x:c r="J34" s="62" t="s">
        <x:v>818</x:v>
      </x:c>
      <x:c r="K34" s="62" t="s">
        <x:v>818</x:v>
      </x:c>
      <x:c r="L34" s="62" t="s">
        <x:v>818</x:v>
      </x:c>
      <x:c r="M34" s="62" t="s">
        <x:v>818</x:v>
      </x:c>
      <x:c r="N34" s="62" t="s">
        <x:v>818</x:v>
      </x:c>
      <x:c r="O34" s="62" t="s">
        <x:v>818</x:v>
      </x:c>
      <x:c r="P34" s="62" t="s">
        <x:v>818</x:v>
      </x:c>
      <x:c r="Q34" s="62" t="s">
        <x:v>818</x:v>
      </x:c>
      <x:c r="U34" s="189" t="str">
        <x:f t="shared" si="1"/>
        <x:v/>
      </x:c>
    </x:row>
    <x:row r="35" spans="2:21">
      <x:c r="B35" s="46" t="s">
        <x:v>1655</x:v>
      </x:c>
      <x:c r="C35" s="60" t="s">
        <x:v>2175</x:v>
      </x:c>
      <x:c r="D35" s="60"/>
      <x:c r="E35" s="62">
        <x:v>1270</x:v>
      </x:c>
      <x:c r="F35" s="62">
        <x:v>812</x:v>
      </x:c>
      <x:c r="G35" s="62">
        <x:v>712</x:v>
      </x:c>
      <x:c r="H35" s="62">
        <x:v>1297</x:v>
      </x:c>
      <x:c r="I35" s="62">
        <x:v>1006</x:v>
      </x:c>
      <x:c r="J35" s="62">
        <x:v>502</x:v>
      </x:c>
      <x:c r="K35" s="62">
        <x:v>5297</x:v>
      </x:c>
      <x:c r="L35" s="62">
        <x:v>1372</x:v>
      </x:c>
      <x:c r="M35" s="62">
        <x:v>-539</x:v>
      </x:c>
      <x:c r="N35" s="62">
        <x:v>725</x:v>
      </x:c>
      <x:c r="O35" s="62">
        <x:v>-374</x:v>
      </x:c>
      <x:c r="P35" s="62" t="s">
        <x:v>818</x:v>
      </x:c>
      <x:c r="Q35" s="62" t="s">
        <x:v>818</x:v>
      </x:c>
      <x:c r="U35" s="189">
        <x:f t="shared" si="1"/>
        <x:v>1</x:v>
      </x:c>
    </x:row>
    <x:row r="36" spans="2:21">
      <x:c r="B36" s="46" t="s">
        <x:v>2498</x:v>
      </x:c>
      <x:c r="C36" s="60" t="s">
        <x:v>482</x:v>
      </x:c>
      <x:c r="D36" s="60"/>
      <x:c r="E36" s="62">
        <x:v>-39</x:v>
      </x:c>
      <x:c r="F36" s="62">
        <x:v>133</x:v>
      </x:c>
      <x:c r="G36" s="62">
        <x:v>-14</x:v>
      </x:c>
      <x:c r="H36" s="62">
        <x:v>18</x:v>
      </x:c>
      <x:c r="I36" s="62">
        <x:v>-127</x:v>
      </x:c>
      <x:c r="J36" s="62">
        <x:v>67</x:v>
      </x:c>
      <x:c r="K36" s="62">
        <x:v>-209</x:v>
      </x:c>
      <x:c r="L36" s="62">
        <x:v>138</x:v>
      </x:c>
      <x:c r="M36" s="62">
        <x:v>71</x:v>
      </x:c>
      <x:c r="N36" s="62">
        <x:v>390</x:v>
      </x:c>
      <x:c r="O36" s="62">
        <x:v>-166</x:v>
      </x:c>
      <x:c r="P36" s="62" t="s">
        <x:v>818</x:v>
      </x:c>
      <x:c r="Q36" s="62" t="s">
        <x:v>818</x:v>
      </x:c>
      <x:c r="U36" s="189">
        <x:f t="shared" si="1"/>
        <x:v>1</x:v>
      </x:c>
    </x:row>
    <x:row r="37" spans="2:21">
      <x:c r="B37" s="46" t="s">
        <x:v>2503</x:v>
      </x:c>
      <x:c r="C37" s="60" t="s">
        <x:v>2180</x:v>
      </x:c>
      <x:c r="D37" s="60"/>
      <x:c r="E37" s="62">
        <x:v>-456</x:v>
      </x:c>
      <x:c r="F37" s="62">
        <x:v>81</x:v>
      </x:c>
      <x:c r="G37" s="62">
        <x:v>197</x:v>
      </x:c>
      <x:c r="H37" s="62">
        <x:v>47</x:v>
      </x:c>
      <x:c r="I37" s="62">
        <x:v>126</x:v>
      </x:c>
      <x:c r="J37" s="62">
        <x:v>-503</x:v>
      </x:c>
      <x:c r="K37" s="62">
        <x:v>138</x:v>
      </x:c>
      <x:c r="L37" s="62">
        <x:v>85</x:v>
      </x:c>
      <x:c r="M37" s="62">
        <x:v>213</x:v>
      </x:c>
      <x:c r="N37" s="62">
        <x:v>65</x:v>
      </x:c>
      <x:c r="O37" s="62">
        <x:v>-13</x:v>
      </x:c>
      <x:c r="P37" s="62" t="s">
        <x:v>818</x:v>
      </x:c>
      <x:c r="Q37" s="62" t="s">
        <x:v>818</x:v>
      </x:c>
      <x:c r="U37" s="189">
        <x:f t="shared" si="1"/>
        <x:v>1</x:v>
      </x:c>
    </x:row>
    <x:row r="38" spans="2:21">
      <x:c r="B38" s="46" t="s">
        <x:v>2511</x:v>
      </x:c>
      <x:c r="C38" s="60" t="s">
        <x:v>2516</x:v>
      </x:c>
      <x:c r="D38" s="60"/>
      <x:c r="E38" s="62" t="s">
        <x:v>818</x:v>
      </x:c>
      <x:c r="F38" s="62" t="s">
        <x:v>818</x:v>
      </x:c>
      <x:c r="G38" s="62" t="s">
        <x:v>818</x:v>
      </x:c>
      <x:c r="H38" s="62" t="s">
        <x:v>818</x:v>
      </x:c>
      <x:c r="I38" s="62" t="s">
        <x:v>818</x:v>
      </x:c>
      <x:c r="J38" s="62" t="s">
        <x:v>818</x:v>
      </x:c>
      <x:c r="K38" s="62" t="s">
        <x:v>818</x:v>
      </x:c>
      <x:c r="L38" s="62" t="s">
        <x:v>818</x:v>
      </x:c>
      <x:c r="M38" s="62" t="s">
        <x:v>818</x:v>
      </x:c>
      <x:c r="N38" s="62" t="s">
        <x:v>818</x:v>
      </x:c>
      <x:c r="O38" s="62" t="s">
        <x:v>818</x:v>
      </x:c>
      <x:c r="P38" s="62" t="s">
        <x:v>818</x:v>
      </x:c>
      <x:c r="Q38" s="62" t="s">
        <x:v>818</x:v>
      </x:c>
      <x:c r="U38" s="189" t="str">
        <x:f t="shared" si="1"/>
        <x:v/>
      </x:c>
    </x:row>
    <x:row r="39" spans="2:21">
      <x:c r="B39" s="46" t="s">
        <x:v>2512</x:v>
      </x:c>
      <x:c r="C39" s="60" t="s">
        <x:v>485</x:v>
      </x:c>
      <x:c r="D39" s="60"/>
      <x:c r="E39" s="62" t="s">
        <x:v>818</x:v>
      </x:c>
      <x:c r="F39" s="62" t="s">
        <x:v>818</x:v>
      </x:c>
      <x:c r="G39" s="62" t="s">
        <x:v>818</x:v>
      </x:c>
      <x:c r="H39" s="62" t="s">
        <x:v>818</x:v>
      </x:c>
      <x:c r="I39" s="62" t="s">
        <x:v>818</x:v>
      </x:c>
      <x:c r="J39" s="62" t="s">
        <x:v>818</x:v>
      </x:c>
      <x:c r="K39" s="62" t="s">
        <x:v>818</x:v>
      </x:c>
      <x:c r="L39" s="62" t="s">
        <x:v>818</x:v>
      </x:c>
      <x:c r="M39" s="62" t="s">
        <x:v>818</x:v>
      </x:c>
      <x:c r="N39" s="62" t="s">
        <x:v>818</x:v>
      </x:c>
      <x:c r="O39" s="62" t="s">
        <x:v>818</x:v>
      </x:c>
      <x:c r="P39" s="62" t="s">
        <x:v>818</x:v>
      </x:c>
      <x:c r="Q39" s="62" t="s">
        <x:v>818</x:v>
      </x:c>
      <x:c r="U39" s="189" t="str">
        <x:f t="shared" si="1"/>
        <x:v/>
      </x:c>
    </x:row>
    <x:row r="40" spans="2:21">
      <x:c r="B40" s="46" t="s">
        <x:v>2521</x:v>
      </x:c>
      <x:c r="C40" s="60" t="s">
        <x:v>486</x:v>
      </x:c>
      <x:c r="D40" s="60"/>
      <x:c r="E40" s="62" t="s">
        <x:v>818</x:v>
      </x:c>
      <x:c r="F40" s="62" t="s">
        <x:v>818</x:v>
      </x:c>
      <x:c r="G40" s="62" t="s">
        <x:v>818</x:v>
      </x:c>
      <x:c r="H40" s="62" t="s">
        <x:v>818</x:v>
      </x:c>
      <x:c r="I40" s="62" t="s">
        <x:v>818</x:v>
      </x:c>
      <x:c r="J40" s="62" t="s">
        <x:v>818</x:v>
      </x:c>
      <x:c r="K40" s="62" t="s">
        <x:v>818</x:v>
      </x:c>
      <x:c r="L40" s="62" t="s">
        <x:v>818</x:v>
      </x:c>
      <x:c r="M40" s="62" t="s">
        <x:v>818</x:v>
      </x:c>
      <x:c r="N40" s="62" t="s">
        <x:v>818</x:v>
      </x:c>
      <x:c r="O40" s="62" t="s">
        <x:v>818</x:v>
      </x:c>
      <x:c r="P40" s="62" t="s">
        <x:v>818</x:v>
      </x:c>
      <x:c r="Q40" s="62" t="s">
        <x:v>818</x:v>
      </x:c>
      <x:c r="U40" s="189" t="str">
        <x:f t="shared" si="1"/>
        <x:v/>
      </x:c>
    </x:row>
    <x:row r="41" spans="2:21">
      <x:c r="B41" s="46" t="s">
        <x:v>259</x:v>
      </x:c>
      <x:c r="C41" s="60" t="s">
        <x:v>1225</x:v>
      </x:c>
      <x:c r="D41" s="60"/>
      <x:c r="E41" s="62">
        <x:v>-2541</x:v>
      </x:c>
      <x:c r="F41" s="62">
        <x:v>-3222</x:v>
      </x:c>
      <x:c r="G41" s="62">
        <x:v>462</x:v>
      </x:c>
      <x:c r="H41" s="62">
        <x:v>5451</x:v>
      </x:c>
      <x:c r="I41" s="62">
        <x:v>-451</x:v>
      </x:c>
      <x:c r="J41" s="62">
        <x:v>1159</x:v>
      </x:c>
      <x:c r="K41" s="62">
        <x:v>3023</x:v>
      </x:c>
      <x:c r="L41" s="62">
        <x:v>196</x:v>
      </x:c>
      <x:c r="M41" s="62">
        <x:v>457</x:v>
      </x:c>
      <x:c r="N41" s="62">
        <x:v>1004</x:v>
      </x:c>
      <x:c r="O41" s="62">
        <x:v>1866</x:v>
      </x:c>
      <x:c r="P41" s="62">
        <x:v>-4137</x:v>
      </x:c>
      <x:c r="Q41" s="62">
        <x:v>-4137</x:v>
      </x:c>
      <x:c r="U41" s="189">
        <x:f t="shared" si="1"/>
        <x:v>1</x:v>
      </x:c>
    </x:row>
    <x:row r="42" spans="2:21" ht="12">
      <x:c r="B42" s="63" t="s">
        <x:v>2158</x:v>
      </x:c>
      <x:c r="C42" s="60" t="s">
        <x:v>2176</x:v>
      </x:c>
      <x:c r="D42" s="60"/>
      <x:c r="E42" s="146">
        <x:v>16868</x:v>
      </x:c>
      <x:c r="F42" s="146">
        <x:v>17255</x:v>
      </x:c>
      <x:c r="G42" s="146">
        <x:v>17084</x:v>
      </x:c>
      <x:c r="H42" s="146">
        <x:v>16724</x:v>
      </x:c>
      <x:c r="I42" s="146">
        <x:v>15247</x:v>
      </x:c>
      <x:c r="J42" s="146">
        <x:v>14770</x:v>
      </x:c>
      <x:c r="K42" s="146">
        <x:v>18197</x:v>
      </x:c>
      <x:c r="L42" s="146">
        <x:v>12796</x:v>
      </x:c>
      <x:c r="M42" s="146">
        <x:v>10435</x:v>
      </x:c>
      <x:c r="N42" s="146">
        <x:v>13931</x:v>
      </x:c>
      <x:c r="O42" s="146">
        <x:v>13445</x:v>
      </x:c>
      <x:c r="P42" s="146">
        <x:v>13193</x:v>
      </x:c>
      <x:c r="Q42" s="146">
        <x:v>13193</x:v>
      </x:c>
      <x:c r="R42" s="249"/>
      <x:c r="U42" s="188">
        <x:v>1</x:v>
      </x:c>
    </x:row>
    <x:row r="43" spans="2:21" ht="12">
      <x:c r="B43" s="65"/>
      <x:c r="C43" s="60" t="s">
        <x:v>798</x:v>
      </x:c>
      <x:c r="D43" s="60"/>
      <x:c r="E43" s="62"/>
      <x:c r="F43" s="62"/>
      <x:c r="G43" s="62"/>
      <x:c r="H43" s="62"/>
      <x:c r="I43" s="62"/>
      <x:c r="J43" s="62"/>
      <x:c r="K43" s="62"/>
      <x:c r="L43" s="62"/>
      <x:c r="M43" s="62"/>
      <x:c r="N43" s="62"/>
      <x:c r="O43" s="62"/>
      <x:c r="P43" s="62"/>
      <x:c r="Q43" s="62"/>
      <x:c r="U43" s="188">
        <x:v>1</x:v>
      </x:c>
    </x:row>
    <x:row r="44" spans="2:21">
      <x:c r="B44" s="46" t="s">
        <x:v>487</x:v>
      </x:c>
      <x:c r="C44" s="60" t="s">
        <x:v>554</x:v>
      </x:c>
      <x:c r="D44" s="60"/>
      <x:c r="E44" s="62">
        <x:v>-3740</x:v>
      </x:c>
      <x:c r="F44" s="62">
        <x:v>-3579</x:v>
      </x:c>
      <x:c r="G44" s="62">
        <x:v>-3567</x:v>
      </x:c>
      <x:c r="H44" s="62">
        <x:v>-3229</x:v>
      </x:c>
      <x:c r="I44" s="62">
        <x:v>-3395</x:v>
      </x:c>
      <x:c r="J44" s="62">
        <x:v>-2286</x:v>
      </x:c>
      <x:c r="K44" s="62">
        <x:v>-2618</x:v>
      </x:c>
      <x:c r="L44" s="62">
        <x:v>-2062</x:v>
      </x:c>
      <x:c r="M44" s="62">
        <x:v>-1346</x:v>
      </x:c>
      <x:c r="N44" s="62">
        <x:v>-1245</x:v>
      </x:c>
      <x:c r="O44" s="62">
        <x:v>-1048</x:v>
      </x:c>
      <x:c r="P44" s="62">
        <x:v>-1617</x:v>
      </x:c>
      <x:c r="Q44" s="62">
        <x:v>-1617</x:v>
      </x:c>
      <x:c r="U44" s="189">
        <x:f t="shared" ref="U44:U52" si="2">IF(COUNT(E44:Q44)&lt;&gt;0,1,"")</x:f>
        <x:v>1</x:v>
      </x:c>
    </x:row>
    <x:row r="45" spans="2:21">
      <x:c r="B45" s="46" t="s">
        <x:v>270</x:v>
      </x:c>
      <x:c r="C45" s="60" t="s">
        <x:v>2178</x:v>
      </x:c>
      <x:c r="D45" s="60"/>
      <x:c r="E45" s="62">
        <x:v>404</x:v>
      </x:c>
      <x:c r="F45" s="62">
        <x:v>370</x:v>
      </x:c>
      <x:c r="G45" s="62">
        <x:v>424</x:v>
      </x:c>
      <x:c r="H45" s="62">
        <x:v>460</x:v>
      </x:c>
      <x:c r="I45" s="62">
        <x:v>248</x:v>
      </x:c>
      <x:c r="J45" s="62">
        <x:v>537</x:v>
      </x:c>
      <x:c r="K45" s="62">
        <x:v>188</x:v>
      </x:c>
      <x:c r="L45" s="62">
        <x:v>387</x:v>
      </x:c>
      <x:c r="M45" s="62">
        <x:v>111</x:v>
      </x:c>
      <x:c r="N45" s="62">
        <x:v>321</x:v>
      </x:c>
      <x:c r="O45" s="62">
        <x:v>557</x:v>
      </x:c>
      <x:c r="P45" s="62" t="s">
        <x:v>818</x:v>
      </x:c>
      <x:c r="Q45" s="62" t="s">
        <x:v>818</x:v>
      </x:c>
      <x:c r="U45" s="189">
        <x:f t="shared" si="2"/>
        <x:v>1</x:v>
      </x:c>
    </x:row>
    <x:row r="46" spans="2:21">
      <x:c r="B46" s="46" t="s">
        <x:v>479</x:v>
      </x:c>
      <x:c r="C46" s="60" t="s">
        <x:v>478</x:v>
      </x:c>
      <x:c r="D46" s="60"/>
      <x:c r="E46" s="62">
        <x:v>-656</x:v>
      </x:c>
      <x:c r="F46" s="62">
        <x:v>-3349</x:v>
      </x:c>
      <x:c r="G46" s="62">
        <x:v>-5696</x:v>
      </x:c>
      <x:c r="H46" s="62">
        <x:v>-496</x:v>
      </x:c>
      <x:c r="I46" s="62">
        <x:v>-139</x:v>
      </x:c>
      <x:c r="J46" s="62">
        <x:v>-32630</x:v>
      </x:c>
      <x:c r="K46" s="62">
        <x:v>-336</x:v>
      </x:c>
      <x:c r="L46" s="62">
        <x:v>-3293</x:v>
      </x:c>
      <x:c r="M46" s="62">
        <x:v>-2348</x:v>
      </x:c>
      <x:c r="N46" s="62">
        <x:v>-5082</x:v>
      </x:c>
      <x:c r="O46" s="62">
        <x:v>-3289</x:v>
      </x:c>
      <x:c r="P46" s="62">
        <x:v>-8294</x:v>
      </x:c>
      <x:c r="Q46" s="62">
        <x:v>-8294</x:v>
      </x:c>
      <x:c r="U46" s="189">
        <x:f t="shared" si="2"/>
        <x:v>1</x:v>
      </x:c>
    </x:row>
    <x:row r="47" spans="2:21">
      <x:c r="B47" s="46" t="s">
        <x:v>2203</x:v>
      </x:c>
      <x:c r="C47" s="60" t="s">
        <x:v>2200</x:v>
      </x:c>
      <x:c r="D47" s="60"/>
      <x:c r="E47" s="62">
        <x:v>2357</x:v>
      </x:c>
      <x:c r="F47" s="62">
        <x:v>-401</x:v>
      </x:c>
      <x:c r="G47" s="62">
        <x:v>-454</x:v>
      </x:c>
      <x:c r="H47" s="62">
        <x:v>-205</x:v>
      </x:c>
      <x:c r="I47" s="62" t="s">
        <x:v>818</x:v>
      </x:c>
      <x:c r="J47" s="62">
        <x:v>1076</x:v>
      </x:c>
      <x:c r="K47" s="62">
        <x:v>503</x:v>
      </x:c>
      <x:c r="L47" s="62">
        <x:v>114</x:v>
      </x:c>
      <x:c r="M47" s="62">
        <x:v>1272</x:v>
      </x:c>
      <x:c r="N47" s="62">
        <x:v>-4</x:v>
      </x:c>
      <x:c r="O47" s="62">
        <x:v>698</x:v>
      </x:c>
      <x:c r="P47" s="62">
        <x:v>-1</x:v>
      </x:c>
      <x:c r="Q47" s="62">
        <x:v>-1</x:v>
      </x:c>
      <x:c r="U47" s="189">
        <x:f t="shared" si="2"/>
        <x:v>1</x:v>
      </x:c>
    </x:row>
    <x:row r="48" spans="2:21">
      <x:c r="B48" s="46" t="s">
        <x:v>136</x:v>
      </x:c>
      <x:c r="C48" s="60" t="s">
        <x:v>2505</x:v>
      </x:c>
      <x:c r="D48" s="60"/>
      <x:c r="E48" s="62" t="s">
        <x:v>818</x:v>
      </x:c>
      <x:c r="F48" s="62" t="s">
        <x:v>818</x:v>
      </x:c>
      <x:c r="G48" s="62" t="s">
        <x:v>818</x:v>
      </x:c>
      <x:c r="H48" s="62" t="s">
        <x:v>818</x:v>
      </x:c>
      <x:c r="I48" s="62" t="s">
        <x:v>818</x:v>
      </x:c>
      <x:c r="J48" s="62" t="s">
        <x:v>818</x:v>
      </x:c>
      <x:c r="K48" s="62" t="s">
        <x:v>818</x:v>
      </x:c>
      <x:c r="L48" s="62" t="s">
        <x:v>818</x:v>
      </x:c>
      <x:c r="M48" s="62" t="s">
        <x:v>818</x:v>
      </x:c>
      <x:c r="N48" s="62" t="s">
        <x:v>818</x:v>
      </x:c>
      <x:c r="O48" s="62" t="s">
        <x:v>818</x:v>
      </x:c>
      <x:c r="P48" s="62" t="s">
        <x:v>818</x:v>
      </x:c>
      <x:c r="Q48" s="62" t="s">
        <x:v>818</x:v>
      </x:c>
      <x:c r="U48" s="189" t="str">
        <x:f t="shared" si="2"/>
        <x:v/>
      </x:c>
    </x:row>
    <x:row r="49" spans="2:21">
      <x:c r="B49" s="46" t="s">
        <x:v>261</x:v>
      </x:c>
      <x:c r="C49" s="60" t="s">
        <x:v>468</x:v>
      </x:c>
      <x:c r="D49" s="60"/>
      <x:c r="E49" s="62">
        <x:v>-443</x:v>
      </x:c>
      <x:c r="F49" s="62">
        <x:v>-572</x:v>
      </x:c>
      <x:c r="G49" s="62">
        <x:v>-583</x:v>
      </x:c>
      <x:c r="H49" s="62">
        <x:v>-544</x:v>
      </x:c>
      <x:c r="I49" s="62">
        <x:v>-569</x:v>
      </x:c>
      <x:c r="J49" s="62">
        <x:v>-621</x:v>
      </x:c>
      <x:c r="K49" s="62">
        <x:v>-612</x:v>
      </x:c>
      <x:c r="L49" s="62">
        <x:v>-706</x:v>
      </x:c>
      <x:c r="M49" s="62">
        <x:v>-626</x:v>
      </x:c>
      <x:c r="N49" s="62">
        <x:v>-565</x:v>
      </x:c>
      <x:c r="O49" s="62">
        <x:v>-637</x:v>
      </x:c>
      <x:c r="P49" s="62" t="s">
        <x:v>818</x:v>
      </x:c>
      <x:c r="Q49" s="62" t="s">
        <x:v>818</x:v>
      </x:c>
      <x:c r="U49" s="189">
        <x:f t="shared" si="2"/>
        <x:v>1</x:v>
      </x:c>
    </x:row>
    <x:row r="50" spans="2:21">
      <x:c r="B50" s="46" t="s">
        <x:v>707</x:v>
      </x:c>
      <x:c r="C50" s="60" t="s">
        <x:v>2517</x:v>
      </x:c>
      <x:c r="D50" s="60"/>
      <x:c r="E50" s="62">
        <x:v>155</x:v>
      </x:c>
      <x:c r="F50" s="62">
        <x:v>-231</x:v>
      </x:c>
      <x:c r="G50" s="62">
        <x:v>-161</x:v>
      </x:c>
      <x:c r="H50" s="62">
        <x:v>-1039</x:v>
      </x:c>
      <x:c r="I50" s="62">
        <x:v>-554</x:v>
      </x:c>
      <x:c r="J50" s="62">
        <x:v>268</x:v>
      </x:c>
      <x:c r="K50" s="62">
        <x:v>-628</x:v>
      </x:c>
      <x:c r="L50" s="62">
        <x:v>-414</x:v>
      </x:c>
      <x:c r="M50" s="62">
        <x:v>-1265</x:v>
      </x:c>
      <x:c r="N50" s="62">
        <x:v>-496</x:v>
      </x:c>
      <x:c r="O50" s="62">
        <x:v>-1218</x:v>
      </x:c>
      <x:c r="P50" s="62">
        <x:v>-390</x:v>
      </x:c>
      <x:c r="Q50" s="62">
        <x:v>-390</x:v>
      </x:c>
      <x:c r="U50" s="189">
        <x:f t="shared" si="2"/>
        <x:v>1</x:v>
      </x:c>
    </x:row>
    <x:row r="51" spans="2:21">
      <x:c r="B51" s="46" t="s">
        <x:v>114</x:v>
      </x:c>
      <x:c r="C51" s="60" t="s">
        <x:v>452</x:v>
      </x:c>
      <x:c r="D51" s="60"/>
      <x:c r="E51" s="62">
        <x:v>-1078</x:v>
      </x:c>
      <x:c r="F51" s="62">
        <x:v>-398</x:v>
      </x:c>
      <x:c r="G51" s="62">
        <x:v>-891</x:v>
      </x:c>
      <x:c r="H51" s="62">
        <x:v>-2028</x:v>
      </x:c>
      <x:c r="I51" s="62">
        <x:v>-503</x:v>
      </x:c>
      <x:c r="J51" s="62">
        <x:v>6720</x:v>
      </x:c>
      <x:c r="K51" s="62">
        <x:v>475</x:v>
      </x:c>
      <x:c r="L51" s="62" t="s">
        <x:v>818</x:v>
      </x:c>
      <x:c r="M51" s="62" t="s">
        <x:v>818</x:v>
      </x:c>
      <x:c r="N51" s="62" t="s">
        <x:v>818</x:v>
      </x:c>
      <x:c r="O51" s="62" t="s">
        <x:v>818</x:v>
      </x:c>
      <x:c r="P51" s="62" t="s">
        <x:v>818</x:v>
      </x:c>
      <x:c r="Q51" s="62" t="s">
        <x:v>818</x:v>
      </x:c>
      <x:c r="U51" s="189">
        <x:f t="shared" si="2"/>
        <x:v>1</x:v>
      </x:c>
    </x:row>
    <x:row r="52" spans="2:21">
      <x:c r="B52" s="46" t="s">
        <x:v>1641</x:v>
      </x:c>
      <x:c r="C52" s="60" t="s">
        <x:v>1851</x:v>
      </x:c>
      <x:c r="D52" s="60"/>
      <x:c r="E52" s="62" t="s">
        <x:v>818</x:v>
      </x:c>
      <x:c r="F52" s="62">
        <x:v>1</x:v>
      </x:c>
      <x:c r="G52" s="62" t="s">
        <x:v>818</x:v>
      </x:c>
      <x:c r="H52" s="62" t="s">
        <x:v>818</x:v>
      </x:c>
      <x:c r="I52" s="62">
        <x:v>-1</x:v>
      </x:c>
      <x:c r="J52" s="62" t="s">
        <x:v>818</x:v>
      </x:c>
      <x:c r="K52" s="62" t="s">
        <x:v>818</x:v>
      </x:c>
      <x:c r="L52" s="62">
        <x:v>-1</x:v>
      </x:c>
      <x:c r="M52" s="62" t="s">
        <x:v>818</x:v>
      </x:c>
      <x:c r="N52" s="62">
        <x:v>1</x:v>
      </x:c>
      <x:c r="O52" s="62" t="s">
        <x:v>818</x:v>
      </x:c>
      <x:c r="P52" s="62" t="s">
        <x:v>818</x:v>
      </x:c>
      <x:c r="Q52" s="62" t="s">
        <x:v>818</x:v>
      </x:c>
      <x:c r="U52" s="189">
        <x:f t="shared" si="2"/>
        <x:v>1</x:v>
      </x:c>
    </x:row>
    <x:row r="53" spans="2:21" ht="12">
      <x:c r="B53" s="63" t="s">
        <x:v>462</x:v>
      </x:c>
      <x:c r="C53" s="60" t="s">
        <x:v>2198</x:v>
      </x:c>
      <x:c r="D53" s="60"/>
      <x:c r="E53" s="146">
        <x:v>-3001</x:v>
      </x:c>
      <x:c r="F53" s="146">
        <x:v>-8159</x:v>
      </x:c>
      <x:c r="G53" s="146">
        <x:v>-10928</x:v>
      </x:c>
      <x:c r="H53" s="146">
        <x:v>-7081</x:v>
      </x:c>
      <x:c r="I53" s="146">
        <x:v>-4913</x:v>
      </x:c>
      <x:c r="J53" s="146">
        <x:v>-26936</x:v>
      </x:c>
      <x:c r="K53" s="146">
        <x:v>-3028</x:v>
      </x:c>
      <x:c r="L53" s="146">
        <x:v>-5975</x:v>
      </x:c>
      <x:c r="M53" s="146">
        <x:v>-4202</x:v>
      </x:c>
      <x:c r="N53" s="146">
        <x:v>-7070</x:v>
      </x:c>
      <x:c r="O53" s="146">
        <x:v>-4937</x:v>
      </x:c>
      <x:c r="P53" s="146">
        <x:v>-10302</x:v>
      </x:c>
      <x:c r="Q53" s="146">
        <x:v>-10302</x:v>
      </x:c>
      <x:c r="U53" s="188">
        <x:v>1</x:v>
      </x:c>
    </x:row>
    <x:row r="54" spans="2:21" ht="12">
      <x:c r="B54" s="65"/>
      <x:c r="C54" s="60" t="s">
        <x:v>798</x:v>
      </x:c>
      <x:c r="D54" s="60"/>
      <x:c r="E54" s="62"/>
      <x:c r="F54" s="62"/>
      <x:c r="G54" s="62"/>
      <x:c r="H54" s="62"/>
      <x:c r="I54" s="62"/>
      <x:c r="J54" s="62"/>
      <x:c r="K54" s="62"/>
      <x:c r="L54" s="62"/>
      <x:c r="M54" s="62"/>
      <x:c r="N54" s="62"/>
      <x:c r="O54" s="62"/>
      <x:c r="P54" s="62"/>
      <x:c r="Q54" s="62"/>
      <x:c r="U54" s="188">
        <x:v>1</x:v>
      </x:c>
    </x:row>
    <x:row r="55" spans="2:21">
      <x:c r="B55" s="46" t="s">
        <x:v>2515</x:v>
      </x:c>
      <x:c r="C55" s="60" t="s">
        <x:v>448</x:v>
      </x:c>
      <x:c r="D55" s="60"/>
      <x:c r="E55" s="62" t="s">
        <x:v>818</x:v>
      </x:c>
      <x:c r="F55" s="62">
        <x:v>101</x:v>
      </x:c>
      <x:c r="G55" s="62">
        <x:v>26</x:v>
      </x:c>
      <x:c r="H55" s="62">
        <x:v>620</x:v>
      </x:c>
      <x:c r="I55" s="62">
        <x:v>1341</x:v>
      </x:c>
      <x:c r="J55" s="62" t="s">
        <x:v>818</x:v>
      </x:c>
      <x:c r="K55" s="62" t="s">
        <x:v>818</x:v>
      </x:c>
      <x:c r="L55" s="62" t="s">
        <x:v>818</x:v>
      </x:c>
      <x:c r="M55" s="62">
        <x:v>217</x:v>
      </x:c>
      <x:c r="N55" s="62" t="s">
        <x:v>818</x:v>
      </x:c>
      <x:c r="O55" s="62">
        <x:v>30</x:v>
      </x:c>
      <x:c r="P55" s="62" t="s">
        <x:v>818</x:v>
      </x:c>
      <x:c r="Q55" s="62" t="s">
        <x:v>818</x:v>
      </x:c>
      <x:c r="U55" s="189">
        <x:f>IF(COUNT(E55:Q55)&lt;&gt;0,1,"")</x:f>
        <x:v>1</x:v>
      </x:c>
    </x:row>
    <x:row r="56" spans="2:21">
      <x:c r="B56" s="46" t="s">
        <x:v>2524</x:v>
      </x:c>
      <x:c r="C56" s="60" t="s">
        <x:v>449</x:v>
      </x:c>
      <x:c r="D56" s="60"/>
      <x:c r="E56" s="62">
        <x:v>8180</x:v>
      </x:c>
      <x:c r="F56" s="62">
        <x:v>5540</x:v>
      </x:c>
      <x:c r="G56" s="62">
        <x:v>9132</x:v>
      </x:c>
      <x:c r="H56" s="62">
        <x:v>9643</x:v>
      </x:c>
      <x:c r="I56" s="62">
        <x:v>6891</x:v>
      </x:c>
      <x:c r="J56" s="62">
        <x:v>31825</x:v>
      </x:c>
      <x:c r="K56" s="62">
        <x:v>10504</x:v>
      </x:c>
      <x:c r="L56" s="62">
        <x:v>522</x:v>
      </x:c>
      <x:c r="M56" s="62">
        <x:v>7804</x:v>
      </x:c>
      <x:c r="N56" s="62">
        <x:v>9586</x:v>
      </x:c>
      <x:c r="O56" s="62">
        <x:v>5705</x:v>
      </x:c>
      <x:c r="P56" s="62">
        <x:v>2873</x:v>
      </x:c>
      <x:c r="Q56" s="62">
        <x:v>2873</x:v>
      </x:c>
      <x:c r="U56" s="189">
        <x:f>IF(COUNT(E56:Q56)&lt;&gt;0,1,"")</x:f>
        <x:v>1</x:v>
      </x:c>
    </x:row>
    <x:row r="57" spans="2:21">
      <x:c r="B57" s="63" t="s">
        <x:v>458</x:v>
      </x:c>
      <x:c r="C57" s="60" t="s">
        <x:v>2510</x:v>
      </x:c>
      <x:c r="D57" s="60"/>
      <x:c r="E57" s="147">
        <x:v>8180</x:v>
      </x:c>
      <x:c r="F57" s="147">
        <x:v>5641</x:v>
      </x:c>
      <x:c r="G57" s="147">
        <x:v>9158</x:v>
      </x:c>
      <x:c r="H57" s="147">
        <x:v>10263</x:v>
      </x:c>
      <x:c r="I57" s="147">
        <x:v>8232</x:v>
      </x:c>
      <x:c r="J57" s="147">
        <x:v>31825</x:v>
      </x:c>
      <x:c r="K57" s="147">
        <x:v>10504</x:v>
      </x:c>
      <x:c r="L57" s="147">
        <x:v>522</x:v>
      </x:c>
      <x:c r="M57" s="147">
        <x:v>8021</x:v>
      </x:c>
      <x:c r="N57" s="147">
        <x:v>9586</x:v>
      </x:c>
      <x:c r="O57" s="147">
        <x:v>5735</x:v>
      </x:c>
      <x:c r="P57" s="147">
        <x:v>2873</x:v>
      </x:c>
      <x:c r="Q57" s="147">
        <x:v>2873</x:v>
      </x:c>
      <x:c r="U57" s="188">
        <x:v>1</x:v>
      </x:c>
    </x:row>
    <x:row r="58" spans="2:21">
      <x:c r="B58" s="46" t="s">
        <x:v>2523</x:v>
      </x:c>
      <x:c r="C58" s="60" t="s">
        <x:v>453</x:v>
      </x:c>
      <x:c r="D58" s="60"/>
      <x:c r="E58" s="62">
        <x:v>-1753</x:v>
      </x:c>
      <x:c r="F58" s="62" t="s">
        <x:v>818</x:v>
      </x:c>
      <x:c r="G58" s="62" t="s">
        <x:v>818</x:v>
      </x:c>
      <x:c r="H58" s="62" t="s">
        <x:v>818</x:v>
      </x:c>
      <x:c r="I58" s="62" t="s">
        <x:v>818</x:v>
      </x:c>
      <x:c r="J58" s="62">
        <x:v>-2597</x:v>
      </x:c>
      <x:c r="K58" s="62">
        <x:v>-853</x:v>
      </x:c>
      <x:c r="L58" s="62">
        <x:v>-40</x:v>
      </x:c>
      <x:c r="M58" s="62" t="s">
        <x:v>818</x:v>
      </x:c>
      <x:c r="N58" s="62">
        <x:v>-7</x:v>
      </x:c>
      <x:c r="O58" s="62" t="s">
        <x:v>818</x:v>
      </x:c>
      <x:c r="P58" s="62" t="s">
        <x:v>818</x:v>
      </x:c>
      <x:c r="Q58" s="62" t="s">
        <x:v>818</x:v>
      </x:c>
      <x:c r="U58" s="189">
        <x:f>IF(COUNT(E58:Q58)&lt;&gt;0,1,"")</x:f>
        <x:v>1</x:v>
      </x:c>
    </x:row>
    <x:row r="59" spans="2:21">
      <x:c r="B59" s="46" t="s">
        <x:v>2520</x:v>
      </x:c>
      <x:c r="C59" s="60" t="s">
        <x:v>474</x:v>
      </x:c>
      <x:c r="D59" s="60"/>
      <x:c r="E59" s="148">
        <x:v>-4644</x:v>
      </x:c>
      <x:c r="F59" s="148">
        <x:v>-5622</x:v>
      </x:c>
      <x:c r="G59" s="148">
        <x:v>-6395</x:v>
      </x:c>
      <x:c r="H59" s="148">
        <x:v>-6816</x:v>
      </x:c>
      <x:c r="I59" s="148">
        <x:v>-8533</x:v>
      </x:c>
      <x:c r="J59" s="148">
        <x:v>-12944</x:v>
      </x:c>
      <x:c r="K59" s="148">
        <x:v>-13365</x:v>
      </x:c>
      <x:c r="L59" s="148">
        <x:v>-8597</x:v>
      </x:c>
      <x:c r="M59" s="148">
        <x:v>-6800</x:v>
      </x:c>
      <x:c r="N59" s="148">
        <x:v>-5082</x:v>
      </x:c>
      <x:c r="O59" s="148">
        <x:v>-6615</x:v>
      </x:c>
      <x:c r="P59" s="148" t="s">
        <x:v>818</x:v>
      </x:c>
      <x:c r="Q59" s="148" t="s">
        <x:v>818</x:v>
      </x:c>
      <x:c r="U59" s="189">
        <x:f>IF(COUNT(E59:Q59)&lt;&gt;0,1,"")</x:f>
        <x:v>1</x:v>
      </x:c>
    </x:row>
    <x:row r="60" spans="2:21">
      <x:c r="B60" s="63" t="s">
        <x:v>475</x:v>
      </x:c>
      <x:c r="C60" s="60" t="s">
        <x:v>2525</x:v>
      </x:c>
      <x:c r="D60" s="60"/>
      <x:c r="E60" s="147">
        <x:v>-6397</x:v>
      </x:c>
      <x:c r="F60" s="147">
        <x:v>-5622</x:v>
      </x:c>
      <x:c r="G60" s="147">
        <x:v>-6395</x:v>
      </x:c>
      <x:c r="H60" s="147">
        <x:v>-6816</x:v>
      </x:c>
      <x:c r="I60" s="147">
        <x:v>-8533</x:v>
      </x:c>
      <x:c r="J60" s="147">
        <x:v>-15541</x:v>
      </x:c>
      <x:c r="K60" s="147">
        <x:v>-14218</x:v>
      </x:c>
      <x:c r="L60" s="147">
        <x:v>-8637</x:v>
      </x:c>
      <x:c r="M60" s="147">
        <x:v>-6800</x:v>
      </x:c>
      <x:c r="N60" s="147">
        <x:v>-5089</x:v>
      </x:c>
      <x:c r="O60" s="147">
        <x:v>-6615</x:v>
      </x:c>
      <x:c r="P60" s="147" t="s">
        <x:v>818</x:v>
      </x:c>
      <x:c r="Q60" s="147" t="s">
        <x:v>818</x:v>
      </x:c>
      <x:c r="U60" s="188">
        <x:v>1</x:v>
      </x:c>
    </x:row>
    <x:row r="61" spans="2:21">
      <x:c r="B61" s="65"/>
      <x:c r="C61" s="60" t="s">
        <x:v>798</x:v>
      </x:c>
      <x:c r="D61" s="60"/>
      <x:c r="E61" s="62"/>
      <x:c r="F61" s="62"/>
      <x:c r="G61" s="62"/>
      <x:c r="H61" s="62"/>
      <x:c r="I61" s="62"/>
      <x:c r="J61" s="62"/>
      <x:c r="K61" s="62"/>
      <x:c r="L61" s="62"/>
      <x:c r="M61" s="62"/>
      <x:c r="N61" s="62"/>
      <x:c r="O61" s="62"/>
      <x:c r="P61" s="62"/>
      <x:c r="Q61" s="62"/>
      <x:c r="U61" s="188">
        <x:v>1</x:v>
      </x:c>
    </x:row>
    <x:row r="62" spans="2:21">
      <x:c r="B62" s="46" t="s">
        <x:v>1646</x:v>
      </x:c>
      <x:c r="C62" s="60" t="s">
        <x:v>464</x:v>
      </x:c>
      <x:c r="D62" s="60"/>
      <x:c r="E62" s="62">
        <x:v>709</x:v>
      </x:c>
      <x:c r="F62" s="62">
        <x:v>322</x:v>
      </x:c>
      <x:c r="G62" s="62" t="s">
        <x:v>818</x:v>
      </x:c>
      <x:c r="H62" s="62" t="s">
        <x:v>818</x:v>
      </x:c>
      <x:c r="I62" s="62" t="s">
        <x:v>818</x:v>
      </x:c>
      <x:c r="J62" s="62" t="s">
        <x:v>818</x:v>
      </x:c>
      <x:c r="K62" s="62" t="s">
        <x:v>818</x:v>
      </x:c>
      <x:c r="L62" s="62" t="s">
        <x:v>818</x:v>
      </x:c>
      <x:c r="M62" s="62">
        <x:v>279</x:v>
      </x:c>
      <x:c r="N62" s="62">
        <x:v>414</x:v>
      </x:c>
      <x:c r="O62" s="62">
        <x:v>745</x:v>
      </x:c>
      <x:c r="P62" s="62" t="s">
        <x:v>818</x:v>
      </x:c>
      <x:c r="Q62" s="62" t="s">
        <x:v>818</x:v>
      </x:c>
      <x:c r="U62" s="189">
        <x:f>IF(COUNT(E62:Q62)&lt;&gt;0,1,"")</x:f>
        <x:v>1</x:v>
      </x:c>
    </x:row>
    <x:row r="63" spans="2:21">
      <x:c r="B63" s="46" t="s">
        <x:v>2501</x:v>
      </x:c>
      <x:c r="C63" s="60" t="s">
        <x:v>2217</x:v>
      </x:c>
      <x:c r="D63" s="60"/>
      <x:c r="E63" s="62">
        <x:v>-13679</x:v>
      </x:c>
      <x:c r="F63" s="62">
        <x:v>-4857</x:v>
      </x:c>
      <x:c r="G63" s="62">
        <x:v>-3628</x:v>
      </x:c>
      <x:c r="H63" s="62">
        <x:v>-4533</x:v>
      </x:c>
      <x:c r="I63" s="62">
        <x:v>-4614</x:v>
      </x:c>
      <x:c r="J63" s="62">
        <x:v>-1633</x:v>
      </x:c>
      <x:c r="K63" s="62">
        <x:v>-302</x:v>
      </x:c>
      <x:c r="L63" s="62">
        <x:v>-319</x:v>
      </x:c>
      <x:c r="M63" s="62">
        <x:v>-407</x:v>
      </x:c>
      <x:c r="N63" s="62">
        <x:v>-402</x:v>
      </x:c>
      <x:c r="O63" s="62">
        <x:v>-651</x:v>
      </x:c>
      <x:c r="P63" s="62" t="s">
        <x:v>818</x:v>
      </x:c>
      <x:c r="Q63" s="62" t="s">
        <x:v>818</x:v>
      </x:c>
      <x:c r="U63" s="189">
        <x:f>IF(COUNT(E63:Q63)&lt;&gt;0,1,"")</x:f>
        <x:v>1</x:v>
      </x:c>
    </x:row>
    <x:row r="64" spans="2:21">
      <x:c r="B64" s="46" t="s">
        <x:v>2499</x:v>
      </x:c>
      <x:c r="C64" s="60" t="s">
        <x:v>2210</x:v>
      </x:c>
      <x:c r="D64" s="60"/>
      <x:c r="E64" s="62" t="s">
        <x:v>818</x:v>
      </x:c>
      <x:c r="F64" s="62" t="s">
        <x:v>818</x:v>
      </x:c>
      <x:c r="G64" s="62" t="s">
        <x:v>818</x:v>
      </x:c>
      <x:c r="H64" s="62" t="s">
        <x:v>818</x:v>
      </x:c>
      <x:c r="I64" s="62" t="s">
        <x:v>818</x:v>
      </x:c>
      <x:c r="J64" s="62" t="s">
        <x:v>818</x:v>
      </x:c>
      <x:c r="K64" s="62" t="s">
        <x:v>818</x:v>
      </x:c>
      <x:c r="L64" s="62" t="s">
        <x:v>818</x:v>
      </x:c>
      <x:c r="M64" s="62" t="s">
        <x:v>818</x:v>
      </x:c>
      <x:c r="N64" s="62" t="s">
        <x:v>818</x:v>
      </x:c>
      <x:c r="O64" s="62" t="s">
        <x:v>818</x:v>
      </x:c>
      <x:c r="P64" s="62" t="s">
        <x:v>818</x:v>
      </x:c>
      <x:c r="Q64" s="62" t="s">
        <x:v>818</x:v>
      </x:c>
      <x:c r="U64" s="189" t="str">
        <x:f>IF(COUNT(E64:Q64)&lt;&gt;0,1,"")</x:f>
        <x:v/>
      </x:c>
    </x:row>
    <x:row r="65" spans="2:21">
      <x:c r="B65" s="46" t="s">
        <x:v>2513</x:v>
      </x:c>
      <x:c r="C65" s="60" t="s">
        <x:v>1133</x:v>
      </x:c>
      <x:c r="D65" s="60"/>
      <x:c r="E65" s="62" t="s">
        <x:v>818</x:v>
      </x:c>
      <x:c r="F65" s="62" t="s">
        <x:v>818</x:v>
      </x:c>
      <x:c r="G65" s="62" t="s">
        <x:v>818</x:v>
      </x:c>
      <x:c r="H65" s="62" t="s">
        <x:v>818</x:v>
      </x:c>
      <x:c r="I65" s="62" t="s">
        <x:v>818</x:v>
      </x:c>
      <x:c r="J65" s="62" t="s">
        <x:v>818</x:v>
      </x:c>
      <x:c r="K65" s="62" t="s">
        <x:v>818</x:v>
      </x:c>
      <x:c r="L65" s="62" t="s">
        <x:v>818</x:v>
      </x:c>
      <x:c r="M65" s="62" t="s">
        <x:v>818</x:v>
      </x:c>
      <x:c r="N65" s="62" t="s">
        <x:v>818</x:v>
      </x:c>
      <x:c r="O65" s="62" t="s">
        <x:v>818</x:v>
      </x:c>
      <x:c r="P65" s="62" t="s">
        <x:v>818</x:v>
      </x:c>
      <x:c r="Q65" s="62" t="s">
        <x:v>818</x:v>
      </x:c>
      <x:c r="U65" s="189" t="str">
        <x:f>IF(COUNT(E65:Q65)&lt;&gt;0,1,"")</x:f>
        <x:v/>
      </x:c>
    </x:row>
    <x:row r="66" spans="2:21">
      <x:c r="B66" s="46"/>
      <x:c r="C66" s="60" t="s">
        <x:v>798</x:v>
      </x:c>
      <x:c r="D66" s="60"/>
      <x:c r="E66" s="62"/>
      <x:c r="F66" s="62"/>
      <x:c r="G66" s="62"/>
      <x:c r="H66" s="62"/>
      <x:c r="I66" s="62"/>
      <x:c r="J66" s="62"/>
      <x:c r="K66" s="62"/>
      <x:c r="L66" s="62"/>
      <x:c r="M66" s="62"/>
      <x:c r="N66" s="62"/>
      <x:c r="O66" s="62"/>
      <x:c r="P66" s="62"/>
      <x:c r="Q66" s="62"/>
      <x:c r="U66" s="188">
        <x:v>1</x:v>
      </x:c>
    </x:row>
    <x:row r="67" spans="2:21">
      <x:c r="B67" s="46" t="s">
        <x:v>2495</x:v>
      </x:c>
      <x:c r="C67" s="60" t="s">
        <x:v>469</x:v>
      </x:c>
      <x:c r="D67" s="60"/>
      <x:c r="E67" s="62">
        <x:v>-4265</x:v>
      </x:c>
      <x:c r="F67" s="62">
        <x:v>-4897</x:v>
      </x:c>
      <x:c r="G67" s="62">
        <x:v>-5256</x:v>
      </x:c>
      <x:c r="H67" s="62">
        <x:v>-5506</x:v>
      </x:c>
      <x:c r="I67" s="62">
        <x:v>-5666</x:v>
      </x:c>
      <x:c r="J67" s="62">
        <x:v>-5707</x:v>
      </x:c>
      <x:c r="K67" s="62">
        <x:v>-5797</x:v>
      </x:c>
      <x:c r="L67" s="62">
        <x:v>-5869</x:v>
      </x:c>
      <x:c r="M67" s="62">
        <x:v>-5948</x:v>
      </x:c>
      <x:c r="N67" s="62">
        <x:v>-6040</x:v>
      </x:c>
      <x:c r="O67" s="62">
        <x:v>-6147</x:v>
      </x:c>
      <x:c r="P67" s="62">
        <x:v>-6255</x:v>
      </x:c>
      <x:c r="Q67" s="62">
        <x:v>-6255</x:v>
      </x:c>
      <x:c r="U67" s="189">
        <x:f>IF(COUNT(E67:Q67)&lt;&gt;0,1,"")</x:f>
        <x:v>1</x:v>
      </x:c>
    </x:row>
    <x:row r="68" spans="2:21">
      <x:c r="B68" s="46" t="s">
        <x:v>2496</x:v>
      </x:c>
      <x:c r="C68" s="60" t="s">
        <x:v>2194</x:v>
      </x:c>
      <x:c r="D68" s="60"/>
      <x:c r="E68" s="62" t="s">
        <x:v>818</x:v>
      </x:c>
      <x:c r="F68" s="62" t="s">
        <x:v>818</x:v>
      </x:c>
      <x:c r="G68" s="62" t="s">
        <x:v>818</x:v>
      </x:c>
      <x:c r="H68" s="62" t="s">
        <x:v>818</x:v>
      </x:c>
      <x:c r="I68" s="62" t="s">
        <x:v>818</x:v>
      </x:c>
      <x:c r="J68" s="62" t="s">
        <x:v>818</x:v>
      </x:c>
      <x:c r="K68" s="62" t="s">
        <x:v>818</x:v>
      </x:c>
      <x:c r="L68" s="62" t="s">
        <x:v>818</x:v>
      </x:c>
      <x:c r="M68" s="62" t="s">
        <x:v>818</x:v>
      </x:c>
      <x:c r="N68" s="62" t="s">
        <x:v>818</x:v>
      </x:c>
      <x:c r="O68" s="62" t="s">
        <x:v>818</x:v>
      </x:c>
      <x:c r="P68" s="62" t="s">
        <x:v>818</x:v>
      </x:c>
      <x:c r="Q68" s="62" t="s">
        <x:v>818</x:v>
      </x:c>
      <x:c r="U68" s="189" t="str">
        <x:f>IF(COUNT(E68:Q68)&lt;&gt;0,1,"")</x:f>
        <x:v/>
      </x:c>
    </x:row>
    <x:row r="69" spans="2:21">
      <x:c r="B69" s="46" t="s">
        <x:v>161</x:v>
      </x:c>
      <x:c r="C69" s="60" t="s">
        <x:v>2518</x:v>
      </x:c>
      <x:c r="D69" s="60"/>
      <x:c r="E69" s="148" t="s">
        <x:v>818</x:v>
      </x:c>
      <x:c r="F69" s="148" t="s">
        <x:v>818</x:v>
      </x:c>
      <x:c r="G69" s="148" t="s">
        <x:v>818</x:v>
      </x:c>
      <x:c r="H69" s="148" t="s">
        <x:v>818</x:v>
      </x:c>
      <x:c r="I69" s="148" t="s">
        <x:v>818</x:v>
      </x:c>
      <x:c r="J69" s="148" t="s">
        <x:v>818</x:v>
      </x:c>
      <x:c r="K69" s="148" t="s">
        <x:v>818</x:v>
      </x:c>
      <x:c r="L69" s="148" t="s">
        <x:v>818</x:v>
      </x:c>
      <x:c r="M69" s="148" t="s">
        <x:v>818</x:v>
      </x:c>
      <x:c r="N69" s="148" t="s">
        <x:v>818</x:v>
      </x:c>
      <x:c r="O69" s="148" t="s">
        <x:v>818</x:v>
      </x:c>
      <x:c r="P69" s="148" t="s">
        <x:v>818</x:v>
      </x:c>
      <x:c r="Q69" s="148" t="s">
        <x:v>818</x:v>
      </x:c>
      <x:c r="U69" s="189" t="str">
        <x:f>IF(COUNT(E69:Q69)&lt;&gt;0,1,"")</x:f>
        <x:v/>
      </x:c>
    </x:row>
    <x:row r="70" spans="2:21">
      <x:c r="B70" s="63" t="s">
        <x:v>2500</x:v>
      </x:c>
      <x:c r="C70" s="60" t="s">
        <x:v>2502</x:v>
      </x:c>
      <x:c r="D70" s="60"/>
      <x:c r="E70" s="147">
        <x:v>-4265</x:v>
      </x:c>
      <x:c r="F70" s="147">
        <x:v>-4897</x:v>
      </x:c>
      <x:c r="G70" s="147">
        <x:v>-5256</x:v>
      </x:c>
      <x:c r="H70" s="147">
        <x:v>-5506</x:v>
      </x:c>
      <x:c r="I70" s="147">
        <x:v>-5666</x:v>
      </x:c>
      <x:c r="J70" s="147">
        <x:v>-5707</x:v>
      </x:c>
      <x:c r="K70" s="147">
        <x:v>-5797</x:v>
      </x:c>
      <x:c r="L70" s="147">
        <x:v>-5869</x:v>
      </x:c>
      <x:c r="M70" s="147">
        <x:v>-5948</x:v>
      </x:c>
      <x:c r="N70" s="147">
        <x:v>-6040</x:v>
      </x:c>
      <x:c r="O70" s="147">
        <x:v>-6147</x:v>
      </x:c>
      <x:c r="P70" s="147">
        <x:v>-6255</x:v>
      </x:c>
      <x:c r="Q70" s="147">
        <x:v>-6255</x:v>
      </x:c>
      <x:c r="U70" s="188">
        <x:v>1</x:v>
      </x:c>
    </x:row>
    <x:row r="71" spans="2:21">
      <x:c r="B71" s="63"/>
      <x:c r="C71" s="60"/>
      <x:c r="D71" s="60"/>
      <x:c r="E71" s="70"/>
      <x:c r="F71" s="70"/>
      <x:c r="G71" s="70"/>
      <x:c r="H71" s="70"/>
      <x:c r="I71" s="70"/>
      <x:c r="J71" s="70"/>
      <x:c r="K71" s="70"/>
      <x:c r="L71" s="70"/>
      <x:c r="M71" s="70"/>
      <x:c r="N71" s="70"/>
      <x:c r="O71" s="70"/>
      <x:c r="P71" s="70"/>
      <x:c r="Q71" s="70"/>
      <x:c r="U71" s="188">
        <x:v>1</x:v>
      </x:c>
    </x:row>
    <x:row r="72" spans="2:21">
      <x:c r="B72" s="46" t="s">
        <x:v>2522</x:v>
      </x:c>
      <x:c r="C72" s="60" t="s">
        <x:v>450</x:v>
      </x:c>
      <x:c r="D72" s="60"/>
      <x:c r="E72" s="62" t="s">
        <x:v>818</x:v>
      </x:c>
      <x:c r="F72" s="62" t="s">
        <x:v>818</x:v>
      </x:c>
      <x:c r="G72" s="62" t="s">
        <x:v>818</x:v>
      </x:c>
      <x:c r="H72" s="62" t="s">
        <x:v>818</x:v>
      </x:c>
      <x:c r="I72" s="62" t="s">
        <x:v>818</x:v>
      </x:c>
      <x:c r="J72" s="62" t="s">
        <x:v>818</x:v>
      </x:c>
      <x:c r="K72" s="62" t="s">
        <x:v>818</x:v>
      </x:c>
      <x:c r="L72" s="62" t="s">
        <x:v>818</x:v>
      </x:c>
      <x:c r="M72" s="62" t="s">
        <x:v>818</x:v>
      </x:c>
      <x:c r="N72" s="62" t="s">
        <x:v>818</x:v>
      </x:c>
      <x:c r="O72" s="62" t="s">
        <x:v>818</x:v>
      </x:c>
      <x:c r="P72" s="62" t="s">
        <x:v>818</x:v>
      </x:c>
      <x:c r="Q72" s="62" t="s">
        <x:v>818</x:v>
      </x:c>
      <x:c r="U72" s="189" t="str">
        <x:f>IF(COUNT(E72:Q72)&lt;&gt;0,1,"")</x:f>
        <x:v/>
      </x:c>
    </x:row>
    <x:row r="73" spans="2:21">
      <x:c r="B73" s="46" t="s">
        <x:v>1638</x:v>
      </x:c>
      <x:c r="C73" s="60" t="s">
        <x:v>2504</x:v>
      </x:c>
      <x:c r="D73" s="60"/>
      <x:c r="E73" s="62" t="s">
        <x:v>818</x:v>
      </x:c>
      <x:c r="F73" s="62" t="s">
        <x:v>818</x:v>
      </x:c>
      <x:c r="G73" s="62">
        <x:v>204</x:v>
      </x:c>
      <x:c r="H73" s="62">
        <x:v>174</x:v>
      </x:c>
      <x:c r="I73" s="62">
        <x:v>112</x:v>
      </x:c>
      <x:c r="J73" s="62">
        <x:v>98</x:v>
      </x:c>
      <x:c r="K73" s="62">
        <x:v>92</x:v>
      </x:c>
      <x:c r="L73" s="62">
        <x:v>949</x:v>
      </x:c>
      <x:c r="M73" s="62">
        <x:v>-103</x:v>
      </x:c>
      <x:c r="N73" s="62">
        <x:v>-238</x:v>
      </x:c>
      <x:c r="O73" s="62">
        <x:v>-146</x:v>
      </x:c>
      <x:c r="P73" s="62">
        <x:v>-447</x:v>
      </x:c>
      <x:c r="Q73" s="62">
        <x:v>-447</x:v>
      </x:c>
      <x:c r="U73" s="189">
        <x:f>IF(COUNT(E73:Q73)&lt;&gt;0,1,"")</x:f>
        <x:v>1</x:v>
      </x:c>
    </x:row>
    <x:row r="74" spans="2:21" ht="12">
      <x:c r="B74" s="63" t="s">
        <x:v>457</x:v>
      </x:c>
      <x:c r="C74" s="60" t="s">
        <x:v>2221</x:v>
      </x:c>
      <x:c r="D74" s="60"/>
      <x:c r="E74" s="146">
        <x:v>-15452</x:v>
      </x:c>
      <x:c r="F74" s="146">
        <x:v>-9413</x:v>
      </x:c>
      <x:c r="G74" s="146">
        <x:v>-5917</x:v>
      </x:c>
      <x:c r="H74" s="146">
        <x:v>-6418</x:v>
      </x:c>
      <x:c r="I74" s="146">
        <x:v>-10469</x:v>
      </x:c>
      <x:c r="J74" s="146">
        <x:v>9042</x:v>
      </x:c>
      <x:c r="K74" s="146">
        <x:v>-9721</x:v>
      </x:c>
      <x:c r="L74" s="146">
        <x:v>-13354</x:v>
      </x:c>
      <x:c r="M74" s="146">
        <x:v>-4958</x:v>
      </x:c>
      <x:c r="N74" s="146">
        <x:v>-1769</x:v>
      </x:c>
      <x:c r="O74" s="146">
        <x:v>-7079</x:v>
      </x:c>
      <x:c r="P74" s="146">
        <x:v>-3829</x:v>
      </x:c>
      <x:c r="Q74" s="146">
        <x:v>-3829</x:v>
      </x:c>
      <x:c r="U74" s="188">
        <x:v>1</x:v>
      </x:c>
    </x:row>
    <x:row r="75" spans="2:21" ht="12">
      <x:c r="B75" s="65"/>
      <x:c r="C75" s="60" t="s">
        <x:v>798</x:v>
      </x:c>
      <x:c r="D75" s="60"/>
      <x:c r="E75" s="62"/>
      <x:c r="F75" s="62"/>
      <x:c r="G75" s="62"/>
      <x:c r="H75" s="62"/>
      <x:c r="I75" s="62"/>
      <x:c r="J75" s="62"/>
      <x:c r="K75" s="62"/>
      <x:c r="L75" s="62"/>
      <x:c r="M75" s="62"/>
      <x:c r="N75" s="62"/>
      <x:c r="O75" s="62"/>
      <x:c r="P75" s="62"/>
      <x:c r="Q75" s="62"/>
      <x:c r="U75" s="188">
        <x:v>1</x:v>
      </x:c>
    </x:row>
    <x:row r="76" spans="2:21">
      <x:c r="B76" s="46" t="s">
        <x:v>1658</x:v>
      </x:c>
      <x:c r="C76" s="60" t="s">
        <x:v>1134</x:v>
      </x:c>
      <x:c r="D76" s="60"/>
      <x:c r="E76" s="62">
        <x:v>-655</x:v>
      </x:c>
      <x:c r="F76" s="62">
        <x:v>-473</x:v>
      </x:c>
      <x:c r="G76" s="62">
        <x:v>-51</x:v>
      </x:c>
      <x:c r="H76" s="62">
        <x:v>937</x:v>
      </x:c>
      <x:c r="I76" s="62">
        <x:v>-495</x:v>
      </x:c>
      <x:c r="J76" s="62">
        <x:v>-167</x:v>
      </x:c>
      <x:c r="K76" s="62">
        <x:v>-87</x:v>
      </x:c>
      <x:c r="L76" s="62">
        <x:v>-185</x:v>
      </x:c>
      <x:c r="M76" s="62">
        <x:v>-244</x:v>
      </x:c>
      <x:c r="N76" s="62">
        <x:v>9</x:v>
      </x:c>
      <x:c r="O76" s="62">
        <x:v>-359</x:v>
      </x:c>
      <x:c r="P76" s="62">
        <x:v>418</x:v>
      </x:c>
      <x:c r="Q76" s="62">
        <x:v>418</x:v>
      </x:c>
      <x:c r="U76" s="189">
        <x:f>IF(COUNT(E76:Q76)&lt;&gt;0,1,"")</x:f>
        <x:v>1</x:v>
      </x:c>
    </x:row>
    <x:row r="77" spans="2:21">
      <x:c r="B77" s="46" t="s">
        <x:v>2514</x:v>
      </x:c>
      <x:c r="C77" s="60" t="s">
        <x:v>451</x:v>
      </x:c>
      <x:c r="D77" s="60"/>
      <x:c r="E77" s="62" t="s">
        <x:v>818</x:v>
      </x:c>
      <x:c r="F77" s="62" t="s">
        <x:v>818</x:v>
      </x:c>
      <x:c r="G77" s="62" t="s">
        <x:v>818</x:v>
      </x:c>
      <x:c r="H77" s="62">
        <x:v>-1</x:v>
      </x:c>
      <x:c r="I77" s="62" t="s">
        <x:v>818</x:v>
      </x:c>
      <x:c r="J77" s="62">
        <x:v>1</x:v>
      </x:c>
      <x:c r="K77" s="62" t="s">
        <x:v>818</x:v>
      </x:c>
      <x:c r="L77" s="62" t="s">
        <x:v>818</x:v>
      </x:c>
      <x:c r="M77" s="62" t="s">
        <x:v>818</x:v>
      </x:c>
      <x:c r="N77" s="62" t="s">
        <x:v>818</x:v>
      </x:c>
      <x:c r="O77" s="62">
        <x:v>1</x:v>
      </x:c>
      <x:c r="P77" s="62" t="s">
        <x:v>818</x:v>
      </x:c>
      <x:c r="Q77" s="62" t="s">
        <x:v>818</x:v>
      </x:c>
      <x:c r="U77" s="189">
        <x:f>IF(COUNT(E77:Q77)&lt;&gt;0,1,"")</x:f>
        <x:v>1</x:v>
      </x:c>
    </x:row>
    <x:row r="78" spans="2:21" ht="12">
      <x:c r="B78" s="63" t="s">
        <x:v>459</x:v>
      </x:c>
      <x:c r="C78" s="60" t="s">
        <x:v>456</x:v>
      </x:c>
      <x:c r="D78" s="60"/>
      <x:c r="E78" s="146">
        <x:v>-2240</x:v>
      </x:c>
      <x:c r="F78" s="146">
        <x:v>-790</x:v>
      </x:c>
      <x:c r="G78" s="146">
        <x:v>188</x:v>
      </x:c>
      <x:c r="H78" s="146">
        <x:v>4161</x:v>
      </x:c>
      <x:c r="I78" s="146">
        <x:v>-630</x:v>
      </x:c>
      <x:c r="J78" s="146">
        <x:v>-3290</x:v>
      </x:c>
      <x:c r="K78" s="146">
        <x:v>5361</x:v>
      </x:c>
      <x:c r="L78" s="146">
        <x:v>-6718</x:v>
      </x:c>
      <x:c r="M78" s="146">
        <x:v>1031</x:v>
      </x:c>
      <x:c r="N78" s="146">
        <x:v>5101</x:v>
      </x:c>
      <x:c r="O78" s="146">
        <x:v>1071</x:v>
      </x:c>
      <x:c r="P78" s="146">
        <x:v>-520</x:v>
      </x:c>
      <x:c r="Q78" s="146">
        <x:v>-520</x:v>
      </x:c>
      <x:c r="U78" s="188">
        <x:v>1</x:v>
      </x:c>
    </x:row>
    <x:row r="79" spans="2:21" ht="12">
      <x:c r="B79" s="65"/>
      <x:c r="C79" s="60" t="s">
        <x:v>798</x:v>
      </x:c>
      <x:c r="D79" s="60"/>
      <x:c r="E79" s="78"/>
      <x:c r="F79" s="78"/>
      <x:c r="G79" s="78"/>
      <x:c r="H79" s="78"/>
      <x:c r="I79" s="78"/>
      <x:c r="J79" s="78"/>
      <x:c r="K79" s="78"/>
      <x:c r="L79" s="78"/>
      <x:c r="M79" s="78"/>
      <x:c r="N79" s="78"/>
      <x:c r="O79" s="78"/>
      <x:c r="P79" s="78"/>
      <x:c r="Q79" s="78"/>
      <x:c r="U79" s="188">
        <x:v>1</x:v>
      </x:c>
    </x:row>
    <x:row r="80" spans="2:21">
      <x:c r="B80" s="61" t="s">
        <x:v>653</x:v>
      </x:c>
      <x:c r="C80" s="60" t="s">
        <x:v>798</x:v>
      </x:c>
      <x:c r="D80" s="60"/>
      <x:c r="E80" s="263" t="str">
        <x:f>E5</x:f>
        <x:v>Fiscal Year Ended,</x:v>
      </x:c>
      <x:c r="F80" s="264"/>
      <x:c r="G80" s="264"/>
      <x:c r="H80" s="264"/>
      <x:c r="I80" s="264"/>
      <x:c r="J80" s="264"/>
      <x:c r="K80" s="264"/>
      <x:c r="L80" s="264"/>
      <x:c r="M80" s="264"/>
      <x:c r="N80" s="264"/>
      <x:c r="O80" s="264"/>
      <x:c r="P80" s="264"/>
      <x:c r="Q80" s="265"/>
      <x:c r="U80" s="188">
        <x:v>1</x:v>
      </x:c>
    </x:row>
    <x:row r="81" spans="2:21">
      <x:c r="B81" s="46" t="s">
        <x:v>470</x:v>
      </x:c>
      <x:c r="C81" s="60" t="s">
        <x:v>465</x:v>
      </x:c>
      <x:c r="D81" s="60"/>
      <x:c r="E81" s="149">
        <x:v>1061</x:v>
      </x:c>
      <x:c r="F81" s="149">
        <x:v>995</x:v>
      </x:c>
      <x:c r="G81" s="149">
        <x:v>1158</x:v>
      </x:c>
      <x:c r="H81" s="149">
        <x:v>1208</x:v>
      </x:c>
      <x:c r="I81" s="149">
        <x:v>1423</x:v>
      </x:c>
      <x:c r="J81" s="149">
        <x:v>1685</x:v>
      </x:c>
      <x:c r="K81" s="149">
        <x:v>1830</x:v>
      </x:c>
      <x:c r="L81" s="149">
        <x:v>1512</x:v>
      </x:c>
      <x:c r="M81" s="149">
        <x:v>1401</x:v>
      </x:c>
      <x:c r="N81" s="149">
        <x:v>1668</x:v>
      </x:c>
      <x:c r="O81" s="149">
        <x:v>1978</x:v>
      </x:c>
      <x:c r="P81" s="149" t="s">
        <x:v>818</x:v>
      </x:c>
      <x:c r="Q81" s="149" t="s">
        <x:v>818</x:v>
      </x:c>
      <x:c r="U81" s="189">
        <x:f t="shared" ref="U81:U97" si="3">IF(COUNT(E81:Q81)&lt;&gt;0,1,"")</x:f>
        <x:v>1</x:v>
      </x:c>
    </x:row>
    <x:row r="82" spans="2:21">
      <x:c r="B82" s="46" t="s">
        <x:v>2196</x:v>
      </x:c>
      <x:c r="C82" s="60" t="s">
        <x:v>2207</x:v>
      </x:c>
      <x:c r="D82" s="60"/>
      <x:c r="E82" s="62">
        <x:v>5748</x:v>
      </x:c>
      <x:c r="F82" s="62">
        <x:v>2657</x:v>
      </x:c>
      <x:c r="G82" s="62">
        <x:v>1078</x:v>
      </x:c>
      <x:c r="H82" s="62">
        <x:v>1597</x:v>
      </x:c>
      <x:c r="I82" s="62">
        <x:v>1745</x:v>
      </x:c>
      <x:c r="J82" s="62">
        <x:v>2091</x:v>
      </x:c>
      <x:c r="K82" s="62">
        <x:v>2253</x:v>
      </x:c>
      <x:c r="L82" s="62">
        <x:v>2103</x:v>
      </x:c>
      <x:c r="M82" s="62">
        <x:v>1865</x:v>
      </x:c>
      <x:c r="N82" s="62">
        <x:v>1564</x:v>
      </x:c>
      <x:c r="O82" s="62">
        <x:v>1723</x:v>
      </x:c>
      <x:c r="P82" s="62" t="s">
        <x:v>818</x:v>
      </x:c>
      <x:c r="Q82" s="62" t="s">
        <x:v>818</x:v>
      </x:c>
      <x:c r="U82" s="189">
        <x:f t="shared" si="3"/>
        <x:v>1</x:v>
      </x:c>
    </x:row>
    <x:row r="83" spans="2:21">
      <x:c r="B83" s="46" t="s">
        <x:v>2413</x:v>
      </x:c>
      <x:c r="C83" s="60" t="s">
        <x:v>2405</x:v>
      </x:c>
      <x:c r="D83" s="60"/>
      <x:c r="E83" s="62">
        <x:v>-266</x:v>
      </x:c>
      <x:c r="F83" s="62">
        <x:v>673</x:v>
      </x:c>
      <x:c r="G83" s="62">
        <x:v>-969</x:v>
      </x:c>
      <x:c r="H83" s="62">
        <x:v>-692</x:v>
      </x:c>
      <x:c r="I83" s="62">
        <x:v>699</x:v>
      </x:c>
      <x:c r="J83" s="62">
        <x:v>-1588</x:v>
      </x:c>
      <x:c r="K83" s="62">
        <x:v>-3225</x:v>
      </x:c>
      <x:c r="L83" s="62">
        <x:v>-1753</x:v>
      </x:c>
      <x:c r="M83" s="62">
        <x:v>-2879</x:v>
      </x:c>
      <x:c r="N83" s="62">
        <x:v>-1105</x:v>
      </x:c>
      <x:c r="O83" s="62">
        <x:v>-2336</x:v>
      </x:c>
      <x:c r="P83" s="62" t="s">
        <x:v>818</x:v>
      </x:c>
      <x:c r="Q83" s="62" t="s">
        <x:v>818</x:v>
      </x:c>
      <x:c r="U83" s="189">
        <x:f t="shared" si="3"/>
        <x:v>1</x:v>
      </x:c>
    </x:row>
    <x:row r="84" spans="2:21">
      <x:c r="B84" s="46" t="s">
        <x:v>1228</x:v>
      </x:c>
      <x:c r="C84" s="60" t="s">
        <x:v>1229</x:v>
      </x:c>
      <x:c r="D84" s="60"/>
      <x:c r="E84" s="62">
        <x:v>-1946</x:v>
      </x:c>
      <x:c r="F84" s="62">
        <x:v>1456</x:v>
      </x:c>
      <x:c r="G84" s="62">
        <x:v>98</x:v>
      </x:c>
      <x:c r="H84" s="62">
        <x:v>177</x:v>
      </x:c>
      <x:c r="I84" s="62">
        <x:v>2352</x:v>
      </x:c>
      <x:c r="J84" s="62">
        <x:v>-7101</x:v>
      </x:c>
      <x:c r="K84" s="62">
        <x:v>-8369</x:v>
      </x:c>
      <x:c r="L84" s="62">
        <x:v>2772</x:v>
      </x:c>
      <x:c r="M84" s="62">
        <x:v>-1922</x:v>
      </x:c>
      <x:c r="N84" s="62">
        <x:v>-1918</x:v>
      </x:c>
      <x:c r="O84" s="62">
        <x:v>15</x:v>
      </x:c>
      <x:c r="P84" s="62">
        <x:v>-1513</x:v>
      </x:c>
      <x:c r="Q84" s="62">
        <x:v>-1513</x:v>
      </x:c>
      <x:c r="U84" s="189">
        <x:f t="shared" si="3"/>
        <x:v>1</x:v>
      </x:c>
    </x:row>
    <x:row r="85" spans="2:21">
      <x:c r="B85" s="46" t="s">
        <x:v>2506</x:v>
      </x:c>
      <x:c r="C85" s="60" t="s">
        <x:v>2211</x:v>
      </x:c>
      <x:c r="D85" s="60"/>
      <x:c r="E85" s="62">
        <x:v>15045.125</x:v>
      </x:c>
      <x:c r="F85" s="62">
        <x:v>8746.625</x:v>
      </x:c>
      <x:c r="G85" s="62">
        <x:v>9139.5</x:v>
      </x:c>
      <x:c r="H85" s="62">
        <x:v>8041.875</x:v>
      </x:c>
      <x:c r="I85" s="62">
        <x:v>6483.375</x:v>
      </x:c>
      <x:c r="J85" s="62">
        <x:v>14803.875</x:v>
      </x:c>
      <x:c r="K85" s="62">
        <x:v>14879.75</x:v>
      </x:c>
      <x:c r="L85" s="62">
        <x:v>4626.5</x:v>
      </x:c>
      <x:c r="M85" s="62">
        <x:v>9680.625</x:v>
      </x:c>
      <x:c r="N85" s="62">
        <x:v>10823</x:v>
      </x:c>
      <x:c r="O85" s="62">
        <x:v>9325.5</x:v>
      </x:c>
      <x:c r="P85" s="62">
        <x:v>12770.75</x:v>
      </x:c>
      <x:c r="Q85" s="62">
        <x:v>12770.75</x:v>
      </x:c>
      <x:c r="U85" s="189">
        <x:f t="shared" si="3"/>
        <x:v>1</x:v>
      </x:c>
    </x:row>
    <x:row r="86" spans="2:21">
      <x:c r="B86" s="46" t="s">
        <x:v>1647</x:v>
      </x:c>
      <x:c r="C86" s="60" t="s">
        <x:v>454</x:v>
      </x:c>
      <x:c r="D86" s="60"/>
      <x:c r="E86" s="62">
        <x:v>15347.625</x:v>
      </x:c>
      <x:c r="F86" s="62">
        <x:v>9039.125</x:v>
      </x:c>
      <x:c r="G86" s="62">
        <x:v>9533.25</x:v>
      </x:c>
      <x:c r="H86" s="62">
        <x:v>8426.25</x:v>
      </x:c>
      <x:c r="I86" s="62">
        <x:v>6935.25</x:v>
      </x:c>
      <x:c r="J86" s="62">
        <x:v>15643.875</x:v>
      </x:c>
      <x:c r="K86" s="62">
        <x:v>15684.75</x:v>
      </x:c>
      <x:c r="L86" s="62">
        <x:v>5348.375</x:v>
      </x:c>
      <x:c r="M86" s="62">
        <x:v>10440.625</x:v>
      </x:c>
      <x:c r="N86" s="62">
        <x:v>11827.375</x:v>
      </x:c>
      <x:c r="O86" s="62">
        <x:v>10395.5</x:v>
      </x:c>
      <x:c r="P86" s="62">
        <x:v>13980.125</x:v>
      </x:c>
      <x:c r="Q86" s="62">
        <x:v>13980.125</x:v>
      </x:c>
      <x:c r="U86" s="189">
        <x:f t="shared" si="3"/>
        <x:v>1</x:v>
      </x:c>
    </x:row>
    <x:row r="87" spans="2:21">
      <x:c r="B87" s="46" t="s">
        <x:v>2220</x:v>
      </x:c>
      <x:c r="C87" s="60" t="s">
        <x:v>471</x:v>
      </x:c>
      <x:c r="D87" s="60"/>
      <x:c r="E87" s="62">
        <x:v>1783</x:v>
      </x:c>
      <x:c r="F87" s="62">
        <x:v>19</x:v>
      </x:c>
      <x:c r="G87" s="62">
        <x:v>2763</x:v>
      </x:c>
      <x:c r="H87" s="62">
        <x:v>3447</x:v>
      </x:c>
      <x:c r="I87" s="62">
        <x:v>-301</x:v>
      </x:c>
      <x:c r="J87" s="62">
        <x:v>16284</x:v>
      </x:c>
      <x:c r="K87" s="62">
        <x:v>-3714</x:v>
      </x:c>
      <x:c r="L87" s="62">
        <x:v>-8115</x:v>
      </x:c>
      <x:c r="M87" s="62">
        <x:v>1221</x:v>
      </x:c>
      <x:c r="N87" s="62">
        <x:v>4497</x:v>
      </x:c>
      <x:c r="O87" s="62">
        <x:v>-880</x:v>
      </x:c>
      <x:c r="P87" s="62">
        <x:v>2873</x:v>
      </x:c>
      <x:c r="Q87" s="62">
        <x:v>2873</x:v>
      </x:c>
      <x:c r="U87" s="189">
        <x:f t="shared" si="3"/>
        <x:v>1</x:v>
      </x:c>
    </x:row>
    <x:row r="88" spans="2:21">
      <x:c r="B88" s="46" t="s">
        <x:v>455</x:v>
      </x:c>
      <x:c r="C88" s="60" t="s">
        <x:v>2212</x:v>
      </x:c>
      <x:c r="D88" s="60"/>
      <x:c r="E88" s="62" t="s">
        <x:v>818</x:v>
      </x:c>
      <x:c r="F88" s="62" t="s">
        <x:v>818</x:v>
      </x:c>
      <x:c r="G88" s="62" t="s">
        <x:v>818</x:v>
      </x:c>
      <x:c r="H88" s="62" t="s">
        <x:v>818</x:v>
      </x:c>
      <x:c r="I88" s="62" t="s">
        <x:v>818</x:v>
      </x:c>
      <x:c r="J88" s="62" t="s">
        <x:v>818</x:v>
      </x:c>
      <x:c r="K88" s="62" t="s">
        <x:v>818</x:v>
      </x:c>
      <x:c r="L88" s="62" t="s">
        <x:v>818</x:v>
      </x:c>
      <x:c r="M88" s="62" t="s">
        <x:v>818</x:v>
      </x:c>
      <x:c r="N88" s="62" t="s">
        <x:v>818</x:v>
      </x:c>
      <x:c r="O88" s="62" t="s">
        <x:v>818</x:v>
      </x:c>
      <x:c r="P88" s="62" t="s">
        <x:v>818</x:v>
      </x:c>
      <x:c r="Q88" s="62" t="s">
        <x:v>818</x:v>
      </x:c>
      <x:c r="U88" s="189" t="str">
        <x:f t="shared" si="3"/>
        <x:v/>
      </x:c>
    </x:row>
    <x:row r="89" spans="2:21">
      <x:c r="B89" s="46" t="s">
        <x:v>442</x:v>
      </x:c>
      <x:c r="C89" s="60" t="s">
        <x:v>1426</x:v>
      </x:c>
      <x:c r="D89" s="60"/>
      <x:c r="E89" s="62">
        <x:v>3145</x:v>
      </x:c>
      <x:c r="F89" s="62">
        <x:v>2662</x:v>
      </x:c>
      <x:c r="G89" s="62">
        <x:v>2837</x:v>
      </x:c>
      <x:c r="H89" s="62">
        <x:v>3021</x:v>
      </x:c>
      <x:c r="I89" s="62">
        <x:v>3127</x:v>
      </x:c>
      <x:c r="J89" s="62">
        <x:v>4209</x:v>
      </x:c>
      <x:c r="K89" s="62">
        <x:v>4227</x:v>
      </x:c>
      <x:c r="L89" s="62">
        <x:v>3888</x:v>
      </x:c>
      <x:c r="M89" s="62">
        <x:v>1507</x:v>
      </x:c>
      <x:c r="N89" s="62">
        <x:v>1209</x:v>
      </x:c>
      <x:c r="O89" s="62">
        <x:v>1268</x:v>
      </x:c>
      <x:c r="P89" s="62">
        <x:v>5021</x:v>
      </x:c>
      <x:c r="Q89" s="62">
        <x:v>5021</x:v>
      </x:c>
      <x:c r="U89" s="189">
        <x:f t="shared" si="3"/>
        <x:v>1</x:v>
      </x:c>
    </x:row>
    <x:row r="90" spans="2:21">
      <x:c r="B90" s="46" t="s">
        <x:v>52</x:v>
      </x:c>
      <x:c r="C90" s="60" t="s">
        <x:v>1857</x:v>
      </x:c>
      <x:c r="D90" s="60"/>
      <x:c r="E90" s="62">
        <x:v>4492</x:v>
      </x:c>
      <x:c r="F90" s="62">
        <x:v>3855</x:v>
      </x:c>
      <x:c r="G90" s="62">
        <x:v>4381</x:v>
      </x:c>
      <x:c r="H90" s="62">
        <x:v>4541</x:v>
      </x:c>
      <x:c r="I90" s="62">
        <x:v>4480</x:v>
      </x:c>
      <x:c r="J90" s="62">
        <x:v>6059</x:v>
      </x:c>
      <x:c r="K90" s="62">
        <x:v>6695</x:v>
      </x:c>
      <x:c r="L90" s="62">
        <x:v>5726</x:v>
      </x:c>
      <x:c r="M90" s="62">
        <x:v>3254</x:v>
      </x:c>
      <x:c r="N90" s="62">
        <x:v>2836</x:v>
      </x:c>
      <x:c r="O90" s="62">
        <x:v>3098</x:v>
      </x:c>
      <x:c r="P90" s="62">
        <x:v>5021</x:v>
      </x:c>
      <x:c r="Q90" s="62">
        <x:v>5021</x:v>
      </x:c>
      <x:c r="U90" s="189">
        <x:f t="shared" si="3"/>
        <x:v>1</x:v>
      </x:c>
    </x:row>
    <x:row r="91" spans="2:21">
      <x:c r="B91" s="46" t="s">
        <x:v>1015</x:v>
      </x:c>
      <x:c r="C91" s="60" t="s">
        <x:v>1099</x:v>
      </x:c>
      <x:c r="D91" s="60"/>
      <x:c r="E91" s="62" t="s">
        <x:v>818</x:v>
      </x:c>
      <x:c r="F91" s="62" t="s">
        <x:v>818</x:v>
      </x:c>
      <x:c r="G91" s="62" t="s">
        <x:v>818</x:v>
      </x:c>
      <x:c r="H91" s="62" t="s">
        <x:v>818</x:v>
      </x:c>
      <x:c r="I91" s="62" t="s">
        <x:v>818</x:v>
      </x:c>
      <x:c r="J91" s="62" t="s">
        <x:v>818</x:v>
      </x:c>
      <x:c r="K91" s="62" t="s">
        <x:v>818</x:v>
      </x:c>
      <x:c r="L91" s="62" t="s">
        <x:v>818</x:v>
      </x:c>
      <x:c r="M91" s="62">
        <x:v>900</x:v>
      </x:c>
      <x:c r="N91" s="62">
        <x:v>900</x:v>
      </x:c>
      <x:c r="O91" s="62">
        <x:v>900</x:v>
      </x:c>
      <x:c r="P91" s="62" t="s">
        <x:v>818</x:v>
      </x:c>
      <x:c r="Q91" s="62" t="s">
        <x:v>818</x:v>
      </x:c>
      <x:c r="U91" s="189">
        <x:f t="shared" si="3"/>
        <x:v>1</x:v>
      </x:c>
    </x:row>
    <x:row r="92" spans="2:21">
      <x:c r="B92" s="46" t="s">
        <x:v>129</x:v>
      </x:c>
      <x:c r="C92" s="60" t="s">
        <x:v>2197</x:v>
      </x:c>
      <x:c r="D92" s="60"/>
      <x:c r="E92" s="62" t="s">
        <x:v>818</x:v>
      </x:c>
      <x:c r="F92" s="62" t="s">
        <x:v>818</x:v>
      </x:c>
      <x:c r="G92" s="62" t="s">
        <x:v>818</x:v>
      </x:c>
      <x:c r="H92" s="62" t="s">
        <x:v>818</x:v>
      </x:c>
      <x:c r="I92" s="62" t="s">
        <x:v>818</x:v>
      </x:c>
      <x:c r="J92" s="62" t="s">
        <x:v>818</x:v>
      </x:c>
      <x:c r="K92" s="62" t="s">
        <x:v>818</x:v>
      </x:c>
      <x:c r="L92" s="62" t="s">
        <x:v>818</x:v>
      </x:c>
      <x:c r="M92" s="62" t="s">
        <x:v>818</x:v>
      </x:c>
      <x:c r="N92" s="62" t="s">
        <x:v>818</x:v>
      </x:c>
      <x:c r="O92" s="62" t="s">
        <x:v>818</x:v>
      </x:c>
      <x:c r="P92" s="62" t="s">
        <x:v>818</x:v>
      </x:c>
      <x:c r="Q92" s="62" t="s">
        <x:v>818</x:v>
      </x:c>
      <x:c r="U92" s="189" t="str">
        <x:f t="shared" si="3"/>
        <x:v/>
      </x:c>
    </x:row>
    <x:row r="93" spans="2:21">
      <x:c r="B93" s="46" t="s">
        <x:v>130</x:v>
      </x:c>
      <x:c r="C93" s="60" t="s">
        <x:v>460</x:v>
      </x:c>
      <x:c r="D93" s="60"/>
      <x:c r="E93" s="62" t="s">
        <x:v>818</x:v>
      </x:c>
      <x:c r="F93" s="62" t="s">
        <x:v>818</x:v>
      </x:c>
      <x:c r="G93" s="62" t="s">
        <x:v>818</x:v>
      </x:c>
      <x:c r="H93" s="62" t="s">
        <x:v>818</x:v>
      </x:c>
      <x:c r="I93" s="62" t="s">
        <x:v>818</x:v>
      </x:c>
      <x:c r="J93" s="62" t="s">
        <x:v>818</x:v>
      </x:c>
      <x:c r="K93" s="62" t="s">
        <x:v>818</x:v>
      </x:c>
      <x:c r="L93" s="62" t="s">
        <x:v>818</x:v>
      </x:c>
      <x:c r="M93" s="62" t="s">
        <x:v>818</x:v>
      </x:c>
      <x:c r="N93" s="62" t="s">
        <x:v>818</x:v>
      </x:c>
      <x:c r="O93" s="62" t="s">
        <x:v>818</x:v>
      </x:c>
      <x:c r="P93" s="62" t="s">
        <x:v>818</x:v>
      </x:c>
      <x:c r="Q93" s="62" t="s">
        <x:v>818</x:v>
      </x:c>
      <x:c r="U93" s="189" t="str">
        <x:f t="shared" si="3"/>
        <x:v/>
      </x:c>
    </x:row>
    <x:row r="94" spans="2:21">
      <x:c r="B94" s="46" t="s">
        <x:v>1870</x:v>
      </x:c>
      <x:c r="C94" s="60" t="s">
        <x:v>1882</x:v>
      </x:c>
      <x:c r="D94" s="60"/>
      <x:c r="E94" s="62"/>
      <x:c r="F94" s="62"/>
      <x:c r="G94" s="62"/>
      <x:c r="H94" s="62"/>
      <x:c r="I94" s="62"/>
      <x:c r="J94" s="62"/>
      <x:c r="K94" s="62"/>
      <x:c r="L94" s="62"/>
      <x:c r="M94" s="62"/>
      <x:c r="N94" s="62"/>
      <x:c r="O94" s="62"/>
      <x:c r="P94" s="62"/>
      <x:c r="Q94" s="62"/>
      <x:c r="U94" s="189" t="str">
        <x:f t="shared" si="3"/>
        <x:v/>
      </x:c>
    </x:row>
    <x:row r="95" spans="2:21">
      <x:c r="B95" s="46" t="s">
        <x:v>7</x:v>
      </x:c>
      <x:c r="C95" s="60" t="s">
        <x:v>341</x:v>
      </x:c>
      <x:c r="D95" s="60"/>
      <x:c r="E95" s="62" t="s">
        <x:v>818</x:v>
      </x:c>
      <x:c r="F95" s="62" t="s">
        <x:v>818</x:v>
      </x:c>
      <x:c r="G95" s="62" t="s">
        <x:v>818</x:v>
      </x:c>
      <x:c r="H95" s="62" t="s">
        <x:v>818</x:v>
      </x:c>
      <x:c r="I95" s="62" t="s">
        <x:v>818</x:v>
      </x:c>
      <x:c r="J95" s="62" t="s">
        <x:v>818</x:v>
      </x:c>
      <x:c r="K95" s="62" t="s">
        <x:v>818</x:v>
      </x:c>
      <x:c r="L95" s="62" t="s">
        <x:v>818</x:v>
      </x:c>
      <x:c r="M95" s="62" t="s">
        <x:v>818</x:v>
      </x:c>
      <x:c r="N95" s="62" t="s">
        <x:v>818</x:v>
      </x:c>
      <x:c r="O95" s="62" t="s">
        <x:v>818</x:v>
      </x:c>
      <x:c r="P95" s="62" t="s">
        <x:v>818</x:v>
      </x:c>
      <x:c r="Q95" s="62" t="s">
        <x:v>818</x:v>
      </x:c>
      <x:c r="U95" s="189" t="str">
        <x:f t="shared" si="3"/>
        <x:v/>
      </x:c>
    </x:row>
    <x:row r="96" spans="2:21">
      <x:c r="B96" s="46" t="s">
        <x:v>109</x:v>
      </x:c>
      <x:c r="C96" s="60" t="s">
        <x:v>1018</x:v>
      </x:c>
      <x:c r="D96" s="60"/>
      <x:c r="E96" s="62" t="s">
        <x:v>818</x:v>
      </x:c>
      <x:c r="F96" s="62" t="s">
        <x:v>818</x:v>
      </x:c>
      <x:c r="G96" s="62" t="s">
        <x:v>818</x:v>
      </x:c>
      <x:c r="H96" s="62" t="s">
        <x:v>818</x:v>
      </x:c>
      <x:c r="I96" s="62" t="s">
        <x:v>818</x:v>
      </x:c>
      <x:c r="J96" s="62" t="s">
        <x:v>818</x:v>
      </x:c>
      <x:c r="K96" s="62" t="s">
        <x:v>818</x:v>
      </x:c>
      <x:c r="L96" s="62" t="s">
        <x:v>818</x:v>
      </x:c>
      <x:c r="M96" s="62" t="s">
        <x:v>818</x:v>
      </x:c>
      <x:c r="N96" s="62" t="s">
        <x:v>818</x:v>
      </x:c>
      <x:c r="O96" s="62" t="s">
        <x:v>818</x:v>
      </x:c>
      <x:c r="P96" s="62" t="s">
        <x:v>818</x:v>
      </x:c>
      <x:c r="Q96" s="62" t="s">
        <x:v>818</x:v>
      </x:c>
      <x:c r="U96" s="189" t="str">
        <x:f t="shared" si="3"/>
        <x:v/>
      </x:c>
    </x:row>
    <x:row r="97" spans="2:21">
      <x:c r="B97" s="46" t="s">
        <x:v>1010</x:v>
      </x:c>
      <x:c r="C97" s="60" t="s">
        <x:v>2348</x:v>
      </x:c>
      <x:c r="D97" s="60"/>
      <x:c r="E97" s="62" t="s">
        <x:v>818</x:v>
      </x:c>
      <x:c r="F97" s="62" t="s">
        <x:v>818</x:v>
      </x:c>
      <x:c r="G97" s="62" t="s">
        <x:v>818</x:v>
      </x:c>
      <x:c r="H97" s="62" t="s">
        <x:v>818</x:v>
      </x:c>
      <x:c r="I97" s="62" t="s">
        <x:v>818</x:v>
      </x:c>
      <x:c r="J97" s="62" t="s">
        <x:v>818</x:v>
      </x:c>
      <x:c r="K97" s="62" t="s">
        <x:v>818</x:v>
      </x:c>
      <x:c r="L97" s="62" t="s">
        <x:v>818</x:v>
      </x:c>
      <x:c r="M97" s="62" t="s">
        <x:v>818</x:v>
      </x:c>
      <x:c r="N97" s="62" t="s">
        <x:v>818</x:v>
      </x:c>
      <x:c r="O97" s="62" t="s">
        <x:v>818</x:v>
      </x:c>
      <x:c r="P97" s="62" t="s">
        <x:v>818</x:v>
      </x:c>
      <x:c r="Q97" s="62" t="s">
        <x:v>818</x:v>
      </x:c>
      <x:c r="U97" s="189" t="str">
        <x:f t="shared" si="3"/>
        <x:v/>
      </x:c>
    </x:row>
    <x:row r="98" spans="2:21">
      <x:c r="B98" s="46" t="s">
        <x:v>2155</x:v>
      </x:c>
      <x:c r="C98" s="60" t="s">
        <x:v>2421</x:v>
      </x:c>
      <x:c r="D98" s="60"/>
      <x:c r="E98" s="62" t="s">
        <x:v>819</x:v>
      </x:c>
      <x:c r="F98" s="62" t="s">
        <x:v>819</x:v>
      </x:c>
      <x:c r="G98" s="62" t="s">
        <x:v>819</x:v>
      </x:c>
      <x:c r="H98" s="62" t="s">
        <x:v>819</x:v>
      </x:c>
      <x:c r="I98" s="62" t="s">
        <x:v>819</x:v>
      </x:c>
      <x:c r="J98" s="62" t="s">
        <x:v>819</x:v>
      </x:c>
      <x:c r="K98" s="62" t="s">
        <x:v>819</x:v>
      </x:c>
      <x:c r="L98" s="62" t="s">
        <x:v>819</x:v>
      </x:c>
      <x:c r="M98" s="62" t="s">
        <x:v>819</x:v>
      </x:c>
      <x:c r="N98" s="62" t="s">
        <x:v>819</x:v>
      </x:c>
      <x:c r="O98" s="62" t="s">
        <x:v>819</x:v>
      </x:c>
      <x:c r="P98" s="62" t="s">
        <x:v>819</x:v>
      </x:c>
      <x:c r="Q98" s="62" t="s">
        <x:v>819</x:v>
      </x:c>
      <x:c r="U98" s="189">
        <x:v>1</x:v>
      </x:c>
    </x:row>
    <x:row r="99" spans="2:21">
      <x:c r="B99" s="46" t="s">
        <x:v>608</x:v>
      </x:c>
      <x:c r="C99" s="60" t="s">
        <x:v>2497</x:v>
      </x:c>
      <x:c r="D99" s="60"/>
      <x:c r="E99" s="76" t="s">
        <x:v>550</x:v>
      </x:c>
      <x:c r="F99" s="76" t="s">
        <x:v>1128</x:v>
      </x:c>
      <x:c r="G99" s="76" t="s">
        <x:v>1128</x:v>
      </x:c>
      <x:c r="H99" s="76" t="s">
        <x:v>1128</x:v>
      </x:c>
      <x:c r="I99" s="76" t="s">
        <x:v>550</x:v>
      </x:c>
      <x:c r="J99" s="76" t="s">
        <x:v>550</x:v>
      </x:c>
      <x:c r="K99" s="76" t="s">
        <x:v>550</x:v>
      </x:c>
      <x:c r="L99" s="76" t="s">
        <x:v>550</x:v>
      </x:c>
      <x:c r="M99" s="76" t="s">
        <x:v>1128</x:v>
      </x:c>
      <x:c r="N99" s="76" t="s">
        <x:v>550</x:v>
      </x:c>
      <x:c r="O99" s="76" t="s">
        <x:v>1271</x:v>
      </x:c>
      <x:c r="P99" s="76" t="s">
        <x:v>1126</x:v>
      </x:c>
      <x:c r="Q99" s="76" t="s">
        <x:v>1126</x:v>
      </x:c>
      <x:c r="U99" s="189">
        <x:v>1</x:v>
      </x:c>
    </x:row>
    <x:row r="100" spans="2:21">
      <x:c r="B100" s="46" t="s">
        <x:v>595</x:v>
      </x:c>
      <x:c r="C100" s="60" t="s">
        <x:v>2519</x:v>
      </x:c>
      <x:c r="D100" s="60"/>
      <x:c r="E100" s="76" t="s">
        <x:v>734</x:v>
      </x:c>
      <x:c r="F100" s="76" t="s">
        <x:v>734</x:v>
      </x:c>
      <x:c r="G100" s="76" t="s">
        <x:v>734</x:v>
      </x:c>
      <x:c r="H100" s="76" t="s">
        <x:v>38</x:v>
      </x:c>
      <x:c r="I100" s="76" t="s">
        <x:v>734</x:v>
      </x:c>
      <x:c r="J100" s="76" t="s">
        <x:v>734</x:v>
      </x:c>
      <x:c r="K100" s="76" t="s">
        <x:v>734</x:v>
      </x:c>
      <x:c r="L100" s="76" t="s">
        <x:v>734</x:v>
      </x:c>
      <x:c r="M100" s="76" t="s">
        <x:v>734</x:v>
      </x:c>
      <x:c r="N100" s="76" t="s">
        <x:v>734</x:v>
      </x:c>
      <x:c r="O100" s="76" t="s">
        <x:v>734</x:v>
      </x:c>
      <x:c r="P100" s="76" t="s">
        <x:v>734</x:v>
      </x:c>
      <x:c r="Q100" s="76" t="s">
        <x:v>734</x:v>
      </x:c>
      <x:c r="U100" s="189">
        <x:v>1</x:v>
      </x:c>
    </x:row>
    <x:row r="101" spans="2:21">
      <x:c r="B101" s="46" t="s">
        <x:v>1424</x:v>
      </x:c>
      <x:c r="C101" s="60" t="s">
        <x:v>1103</x:v>
      </x:c>
      <x:c r="D101" s="60"/>
      <x:c r="E101" s="77" t="s">
        <x:v>1096</x:v>
      </x:c>
      <x:c r="F101" s="77" t="s">
        <x:v>1096</x:v>
      </x:c>
      <x:c r="G101" s="77" t="s">
        <x:v>1096</x:v>
      </x:c>
      <x:c r="H101" s="77" t="s">
        <x:v>1096</x:v>
      </x:c>
      <x:c r="I101" s="77" t="s">
        <x:v>1096</x:v>
      </x:c>
      <x:c r="J101" s="77" t="s">
        <x:v>1096</x:v>
      </x:c>
      <x:c r="K101" s="77" t="s">
        <x:v>1096</x:v>
      </x:c>
      <x:c r="L101" s="77" t="s">
        <x:v>1096</x:v>
      </x:c>
      <x:c r="M101" s="77" t="s">
        <x:v>1096</x:v>
      </x:c>
      <x:c r="N101" s="77" t="s">
        <x:v>1096</x:v>
      </x:c>
      <x:c r="O101" s="77" t="s">
        <x:v>1096</x:v>
      </x:c>
      <x:c r="P101" s="77" t="s">
        <x:v>1096</x:v>
      </x:c>
      <x:c r="Q101" s="77" t="s">
        <x:v>1096</x:v>
      </x:c>
      <x:c r="U101" s="189">
        <x:v>1</x:v>
      </x:c>
    </x:row>
    <x:row r="102" spans="2:17">
      <x:c r="B102" s="203"/>
      <x:c r="C102" s="206"/>
      <x:c r="D102" s="206"/>
      <x:c r="E102" s="204"/>
      <x:c r="F102" s="204"/>
      <x:c r="G102" s="204"/>
      <x:c r="H102" s="204"/>
      <x:c r="I102" s="204"/>
      <x:c r="J102" s="204"/>
      <x:c r="K102" s="204"/>
      <x:c r="L102" s="204"/>
      <x:c r="M102" s="204"/>
      <x:c r="N102" s="204"/>
      <x:c r="O102" s="204"/>
      <x:c r="P102" s="204"/>
      <x:c r="Q102" s="204"/>
    </x:row>
  </x:sheetData>
  <x:pageMargins left="0.25" right="0.25" top="0.25" bottom="0.25" header="0" footer="0"/>
  <x:pageSetup paperSize="9" scale="49" firstPageNumber="1" fitToWidth="1" fitToHeight="0" orientation="portrait" usePrinterDefaults="1" blackAndWhite="0" draft="0" useFirstPageNumber="0" horizontalDpi="600" verticalDpi="600" copies="1"/>
  <x:legacy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3"/>
  <x:dimension ref="B2:U149"/>
  <x:sheetViews>
    <x:sheetView showGridLines="0" topLeftCell="A1" zoomScaleNormal="100" zoomScaleSheetLayoutView="75" workbookViewId="0">
      <x:selection activeCell="A1" activeCellId="0" sqref="A1:A1"/>
    </x:sheetView>
  </x:sheetViews>
  <x:sheetFormatPr defaultColWidth="8.88671875" defaultRowHeight="11.25" customHeight="1"/>
  <x:cols>
    <x:col min="1" max="1" width="2.83203125" style="1" customWidth="1"/>
    <x:col min="2" max="2" width="28.33203125" style="1" customWidth="1"/>
    <x:col min="3" max="3" width="17.5" style="1" customWidth="1"/>
    <x:col min="4" max="4" width="35.6640625" style="1" hidden="1" customWidth="1" outlineLevel="1"/>
    <x:col min="5" max="5" width="12.33203125" style="1" customWidth="1" collapsed="1"/>
    <x:col min="6" max="6" width="14.6640625" style="1" customWidth="1"/>
    <x:col min="7" max="7" width="11.83203125" style="1" customWidth="1"/>
    <x:col min="8" max="8" width="12.6640625" style="1" customWidth="1"/>
    <x:col min="9" max="9" width="9.83203125" style="1" customWidth="1"/>
    <x:col min="10" max="11" width="10" style="1" customWidth="1"/>
    <x:col min="12" max="12" width="10.6640625" style="1" customWidth="1"/>
    <x:col min="20" max="20" width="22.6640625" style="1" hidden="1" customWidth="1" outlineLevel="1"/>
    <x:col min="21" max="21" width="11.33203125" style="1" hidden="1" customWidth="1" outlineLevel="1"/>
    <x:col min="22" max="22" width="8.83203125" style="1" collapsed="1"/>
  </x:cols>
  <x:sheetData>
    <x:row r="1"/>
    <x:row r="2" spans="2:4">
      <x:c r="B2" s="1" t="s">
        <x:v>112</x:v>
      </x:c>
      <x:c r="C2" s="3"/>
      <x:c r="D2" s="3"/>
    </x:row>
    <x:row r="3"/>
    <x:row r="4" spans="2:12" ht="16.5">
      <x:c r="B4" s="49" t="str">
        <x:f>'Cash_Flow'!B4</x:f>
        <x:v>International Business Machines Corporation</x:v>
      </x:c>
      <x:c r="C4" s="49"/>
      <x:c r="D4" s="90"/>
      <x:c r="E4" s="90"/>
      <x:c r="F4" s="52"/>
      <x:c r="G4" s="52"/>
      <x:c r="H4" s="52"/>
      <x:c r="I4" s="52"/>
      <x:c r="J4" s="52"/>
      <x:c r="K4" s="52"/>
      <x:c r="L4" s="104" t="s">
        <x:v>1558</x:v>
      </x:c>
    </x:row>
    <x:row r="5" spans="2:12" customHeight="1">
      <x:c r="B5" s="255"/>
      <x:c r="C5" s="255"/>
      <x:c r="D5" s="256"/>
      <x:c r="E5" s="256"/>
      <x:c r="F5" s="257"/>
      <x:c r="G5" s="257"/>
      <x:c r="H5" s="257"/>
      <x:c r="I5" s="257"/>
      <x:c r="J5" s="257"/>
      <x:c r="K5" s="257"/>
      <x:c r="L5" s="257"/>
    </x:row>
    <x:row r="6" spans="2:12" customHeight="1">
      <x:c r="B6" s="53"/>
      <x:c r="C6" s="53"/>
      <x:c r="D6" s="53"/>
      <x:c r="E6" s="250" t="s">
        <x:v>1430</x:v>
      </x:c>
      <x:c r="F6" s="54"/>
      <x:c r="G6" s="54"/>
      <x:c r="H6" s="54"/>
      <x:c r="I6" s="54"/>
      <x:c r="J6" s="54"/>
      <x:c r="K6" s="54"/>
      <x:c r="L6" s="258" t="s">
        <x:v>811</x:v>
      </x:c>
    </x:row>
    <x:row r="7" spans="2:12" hidden="1" customHeight="1" outlineLevel="1">
      <x:c r="B7" s="53"/>
      <x:c r="C7" s="53"/>
      <x:c r="D7" s="53"/>
      <x:c r="E7" s="58" t="str">
        <x:f>Key_Stats!$F$9</x:f>
        <x:v>NYSE:IBM</x:v>
      </x:c>
      <x:c r="F7" s="58" t="str">
        <x:f>Key_Stats!$F$9</x:f>
        <x:v>NYSE:IBM</x:v>
      </x:c>
      <x:c r="G7" s="58" t="str">
        <x:f>Key_Stats!$F$9</x:f>
        <x:v>NYSE:IBM</x:v>
      </x:c>
      <x:c r="H7" s="58" t="str">
        <x:f>Key_Stats!$F$9</x:f>
        <x:v>NYSE:IBM</x:v>
      </x:c>
      <x:c r="I7" s="58" t="str">
        <x:f>Key_Stats!$F$9</x:f>
        <x:v>NYSE:IBM</x:v>
      </x:c>
      <x:c r="J7" s="58" t="str">
        <x:f>Key_Stats!$F$9</x:f>
        <x:v>NYSE:IBM</x:v>
      </x:c>
      <x:c r="K7" s="58" t="str">
        <x:f>Key_Stats!$F$9</x:f>
        <x:v>NYSE:IBM</x:v>
      </x:c>
      <x:c r="L7" s="58" t="str">
        <x:f>Key_Stats!$F$9</x:f>
        <x:v>NYSE:IBM</x:v>
      </x:c>
    </x:row>
    <x:row r="8" spans="2:12" hidden="1" customHeight="1" outlineLevel="1">
      <x:c r="B8" s="53"/>
      <x:c r="C8" s="53"/>
      <x:c r="D8" s="53"/>
      <x:c r="E8" s="58" t="s">
        <x:v>811</x:v>
      </x:c>
      <x:c r="F8" s="58" t="s">
        <x:v>811</x:v>
      </x:c>
      <x:c r="G8" s="58" t="s">
        <x:v>811</x:v>
      </x:c>
      <x:c r="H8" s="58" t="s">
        <x:v>811</x:v>
      </x:c>
      <x:c r="I8" s="58" t="s">
        <x:v>811</x:v>
      </x:c>
      <x:c r="J8" s="58" t="s">
        <x:v>811</x:v>
      </x:c>
      <x:c r="K8" s="58" t="s">
        <x:v>811</x:v>
      </x:c>
      <x:c r="L8" s="58" t="s">
        <x:v>811</x:v>
      </x:c>
    </x:row>
    <x:row r="9" spans="2:12" hidden="1" customHeight="1" outlineLevel="1">
      <x:c r="B9" s="53"/>
      <x:c r="C9" s="53"/>
      <x:c r="D9" s="53"/>
      <x:c r="E9" s="58" t="s">
        <x:v>809</x:v>
      </x:c>
      <x:c r="F9" s="58" t="s">
        <x:v>809</x:v>
      </x:c>
      <x:c r="G9" s="58" t="s">
        <x:v>809</x:v>
      </x:c>
      <x:c r="H9" s="58" t="s">
        <x:v>809</x:v>
      </x:c>
      <x:c r="I9" s="58" t="s">
        <x:v>809</x:v>
      </x:c>
      <x:c r="J9" s="58" t="s">
        <x:v>809</x:v>
      </x:c>
      <x:c r="K9" s="58" t="s">
        <x:v>809</x:v>
      </x:c>
      <x:c r="L9" s="58" t="s">
        <x:v>809</x:v>
      </x:c>
    </x:row>
    <x:row r="10" spans="2:12" hidden="1" customHeight="1" outlineLevel="1">
      <x:c r="B10" s="53"/>
      <x:c r="C10" s="53"/>
      <x:c r="D10" s="53"/>
      <x:c r="E10" s="181">
        <x:f>IF(Key_Stats!$F$15="","",Key_Stats!$F$15)</x:f>
        <x:v>46059</x:v>
      </x:c>
      <x:c r="F10" s="181">
        <x:f>IF(Key_Stats!$F$15="","",Key_Stats!$F$15)</x:f>
        <x:v>46059</x:v>
      </x:c>
      <x:c r="G10" s="181">
        <x:f>IF(Key_Stats!$F$15="","",Key_Stats!$F$15)</x:f>
        <x:v>46059</x:v>
      </x:c>
      <x:c r="H10" s="181">
        <x:f>IF(Key_Stats!$F$15="","",Key_Stats!$F$15)</x:f>
        <x:v>46059</x:v>
      </x:c>
      <x:c r="I10" s="181">
        <x:f>IF(Key_Stats!$F$15="","",Key_Stats!$F$15)</x:f>
        <x:v>46059</x:v>
      </x:c>
      <x:c r="J10" s="181">
        <x:f>IF(Key_Stats!$F$15="","",Key_Stats!$F$15)</x:f>
        <x:v>46059</x:v>
      </x:c>
      <x:c r="K10" s="181">
        <x:f>IF(Key_Stats!$F$15="","",Key_Stats!$F$15)</x:f>
        <x:v>46059</x:v>
      </x:c>
      <x:c r="L10" s="181">
        <x:f>IF(Key_Stats!$F$15="","",Key_Stats!$F$15)</x:f>
        <x:v>46059</x:v>
      </x:c>
    </x:row>
    <x:row r="11" spans="2:12" hidden="1" customHeight="1" outlineLevel="1">
      <x:c r="B11" s="53"/>
      <x:c r="C11" s="53"/>
      <x:c r="D11" s="60"/>
      <x:c r="E11" s="200" t="s">
        <x:v>1893</x:v>
      </x:c>
      <x:c r="F11" s="200" t="s">
        <x:v>1893</x:v>
      </x:c>
      <x:c r="G11" s="200" t="s">
        <x:v>1893</x:v>
      </x:c>
      <x:c r="H11" s="200" t="s">
        <x:v>1893</x:v>
      </x:c>
      <x:c r="I11" s="200" t="s">
        <x:v>1893</x:v>
      </x:c>
      <x:c r="J11" s="200" t="s">
        <x:v>1893</x:v>
      </x:c>
      <x:c r="K11" s="200" t="s">
        <x:v>1893</x:v>
      </x:c>
      <x:c r="L11" s="200" t="s">
        <x:v>1893</x:v>
      </x:c>
    </x:row>
    <x:row r="12" spans="2:12" hidden="1" customHeight="1" outlineLevel="1">
      <x:c r="B12" s="53"/>
      <x:c r="C12" s="53"/>
      <x:c r="D12" s="60"/>
      <x:c r="E12" s="46"/>
      <x:c r="F12" s="46"/>
      <x:c r="G12" s="46"/>
      <x:c r="H12" s="46"/>
      <x:c r="I12" s="46"/>
      <x:c r="J12" s="46"/>
      <x:c r="K12" s="46"/>
      <x:c r="L12" s="46"/>
    </x:row>
    <x:row r="13" spans="2:21" customHeight="1" collapsed="1">
      <x:c r="B13" s="2"/>
      <x:c r="D13" s="211"/>
      <x:c r="E13" s="144">
        <x:f>IF(MONTH(F13)&lt;4,DATE(YEAR(F13)-1,12,31),IF(MONTH(F13)&lt;7,DATE(YEAR(F13),3,31),IF(MONTH(F13)&lt;10,DATE(YEAR(F13),6,30),DATE(YEAR(F13),9,30))))</x:f>
        <x:v>45473</x:v>
      </x:c>
      <x:c r="F13" s="144">
        <x:f>IF(MONTH(G13)&lt;4,DATE(YEAR(G13)-1,12,31),IF(MONTH(G13)&lt;7,DATE(YEAR(G13),3,31),IF(MONTH(G13)&lt;10,DATE(YEAR(G13),6,30),DATE(YEAR(G13),9,30))))</x:f>
        <x:v>45565</x:v>
      </x:c>
      <x:c r="G13" s="144">
        <x:f>IF(MONTH(H13)&lt;4,DATE(YEAR(H13)-1,12,31),IF(MONTH(H13)&lt;7,DATE(YEAR(H13),3,31),IF(MONTH(H13)&lt;10,DATE(YEAR(H13),6,30),DATE(YEAR(H13),9,30))))</x:f>
        <x:v>45657</x:v>
      </x:c>
      <x:c r="H13" s="144">
        <x:f>IF(MONTH(I13)&lt;4,DATE(YEAR(I13)-1,12,31),IF(MONTH(I13)&lt;7,DATE(YEAR(I13),3,31),IF(MONTH(I13)&lt;10,DATE(YEAR(I13),6,30),DATE(YEAR(I13),9,30))))</x:f>
        <x:v>45747</x:v>
      </x:c>
      <x:c r="I13" s="144">
        <x:f>IF(MONTH(J13)&lt;4,DATE(YEAR(J13)-1,12,31),IF(MONTH(J13)&lt;7,DATE(YEAR(J13),3,31),IF(MONTH(J13)&lt;10,DATE(YEAR(J13),6,30),DATE(YEAR(J13),9,30))))</x:f>
        <x:v>45838</x:v>
      </x:c>
      <x:c r="J13" s="144">
        <x:f>IF(MONTH(K13)&lt;4,DATE(YEAR(K13)-1,12,31),IF(MONTH(K13)&lt;7,DATE(YEAR(K13),3,31),IF(MONTH(K13)&lt;10,DATE(YEAR(K13),6,30),DATE(YEAR(K13),9,30))))</x:f>
        <x:v>45930</x:v>
      </x:c>
      <x:c r="K13" s="144">
        <x:f>IF(MONTH(L13)&lt;4,DATE(YEAR(L13)-1,12,31),IF(MONTH(L13)&lt;7,DATE(YEAR(L13),3,31),IF(MONTH(L13)&lt;10,DATE(YEAR(L13),6,30),DATE(YEAR(L13),9,30))))</x:f>
        <x:v>46022</x:v>
      </x:c>
      <x:c r="L13" s="144">
        <x:f>Key_Stats!$F$15</x:f>
        <x:v>46059</x:v>
      </x:c>
      <x:c r="T13" s="1" t="s">
        <x:v>1544</x:v>
      </x:c>
      <x:c r="U13" s="172">
        <x:f>IF(MONTH(E13)&lt;4,DATE(YEAR(E13)-1,12,31),IF(MONTH(E13)&lt;7,DATE(YEAR(E13),3,31),IF(MONTH(E13)&lt;10,DATE(YEAR(E13),6,30),DATE(YEAR(E13),9,30))))</x:f>
        <x:v>45382</x:v>
      </x:c>
    </x:row>
    <x:row r="15" spans="2:20" customHeight="1">
      <x:c r="B15" s="2" t="s">
        <x:v>2507</x:v>
      </x:c>
      <x:c r="C15" s="2" t="s">
        <x:v>1913</x:v>
      </x:c>
      <x:c r="D15" s="198" t="s">
        <x:v>626</x:v>
      </x:c>
      <x:c r="E15" s="209">
        <x:v>3.2909390952380946</x:v>
      </x:c>
      <x:c r="F15" s="209">
        <x:v>3.6293869687500009</x:v>
      </x:c>
      <x:c r="G15" s="209">
        <x:v>4.0316449999999993</x:v>
      </x:c>
      <x:c r="H15" s="209">
        <x:v>4.3174880163934422</x:v>
      </x:c>
      <x:c r="I15" s="209">
        <x:v>4.5724053333333332</x:v>
      </x:c>
      <x:c r="J15" s="209">
        <x:v>4.64201803076923</x:v>
      </x:c>
      <x:c r="K15" s="209">
        <x:v>5.0923107076923069</x:v>
      </x:c>
      <x:c r="L15" s="209">
        <x:v>5.0176660399999999</x:v>
      </x:c>
      <x:c r="T15" s="199">
        <x:f>IF(COUNT(E15:L15)&lt;&gt;0,1,"")</x:f>
        <x:v>1</x:v>
      </x:c>
    </x:row>
    <x:row r="16" spans="3:20" customHeight="1">
      <x:c r="C16" s="1" t="s">
        <x:v>1912</x:v>
      </x:c>
      <x:c r="D16" s="198" t="s">
        <x:v>626</x:v>
      </x:c>
      <x:c r="E16" s="209">
        <x:v>3.581969</x:v>
      </x:c>
      <x:c r="F16" s="209">
        <x:v>4.0413880000000004</x:v>
      </x:c>
      <x:c r="G16" s="209">
        <x:v>4.2602830000000003</x:v>
      </x:c>
      <x:c r="H16" s="209">
        <x:v>4.6002830000000001</x:v>
      </x:c>
      <x:c r="I16" s="209">
        <x:v>5.1472100000000003</x:v>
      </x:c>
      <x:c r="J16" s="209">
        <x:v>5.1472100000000003</x:v>
      </x:c>
      <x:c r="K16" s="209">
        <x:v>5.2937510000000003</x:v>
      </x:c>
      <x:c r="L16" s="209">
        <x:v>5.2537330000000004</x:v>
      </x:c>
      <x:c r="T16" s="199">
        <x:f t="shared" ref="T16:T79" si="0">IF(COUNT(E16:L16)&lt;&gt;0,1,"")</x:f>
        <x:v>1</x:v>
      </x:c>
    </x:row>
    <x:row r="17" spans="3:20" customHeight="1">
      <x:c r="C17" s="1" t="s">
        <x:v>814</x:v>
      </x:c>
      <x:c r="D17" s="198" t="s">
        <x:v>626</x:v>
      </x:c>
      <x:c r="E17" s="209">
        <x:v>3.1396320000000002</x:v>
      </x:c>
      <x:c r="F17" s="209">
        <x:v>3.2975449999999999</x:v>
      </x:c>
      <x:c r="G17" s="209">
        <x:v>3.770626</x:v>
      </x:c>
      <x:c r="H17" s="209">
        <x:v>3.9553189999999998</x:v>
      </x:c>
      <x:c r="I17" s="209">
        <x:v>3.9654560000000001</x:v>
      </x:c>
      <x:c r="J17" s="209">
        <x:v>4.2324140000000003</x:v>
      </x:c>
      <x:c r="K17" s="209">
        <x:v>4.8317050000000004</x:v>
      </x:c>
      <x:c r="L17" s="209">
        <x:v>4.7452170000000002</x:v>
      </x:c>
      <x:c r="T17" s="199">
        <x:f t="shared" si="0"/>
        <x:v>1</x:v>
      </x:c>
    </x:row>
    <x:row r="18" spans="3:20" customHeight="1">
      <x:c r="C18" s="1" t="s">
        <x:v>1923</x:v>
      </x:c>
      <x:c r="D18" s="198" t="s">
        <x:v>626</x:v>
      </x:c>
      <x:c r="E18" s="209">
        <x:v>3.2657259999999999</x:v>
      </x:c>
      <x:c r="F18" s="209">
        <x:v>4.006678</x:v>
      </x:c>
      <x:c r="G18" s="209">
        <x:v>3.9912230000000002</x:v>
      </x:c>
      <x:c r="H18" s="209">
        <x:v>4.3737279999999998</x:v>
      </x:c>
      <x:c r="I18" s="209">
        <x:v>5.1472100000000003</x:v>
      </x:c>
      <x:c r="J18" s="209">
        <x:v>4.9217440000000003</x:v>
      </x:c>
      <x:c r="K18" s="209">
        <x:v>5.025487</x:v>
      </x:c>
      <x:c r="L18" s="209">
        <x:v>4.7568429999999999</x:v>
      </x:c>
      <x:c r="T18" s="199">
        <x:f t="shared" si="0"/>
        <x:v>1</x:v>
      </x:c>
    </x:row>
    <x:row r="19" spans="3:20" customHeight="1">
      <x:c r="C19" s="1" t="s">
        <x:v>1917</x:v>
      </x:c>
      <x:c r="D19" s="198" t="s">
        <x:v>626</x:v>
      </x:c>
      <x:c r="E19" s="209">
        <x:v>3.2222149999999998</x:v>
      </x:c>
      <x:c r="F19" s="209">
        <x:v>3.5948020000000001</x:v>
      </x:c>
      <x:c r="G19" s="209">
        <x:v>4.0516550000000002</x:v>
      </x:c>
      <x:c r="H19" s="209">
        <x:v>4.3780130000000002</x:v>
      </x:c>
      <x:c r="I19" s="209">
        <x:v>4.6086419999999997</x:v>
      </x:c>
      <x:c r="J19" s="209">
        <x:v>4.5860240000000001</x:v>
      </x:c>
      <x:c r="K19" s="209">
        <x:v>5.1255319999999998</x:v>
      </x:c>
      <x:c r="L19" s="209">
        <x:v>5.025487</x:v>
      </x:c>
      <x:c r="T19" s="199">
        <x:f t="shared" si="0"/>
        <x:v>1</x:v>
      </x:c>
    </x:row>
    <x:row r="20" spans="3:20" customHeight="1">
      <x:c r="C20" s="1" t="s">
        <x:v>466</x:v>
      </x:c>
      <x:c r="D20" s="198" t="s">
        <x:v>626</x:v>
      </x:c>
      <x:c r="E20" s="209">
        <x:v>3.2222149999999998</x:v>
      </x:c>
      <x:c r="F20" s="209">
        <x:v>0.21082866421652233</x:v>
      </x:c>
      <x:c r="G20" s="209">
        <x:v>0.13755503770957053</x:v>
      </x:c>
      <x:c r="H20" s="209">
        <x:v>0.20873972783351971</x:v>
      </x:c>
      <x:c r="I20" s="209">
        <x:v>0.31180728742104286</x:v>
      </x:c>
      <x:c r="J20" s="209">
        <x:v>0.28329657476573628</x:v>
      </x:c>
      <x:c r="K20" s="209">
        <x:v>0.12721108258443881</x:v>
      </x:c>
      <x:c r="L20" s="209">
        <x:v>0.12940463898511362</x:v>
      </x:c>
      <x:c r="T20" s="199">
        <x:f t="shared" si="0"/>
        <x:v>1</x:v>
      </x:c>
    </x:row>
    <x:row r="21" spans="4:20" customHeight="1">
      <x:c r="D21" s="60"/>
      <x:c r="E21" s="210"/>
      <x:c r="F21" s="210"/>
      <x:c r="G21" s="210"/>
      <x:c r="H21" s="210"/>
      <x:c r="I21" s="210"/>
      <x:c r="J21" s="210"/>
      <x:c r="K21" s="210"/>
      <x:c r="L21" s="210"/>
      <x:c r="T21" s="247">
        <x:v>1</x:v>
      </x:c>
    </x:row>
    <x:row r="22" spans="2:20" customHeight="1">
      <x:c r="B22" s="2" t="s">
        <x:v>2508</x:v>
      </x:c>
      <x:c r="C22" s="2" t="s">
        <x:v>1913</x:v>
      </x:c>
      <x:c r="D22" s="60" t="s">
        <x:v>2396</x:v>
      </x:c>
      <x:c r="E22" s="209">
        <x:v>3.2123010581729035</x:v>
      </x:c>
      <x:c r="F22" s="209">
        <x:v>3.5334941109136593</x:v>
      </x:c>
      <x:c r="G22" s="209">
        <x:v>3.9142205685422775</x:v>
      </x:c>
      <x:c r="H22" s="209">
        <x:v>4.1685892497086883</x:v>
      </x:c>
      <x:c r="I22" s="209">
        <x:v>4.3165689031208272</x:v>
      </x:c>
      <x:c r="J22" s="209">
        <x:v>4.3453268425242371</x:v>
      </x:c>
      <x:c r="K22" s="209">
        <x:v>4.7962833807483962</x:v>
      </x:c>
      <x:c r="L22" s="209">
        <x:v>4.7447710593367614</x:v>
      </x:c>
      <x:c r="T22" s="199">
        <x:f>IF(COUNT(E22:L22)&lt;&gt;0,1,"")</x:f>
        <x:v>1</x:v>
      </x:c>
    </x:row>
    <x:row r="23" spans="3:20" customHeight="1">
      <x:c r="C23" s="1" t="s">
        <x:v>1912</x:v>
      </x:c>
      <x:c r="D23" s="60" t="s">
        <x:v>2396</x:v>
      </x:c>
      <x:c r="E23" s="209">
        <x:v>3.4740454868607</x:v>
      </x:c>
      <x:c r="F23" s="209">
        <x:v>3.9304208316601001</x:v>
      </x:c>
      <x:c r="G23" s="209">
        <x:v>4.1310461448606999</x:v>
      </x:c>
      <x:c r="H23" s="209">
        <x:v>4.4382073530646</x:v>
      </x:c>
      <x:c r="I23" s="209">
        <x:v>4.8262319834968999</x:v>
      </x:c>
      <x:c r="J23" s="209">
        <x:v>4.8262319834968999</x:v>
      </x:c>
      <x:c r="K23" s="209">
        <x:v>4.9919159604057004</x:v>
      </x:c>
      <x:c r="L23" s="209">
        <x:v>4.9501355645195</x:v>
      </x:c>
      <x:c r="T23" s="199">
        <x:f t="shared" si="0"/>
        <x:v>1</x:v>
      </x:c>
    </x:row>
    <x:row r="24" spans="3:20" customHeight="1">
      <x:c r="C24" s="1" t="s">
        <x:v>814</x:v>
      </x:c>
      <x:c r="D24" s="60" t="s">
        <x:v>2396</x:v>
      </x:c>
      <x:c r="E24" s="209">
        <x:v>3.0726909303653001</x:v>
      </x:c>
      <x:c r="F24" s="209">
        <x:v>3.1998168155064999</x:v>
      </x:c>
      <x:c r="G24" s="209">
        <x:v>3.6562429815852999</x:v>
      </x:c>
      <x:c r="H24" s="209">
        <x:v>3.8409370356832002</x:v>
      </x:c>
      <x:c r="I24" s="209">
        <x:v>3.8323325146106</x:v>
      </x:c>
      <x:c r="J24" s="209">
        <x:v>3.9652230674139002</x:v>
      </x:c>
      <x:c r="K24" s="209">
        <x:v>4.5248789250180996</x:v>
      </x:c>
      <x:c r="L24" s="209">
        <x:v>4.5020132406851996</x:v>
      </x:c>
      <x:c r="T24" s="199">
        <x:f t="shared" si="0"/>
        <x:v>1</x:v>
      </x:c>
    </x:row>
    <x:row r="25" spans="3:20" customHeight="1">
      <x:c r="C25" s="1" t="s">
        <x:v>1923</x:v>
      </x:c>
      <x:c r="D25" s="60" t="s">
        <x:v>2396</x:v>
      </x:c>
      <x:c r="E25" s="209">
        <x:v>3.1998168155064999</x:v>
      </x:c>
      <x:c r="F25" s="209">
        <x:v>3.8977312176850001</x:v>
      </x:c>
      <x:c r="G25" s="209">
        <x:v>3.8700751505711</x:v>
      </x:c>
      <x:c r="H25" s="209">
        <x:v>4.2251429481749003</x:v>
      </x:c>
      <x:c r="I25" s="209">
        <x:v>4.8262319834968999</x:v>
      </x:c>
      <x:c r="J25" s="209">
        <x:v>4.6065853031802</x:v>
      </x:c>
      <x:c r="K25" s="209">
        <x:v>4.7331702553908999</x:v>
      </x:c>
      <x:c r="L25" s="209" t="s">
        <x:v>818</x:v>
      </x:c>
      <x:c r="T25" s="199">
        <x:f t="shared" si="0"/>
        <x:v>1</x:v>
      </x:c>
    </x:row>
    <x:row r="26" spans="3:20" customHeight="1">
      <x:c r="C26" s="1" t="s">
        <x:v>1917</x:v>
      </x:c>
      <x:c r="D26" s="60" t="s">
        <x:v>2396</x:v>
      </x:c>
      <x:c r="E26" s="209">
        <x:v>3.16180554312285</x:v>
      </x:c>
      <x:c r="F26" s="209">
        <x:v>3.5037175713929001</x:v>
      </x:c>
      <x:c r="G26" s="209">
        <x:v>3.9286722658317998</x:v>
      </x:c>
      <x:c r="H26" s="209">
        <x:v>4.2222717398562004</x:v>
      </x:c>
      <x:c r="I26" s="209">
        <x:v>4.3305143462979494</x:v>
      </x:c>
      <x:c r="J26" s="209">
        <x:v>4.2711248491612999</x:v>
      </x:c>
      <x:c r="K26" s="209">
        <x:v>4.8396453434557998</x:v>
      </x:c>
      <x:c r="L26" s="209">
        <x:v>4.7333864156644996</x:v>
      </x:c>
      <x:c r="T26" s="199">
        <x:f t="shared" si="0"/>
        <x:v>1</x:v>
      </x:c>
    </x:row>
    <x:row r="27" spans="3:20" customHeight="1">
      <x:c r="C27" s="1" t="s">
        <x:v>466</x:v>
      </x:c>
      <x:c r="D27" s="60" t="s">
        <x:v>2396</x:v>
      </x:c>
      <x:c r="E27" s="209">
        <x:v>3.16180554312285</x:v>
      </x:c>
      <x:c r="F27" s="209">
        <x:v>0.19908087096520591</x:v>
      </x:c>
      <x:c r="G27" s="209">
        <x:v>0.1356354465161469</x:v>
      </x:c>
      <x:c r="H27" s="209">
        <x:v>0.1911445298061191</x:v>
      </x:c>
      <x:c r="I27" s="209">
        <x:v>0.25747991763657874</x:v>
      </x:c>
      <x:c r="J27" s="209">
        <x:v>0.26761674610241293</x:v>
      </x:c>
      <x:c r="K27" s="209">
        <x:v>0.12407563758813259</x:v>
      </x:c>
      <x:c r="L27" s="209">
        <x:v>0.1033434315758938</x:v>
      </x:c>
      <x:c r="T27" s="199">
        <x:f t="shared" si="0"/>
        <x:v>1</x:v>
      </x:c>
    </x:row>
    <x:row r="28" spans="4:20" customHeight="1">
      <x:c r="D28" s="60"/>
      <x:c r="E28" s="210"/>
      <x:c r="F28" s="210"/>
      <x:c r="G28" s="210"/>
      <x:c r="H28" s="210"/>
      <x:c r="I28" s="210"/>
      <x:c r="J28" s="210"/>
      <x:c r="K28" s="210"/>
      <x:c r="L28" s="210"/>
      <x:c r="T28" s="247">
        <x:v>1</x:v>
      </x:c>
    </x:row>
    <x:row r="29" spans="2:20" customHeight="1">
      <x:c r="B29" s="2" t="s">
        <x:v>476</x:v>
      </x:c>
      <x:c r="C29" s="2" t="s">
        <x:v>1913</x:v>
      </x:c>
      <x:c r="D29" s="60" t="s">
        <x:v>2107</x:v>
      </x:c>
      <x:c r="E29" s="209">
        <x:v>13.616722126984126</x:v>
      </x:c>
      <x:c r="F29" s="209">
        <x:v>14.863069281250002</x:v>
      </x:c>
      <x:c r="G29" s="209">
        <x:v>16.471817230769233</x:v>
      </x:c>
      <x:c r="H29" s="209">
        <x:v>18.367827081967214</x:v>
      </x:c>
      <x:c r="I29" s="209">
        <x:v>19.809238730158732</x:v>
      </x:c>
      <x:c r="J29" s="209">
        <x:v>19.395325646153843</x:v>
      </x:c>
      <x:c r="K29" s="209">
        <x:v>20.516501430769232</x:v>
      </x:c>
      <x:c r="L29" s="209">
        <x:v>19.694280320000004</x:v>
      </x:c>
      <x:c r="T29" s="199">
        <x:f>IF(COUNT(E29:L29)&lt;&gt;0,1,"")</x:f>
        <x:v>1</x:v>
      </x:c>
    </x:row>
    <x:row r="30" spans="3:20" customHeight="1">
      <x:c r="C30" s="1" t="s">
        <x:v>1912</x:v>
      </x:c>
      <x:c r="D30" s="60" t="s">
        <x:v>2107</x:v>
      </x:c>
      <x:c r="E30" s="209">
        <x:v>14.848261000000001</x:v>
      </x:c>
      <x:c r="F30" s="209">
        <x:v>16.494038</x:v>
      </x:c>
      <x:c r="G30" s="209">
        <x:v>17.377973999999998</x:v>
      </x:c>
      <x:c r="H30" s="209">
        <x:v>20.176662</x:v>
      </x:c>
      <x:c r="I30" s="209">
        <x:v>22.160064999999999</x:v>
      </x:c>
      <x:c r="J30" s="209">
        <x:v>22.160064999999999</x:v>
      </x:c>
      <x:c r="K30" s="209">
        <x:v>21.157858000000001</x:v>
      </x:c>
      <x:c r="L30" s="209">
        <x:v>20.997914999999999</x:v>
      </x:c>
      <x:c r="T30" s="199">
        <x:f t="shared" si="0"/>
        <x:v>1</x:v>
      </x:c>
    </x:row>
    <x:row r="31" spans="3:20" customHeight="1">
      <x:c r="C31" s="1" t="s">
        <x:v>814</x:v>
      </x:c>
      <x:c r="D31" s="60" t="s">
        <x:v>2107</x:v>
      </x:c>
      <x:c r="E31" s="209">
        <x:v>12.971482999999999</x:v>
      </x:c>
      <x:c r="F31" s="209">
        <x:v>13.623905000000001</x:v>
      </x:c>
      <x:c r="G31" s="209">
        <x:v>15.380630999999999</x:v>
      </x:c>
      <x:c r="H31" s="209">
        <x:v>16.134004000000001</x:v>
      </x:c>
      <x:c r="I31" s="209">
        <x:v>17.530415000000001</x:v>
      </x:c>
      <x:c r="J31" s="209">
        <x:v>17.486131</x:v>
      </x:c>
      <x:c r="K31" s="209">
        <x:v>19.445330999999999</x:v>
      </x:c>
      <x:c r="L31" s="209">
        <x:v>17.718152</x:v>
      </x:c>
      <x:c r="T31" s="199">
        <x:f t="shared" si="0"/>
        <x:v>1</x:v>
      </x:c>
    </x:row>
    <x:row r="32" spans="3:20" customHeight="1">
      <x:c r="C32" s="1" t="s">
        <x:v>1923</x:v>
      </x:c>
      <x:c r="D32" s="60" t="s">
        <x:v>2107</x:v>
      </x:c>
      <x:c r="E32" s="209">
        <x:v>13.492442</x:v>
      </x:c>
      <x:c r="F32" s="209">
        <x:v>16.352373</x:v>
      </x:c>
      <x:c r="G32" s="209">
        <x:v>16.280460000000001</x:v>
      </x:c>
      <x:c r="H32" s="209">
        <x:v>19.335298000000002</x:v>
      </x:c>
      <x:c r="I32" s="209">
        <x:v>22.160064999999999</x:v>
      </x:c>
      <x:c r="J32" s="209">
        <x:v>20.334084000000001</x:v>
      </x:c>
      <x:c r="K32" s="209">
        <x:v>20.085671999999999</x:v>
      </x:c>
      <x:c r="L32" s="209">
        <x:v>17.761562999999999</x:v>
      </x:c>
      <x:c r="T32" s="199">
        <x:f t="shared" si="0"/>
        <x:v>1</x:v>
      </x:c>
    </x:row>
    <x:row r="33" spans="3:20" customHeight="1">
      <x:c r="C33" s="1" t="s">
        <x:v>1917</x:v>
      </x:c>
      <x:c r="D33" s="60" t="s">
        <x:v>2107</x:v>
      </x:c>
      <x:c r="E33" s="209">
        <x:v>13.334588999999999</x:v>
      </x:c>
      <x:c r="F33" s="209">
        <x:v>14.701332000000001</x:v>
      </x:c>
      <x:c r="G33" s="209">
        <x:v>16.526964</x:v>
      </x:c>
      <x:c r="H33" s="209">
        <x:v>19.030891</x:v>
      </x:c>
      <x:c r="I33" s="209">
        <x:v>19.841388999999999</x:v>
      </x:c>
      <x:c r="J33" s="209">
        <x:v>18.947067000000001</x:v>
      </x:c>
      <x:c r="K33" s="209">
        <x:v>20.57978</x:v>
      </x:c>
      <x:c r="L33" s="209">
        <x:v>20.01484</x:v>
      </x:c>
      <x:c r="T33" s="199">
        <x:f t="shared" si="0"/>
        <x:v>1</x:v>
      </x:c>
    </x:row>
    <x:row r="34" spans="3:20" customHeight="1">
      <x:c r="C34" s="1" t="s">
        <x:v>466</x:v>
      </x:c>
      <x:c r="D34" s="60" t="s">
        <x:v>2107</x:v>
      </x:c>
      <x:c r="E34" s="209">
        <x:v>13.334588999999999</x:v>
      </x:c>
      <x:c r="F34" s="209">
        <x:v>0.80771562352363224</x:v>
      </x:c>
      <x:c r="G34" s="209">
        <x:v>0.55495579473985823</x:v>
      </x:c>
      <x:c r="H34" s="209">
        <x:v>1.3363767628616248</x:v>
      </x:c>
      <x:c r="I34" s="209">
        <x:v>1.2080331772812103</x:v>
      </x:c>
      <x:c r="J34" s="209">
        <x:v>1.4914440297929419</x:v>
      </x:c>
      <x:c r="K34" s="209">
        <x:v>0.38395656625784985</x:v>
      </x:c>
      <x:c r="L34" s="209">
        <x:v>0.98918705364862625</x:v>
      </x:c>
      <x:c r="T34" s="199">
        <x:f t="shared" si="0"/>
        <x:v>1</x:v>
      </x:c>
    </x:row>
    <x:row r="35" spans="4:20" customHeight="1">
      <x:c r="D35" s="198"/>
      <x:c r="E35" s="210"/>
      <x:c r="F35" s="210"/>
      <x:c r="G35" s="210"/>
      <x:c r="H35" s="210"/>
      <x:c r="I35" s="210"/>
      <x:c r="J35" s="210"/>
      <x:c r="K35" s="210"/>
      <x:c r="L35" s="210"/>
      <x:c r="T35" s="247">
        <x:v>1</x:v>
      </x:c>
    </x:row>
    <x:row r="36" spans="2:20" customHeight="1">
      <x:c r="B36" s="2" t="s">
        <x:v>461</x:v>
      </x:c>
      <x:c r="C36" s="2" t="s">
        <x:v>1913</x:v>
      </x:c>
      <x:c r="D36" s="60" t="s">
        <x:v>627</x:v>
      </x:c>
      <x:c r="E36" s="209">
        <x:v>12.578059746448092</x:v>
      </x:c>
      <x:c r="F36" s="209">
        <x:v>13.834844282166772</x:v>
      </x:c>
      <x:c r="G36" s="209">
        <x:v>14.743790920614323</x:v>
      </x:c>
      <x:c r="H36" s="209">
        <x:v>15.686335945355696</x:v>
      </x:c>
      <x:c r="I36" s="209">
        <x:v>16.257969542313322</x:v>
      </x:c>
      <x:c r="J36" s="209">
        <x:v>16.100947430933715</x:v>
      </x:c>
      <x:c r="K36" s="209">
        <x:v>17.410961023722905</x:v>
      </x:c>
      <x:c r="L36" s="209">
        <x:v>16.952171106712456</x:v>
      </x:c>
      <x:c r="T36" s="199">
        <x:f>IF(COUNT(E36:L36)&lt;&gt;0,1,"")</x:f>
        <x:v>1</x:v>
      </x:c>
    </x:row>
    <x:row r="37" spans="3:20" customHeight="1">
      <x:c r="C37" s="1" t="s">
        <x:v>1912</x:v>
      </x:c>
      <x:c r="D37" s="60" t="s">
        <x:v>627</x:v>
      </x:c>
      <x:c r="E37" s="209">
        <x:v>13.9100147954122</x:v>
      </x:c>
      <x:c r="F37" s="209">
        <x:v>15.423001682083299</x:v>
      </x:c>
      <x:c r="G37" s="209">
        <x:v>16.095571262206899</x:v>
      </x:c>
      <x:c r="H37" s="209">
        <x:v>16.879105270516899</x:v>
      </x:c>
      <x:c r="I37" s="209">
        <x:v>18.079372468700299</x:v>
      </x:c>
      <x:c r="J37" s="209">
        <x:v>18.079372468700299</x:v>
      </x:c>
      <x:c r="K37" s="209">
        <x:v>18.0185552207484</x:v>
      </x:c>
      <x:c r="L37" s="209">
        <x:v>17.645213738684099</x:v>
      </x:c>
      <x:c r="T37" s="199">
        <x:f t="shared" si="0"/>
        <x:v>1</x:v>
      </x:c>
    </x:row>
    <x:row r="38" spans="3:20" customHeight="1">
      <x:c r="C38" s="1" t="s">
        <x:v>814</x:v>
      </x:c>
      <x:c r="D38" s="60" t="s">
        <x:v>627</x:v>
      </x:c>
      <x:c r="E38" s="209">
        <x:v>11.935739053094901</x:v>
      </x:c>
      <x:c r="F38" s="209">
        <x:v>12.415100471471099</x:v>
      </x:c>
      <x:c r="G38" s="209">
        <x:v>13.5697585262771</x:v>
      </x:c>
      <x:c r="H38" s="209">
        <x:v>14.096619765819501</x:v>
      </x:c>
      <x:c r="I38" s="209">
        <x:v>14.5734793238422</x:v>
      </x:c>
      <x:c r="J38" s="209">
        <x:v>14.628429143758</x:v>
      </x:c>
      <x:c r="K38" s="209">
        <x:v>16.5372758251923</x:v>
      </x:c>
      <x:c r="L38" s="209">
        <x:v>15.558076851501101</x:v>
      </x:c>
      <x:c r="T38" s="199">
        <x:f t="shared" si="0"/>
        <x:v>1</x:v>
      </x:c>
    </x:row>
    <x:row r="39" spans="3:20" customHeight="1">
      <x:c r="C39" s="1" t="s">
        <x:v>1923</x:v>
      </x:c>
      <x:c r="D39" s="60" t="s">
        <x:v>627</x:v>
      </x:c>
      <x:c r="E39" s="209">
        <x:v>12.415100471471099</x:v>
      </x:c>
      <x:c r="F39" s="209">
        <x:v>15.290536503680199</x:v>
      </x:c>
      <x:c r="G39" s="209">
        <x:v>14.363644222292899</x:v>
      </x:c>
      <x:c r="H39" s="209">
        <x:v>16.018183673979099</x:v>
      </x:c>
      <x:c r="I39" s="209">
        <x:v>18.079372468700299</x:v>
      </x:c>
      <x:c r="J39" s="209">
        <x:v>17.0109504779677</x:v>
      </x:c>
      <x:c r="K39" s="209">
        <x:v>17.1054552924709</x:v>
      </x:c>
      <x:c r="L39" s="209" t="s">
        <x:v>818</x:v>
      </x:c>
      <x:c r="T39" s="199">
        <x:f t="shared" si="0"/>
        <x:v>1</x:v>
      </x:c>
    </x:row>
    <x:row r="40" spans="3:20" customHeight="1">
      <x:c r="C40" s="1" t="s">
        <x:v>1917</x:v>
      </x:c>
      <x:c r="D40" s="60" t="s">
        <x:v>627</x:v>
      </x:c>
      <x:c r="E40" s="209">
        <x:v>12.26009569359455</x:v>
      </x:c>
      <x:c r="F40" s="209">
        <x:v>13.7516857076156</x:v>
      </x:c>
      <x:c r="G40" s="209">
        <x:v>14.698639525987</x:v>
      </x:c>
      <x:c r="H40" s="209">
        <x:v>16.042740381568901</x:v>
      </x:c>
      <x:c r="I40" s="209">
        <x:v>16.200141652268599</x:v>
      </x:c>
      <x:c r="J40" s="209">
        <x:v>15.772180153516601</x:v>
      </x:c>
      <x:c r="K40" s="209">
        <x:v>17.507764104751999</x:v>
      </x:c>
      <x:c r="L40" s="209">
        <x:v>16.9701495742624</x:v>
      </x:c>
      <x:c r="T40" s="199">
        <x:f t="shared" si="0"/>
        <x:v>1</x:v>
      </x:c>
    </x:row>
    <x:row r="41" spans="3:20" customHeight="1">
      <x:c r="C41" s="1" t="s">
        <x:v>466</x:v>
      </x:c>
      <x:c r="D41" s="60" t="s">
        <x:v>627</x:v>
      </x:c>
      <x:c r="E41" s="209">
        <x:v>12.26009569359455</x:v>
      </x:c>
      <x:c r="F41" s="209">
        <x:v>0.82068011951553443</x:v>
      </x:c>
      <x:c r="G41" s="209">
        <x:v>0.7506625284385452</x:v>
      </x:c>
      <x:c r="H41" s="209">
        <x:v>0.95112347962168264</x:v>
      </x:c>
      <x:c r="I41" s="209">
        <x:v>0.88057774076826378</x:v>
      </x:c>
      <x:c r="J41" s="209">
        <x:v>1.0931593092731871</x:v>
      </x:c>
      <x:c r="K41" s="209">
        <x:v>0.34478717471868825</x:v>
      </x:c>
      <x:c r="L41" s="209">
        <x:v>0.44894493616443359</x:v>
      </x:c>
      <x:c r="T41" s="199">
        <x:f t="shared" si="0"/>
        <x:v>1</x:v>
      </x:c>
    </x:row>
    <x:row r="42" spans="4:20" customHeight="1">
      <x:c r="D42" s="60"/>
      <x:c r="E42" s="209"/>
      <x:c r="F42" s="209"/>
      <x:c r="G42" s="209"/>
      <x:c r="H42" s="209"/>
      <x:c r="I42" s="209"/>
      <x:c r="J42" s="209"/>
      <x:c r="K42" s="209"/>
      <x:c r="L42" s="209"/>
      <x:c r="T42" s="247">
        <x:v>1</x:v>
      </x:c>
    </x:row>
    <x:row r="43" spans="2:20" customHeight="1">
      <x:c r="B43" s="2" t="s">
        <x:v>2213</x:v>
      </x:c>
      <x:c r="C43" s="2" t="s">
        <x:v>1913</x:v>
      </x:c>
      <x:c r="D43" s="60" t="s">
        <x:v>1254</x:v>
      </x:c>
      <x:c r="E43" s="209">
        <x:v>20.592357095238096</x:v>
      </x:c>
      <x:c r="F43" s="209">
        <x:v>22.661804453124997</x:v>
      </x:c>
      <x:c r="G43" s="209">
        <x:v>25.323688369230762</x:v>
      </x:c>
      <x:c r="H43" s="209">
        <x:v>28.227771196721307</x:v>
      </x:c>
      <x:c r="I43" s="209">
        <x:v>28.619890428571434</x:v>
      </x:c>
      <x:c r="J43" s="209">
        <x:v>27.740187338461531</x:v>
      </x:c>
      <x:c r="K43" s="209">
        <x:v>29.134463969230762</x:v>
      </x:c>
      <x:c r="L43" s="209">
        <x:v>28.555002159999994</x:v>
      </x:c>
      <x:c r="T43" s="199">
        <x:f>IF(COUNT(E43:L43)&lt;&gt;0,1,"")</x:f>
        <x:v>1</x:v>
      </x:c>
    </x:row>
    <x:row r="44" spans="3:20" customHeight="1">
      <x:c r="C44" s="1" t="s">
        <x:v>1912</x:v>
      </x:c>
      <x:c r="D44" s="60" t="s">
        <x:v>1254</x:v>
      </x:c>
      <x:c r="E44" s="209">
        <x:v>22.393187999999999</x:v>
      </x:c>
      <x:c r="F44" s="209">
        <x:v>25.216322000000002</x:v>
      </x:c>
      <x:c r="G44" s="209">
        <x:v>26.963956</x:v>
      </x:c>
      <x:c r="H44" s="209">
        <x:v>31.947937</x:v>
      </x:c>
      <x:c r="I44" s="209">
        <x:v>31.979583000000002</x:v>
      </x:c>
      <x:c r="J44" s="209">
        <x:v>31.979583000000002</x:v>
      </x:c>
      <x:c r="K44" s="209">
        <x:v>30.020106999999999</x:v>
      </x:c>
      <x:c r="L44" s="209">
        <x:v>29.793171000000001</x:v>
      </x:c>
      <x:c r="T44" s="199">
        <x:f t="shared" si="0"/>
        <x:v>1</x:v>
      </x:c>
    </x:row>
    <x:row r="45" spans="3:20" customHeight="1">
      <x:c r="C45" s="1" t="s">
        <x:v>814</x:v>
      </x:c>
      <x:c r="D45" s="60" t="s">
        <x:v>1254</x:v>
      </x:c>
      <x:c r="E45" s="209">
        <x:v>19.630687999999999</x:v>
      </x:c>
      <x:c r="F45" s="209">
        <x:v>20.618044000000001</x:v>
      </x:c>
      <x:c r="G45" s="209">
        <x:v>23.667581999999999</x:v>
      </x:c>
      <x:c r="H45" s="209">
        <x:v>24.826865999999999</x:v>
      </x:c>
      <x:c r="I45" s="209">
        <x:v>25.423400000000001</x:v>
      </x:c>
      <x:c r="J45" s="209">
        <x:v>24.925857000000001</x:v>
      </x:c>
      <x:c r="K45" s="209">
        <x:v>27.118624000000001</x:v>
      </x:c>
      <x:c r="L45" s="209">
        <x:v>27.257652</x:v>
      </x:c>
      <x:c r="T45" s="199">
        <x:f t="shared" si="0"/>
        <x:v>1</x:v>
      </x:c>
    </x:row>
    <x:row r="46" spans="3:20" customHeight="1">
      <x:c r="C46" s="1" t="s">
        <x:v>1923</x:v>
      </x:c>
      <x:c r="D46" s="60" t="s">
        <x:v>1254</x:v>
      </x:c>
      <x:c r="E46" s="209">
        <x:v>20.419091999999999</x:v>
      </x:c>
      <x:c r="F46" s="209">
        <x:v>24.999744</x:v>
      </x:c>
      <x:c r="G46" s="209">
        <x:v>25.052230999999999</x:v>
      </x:c>
      <x:c r="H46" s="209">
        <x:v>28.040921999999998</x:v>
      </x:c>
      <x:c r="I46" s="209">
        <x:v>31.979583000000002</x:v>
      </x:c>
      <x:c r="J46" s="209">
        <x:v>28.985513000000001</x:v>
      </x:c>
      <x:c r="K46" s="209">
        <x:v>28.498822000000001</x:v>
      </x:c>
      <x:c r="L46" s="209">
        <x:v>27.324435999999999</x:v>
      </x:c>
      <x:c r="T46" s="199">
        <x:f t="shared" si="0"/>
        <x:v>1</x:v>
      </x:c>
    </x:row>
    <x:row r="47" spans="3:20" customHeight="1">
      <x:c r="C47" s="1" t="s">
        <x:v>1917</x:v>
      </x:c>
      <x:c r="D47" s="60" t="s">
        <x:v>1254</x:v>
      </x:c>
      <x:c r="E47" s="209">
        <x:v>20.181276</x:v>
      </x:c>
      <x:c r="F47" s="209">
        <x:v>22.429837499999998</x:v>
      </x:c>
      <x:c r="G47" s="209">
        <x:v>25.453175999999999</x:v>
      </x:c>
      <x:c r="H47" s="209">
        <x:v>28.158394000000001</x:v>
      </x:c>
      <x:c r="I47" s="209">
        <x:v>28.633461</x:v>
      </x:c>
      <x:c r="J47" s="209">
        <x:v>27.008368999999998</x:v>
      </x:c>
      <x:c r="K47" s="209">
        <x:v>29.199894</x:v>
      </x:c>
      <x:c r="L47" s="209">
        <x:v>28.540966999999998</x:v>
      </x:c>
      <x:c r="T47" s="199">
        <x:f t="shared" si="0"/>
        <x:v>1</x:v>
      </x:c>
    </x:row>
    <x:row r="48" spans="3:20" customHeight="1">
      <x:c r="C48" s="1" t="s">
        <x:v>466</x:v>
      </x:c>
      <x:c r="D48" s="60" t="s">
        <x:v>1254</x:v>
      </x:c>
      <x:c r="E48" s="209">
        <x:v>20.181276</x:v>
      </x:c>
      <x:c r="F48" s="209">
        <x:v>1.300149611623427</x:v>
      </x:c>
      <x:c r="G48" s="209">
        <x:v>0.8295717114344765</x:v>
      </x:c>
      <x:c r="H48" s="209">
        <x:v>2.3526658793229434</x:v>
      </x:c>
      <x:c r="I48" s="209">
        <x:v>1.711135041684503</x:v>
      </x:c>
      <x:c r="J48" s="209">
        <x:v>2.2724905871928285</x:v>
      </x:c>
      <x:c r="K48" s="209">
        <x:v>0.56863787402043176</x:v>
      </x:c>
      <x:c r="L48" s="209">
        <x:v>0.64941279557970177</x:v>
      </x:c>
      <x:c r="T48" s="199">
        <x:f t="shared" si="0"/>
        <x:v>1</x:v>
      </x:c>
    </x:row>
    <x:row r="49" spans="4:20" customHeight="1">
      <x:c r="D49" s="60"/>
      <x:c r="E49" s="210"/>
      <x:c r="F49" s="210"/>
      <x:c r="G49" s="210"/>
      <x:c r="H49" s="210"/>
      <x:c r="I49" s="210"/>
      <x:c r="J49" s="210"/>
      <x:c r="K49" s="210"/>
      <x:c r="L49" s="210"/>
      <x:c r="T49" s="247">
        <x:v>1</x:v>
      </x:c>
    </x:row>
    <x:row r="50" spans="2:20" customHeight="1">
      <x:c r="B50" s="2" t="s">
        <x:v>2208</x:v>
      </x:c>
      <x:c r="C50" s="2" t="s">
        <x:v>1913</x:v>
      </x:c>
      <x:c r="D50" s="60" t="s">
        <x:v>2111</x:v>
      </x:c>
      <x:c r="E50" s="209">
        <x:v>17.230757557488559</x:v>
      </x:c>
      <x:c r="F50" s="209">
        <x:v>19.340241760747602</x:v>
      </x:c>
      <x:c r="G50" s="209">
        <x:v>20.829989640059761</x:v>
      </x:c>
      <x:c r="H50" s="209">
        <x:v>22.053056022189683</x:v>
      </x:c>
      <x:c r="I50" s="209">
        <x:v>21.914906538778808</x:v>
      </x:c>
      <x:c r="J50" s="209">
        <x:v>21.548370797793499</x:v>
      </x:c>
      <x:c r="K50" s="209">
        <x:v>23.539694599971895</x:v>
      </x:c>
      <x:c r="L50" s="209">
        <x:v>23.261462390450458</x:v>
      </x:c>
      <x:c r="T50" s="199">
        <x:f>IF(COUNT(E50:L50)&lt;&gt;0,1,"")</x:f>
        <x:v>1</x:v>
      </x:c>
    </x:row>
    <x:row r="51" spans="3:20" customHeight="1">
      <x:c r="C51" s="1" t="s">
        <x:v>1912</x:v>
      </x:c>
      <x:c r="D51" s="60" t="s">
        <x:v>2111</x:v>
      </x:c>
      <x:c r="E51" s="209">
        <x:v>19.006715140882001</x:v>
      </x:c>
      <x:c r="F51" s="209">
        <x:v>21.659808397897901</x:v>
      </x:c>
      <x:c r="G51" s="209">
        <x:v>22.6708152568896</x:v>
      </x:c>
      <x:c r="H51" s="209">
        <x:v>23.512160558950999</x:v>
      </x:c>
      <x:c r="I51" s="209">
        <x:v>24.4480684022903</x:v>
      </x:c>
      <x:c r="J51" s="209">
        <x:v>24.4480684022903</x:v>
      </x:c>
      <x:c r="K51" s="209">
        <x:v>24.555589330279599</x:v>
      </x:c>
      <x:c r="L51" s="209">
        <x:v>24.262498259704699</x:v>
      </x:c>
      <x:c r="T51" s="199">
        <x:f t="shared" si="0"/>
        <x:v>1</x:v>
      </x:c>
    </x:row>
    <x:row r="52" spans="3:20" customHeight="1">
      <x:c r="C52" s="1" t="s">
        <x:v>814</x:v>
      </x:c>
      <x:c r="D52" s="60" t="s">
        <x:v>2111</x:v>
      </x:c>
      <x:c r="E52" s="209">
        <x:v>16.352089441139199</x:v>
      </x:c>
      <x:c r="F52" s="209">
        <x:v>17.325730072677899</x:v>
      </x:c>
      <x:c r="G52" s="209">
        <x:v>19.205389875838598</x:v>
      </x:c>
      <x:c r="H52" s="209">
        <x:v>20.146107305536798</x:v>
      </x:c>
      <x:c r="I52" s="209">
        <x:v>19.929214506864</x:v>
      </x:c>
      <x:c r="J52" s="209">
        <x:v>19.4490883064651</x:v>
      </x:c>
      <x:c r="K52" s="209">
        <x:v>22.2133416071126</x:v>
      </x:c>
      <x:c r="L52" s="209">
        <x:v>21.993890922252898</x:v>
      </x:c>
      <x:c r="T52" s="199">
        <x:f t="shared" si="0"/>
        <x:v>1</x:v>
      </x:c>
    </x:row>
    <x:row r="53" spans="3:20" customHeight="1">
      <x:c r="C53" s="1" t="s">
        <x:v>1923</x:v>
      </x:c>
      <x:c r="D53" s="60" t="s">
        <x:v>2111</x:v>
      </x:c>
      <x:c r="E53" s="209">
        <x:v>17.325730072677899</x:v>
      </x:c>
      <x:c r="F53" s="209">
        <x:v>21.539182961187599</x:v>
      </x:c>
      <x:c r="G53" s="209">
        <x:v>20.328982773922299</x:v>
      </x:c>
      <x:c r="H53" s="209">
        <x:v>22.440414477331998</x:v>
      </x:c>
      <x:c r="I53" s="209">
        <x:v>24.4480684022903</x:v>
      </x:c>
      <x:c r="J53" s="209">
        <x:v>22.616746799780099</x:v>
      </x:c>
      <x:c r="K53" s="209">
        <x:v>23.124823794091</x:v>
      </x:c>
      <x:c r="L53" s="209" t="s">
        <x:v>818</x:v>
      </x:c>
      <x:c r="T53" s="199">
        <x:f t="shared" si="0"/>
        <x:v>1</x:v>
      </x:c>
    </x:row>
    <x:row r="54" spans="3:20" customHeight="1">
      <x:c r="C54" s="1" t="s">
        <x:v>1917</x:v>
      </x:c>
      <x:c r="D54" s="60" t="s">
        <x:v>2111</x:v>
      </x:c>
      <x:c r="E54" s="209">
        <x:v>16.79646148820585</x:v>
      </x:c>
      <x:c r="F54" s="209">
        <x:v>19.134226965729901</x:v>
      </x:c>
      <x:c r="G54" s="209">
        <x:v>20.803104358441299</x:v>
      </x:c>
      <x:c r="H54" s="209">
        <x:v>22.4290781257207</x:v>
      </x:c>
      <x:c r="I54" s="209">
        <x:v>21.663108208447802</x:v>
      </x:c>
      <x:c r="J54" s="209">
        <x:v>20.969751541785602</x:v>
      </x:c>
      <x:c r="K54" s="209">
        <x:v>23.645028544207101</x:v>
      </x:c>
      <x:c r="L54" s="209">
        <x:v>23.133266613855199</x:v>
      </x:c>
      <x:c r="T54" s="199">
        <x:f t="shared" si="0"/>
        <x:v>1</x:v>
      </x:c>
    </x:row>
    <x:row r="55" spans="3:20" customHeight="1">
      <x:c r="C55" s="1" t="s">
        <x:v>466</x:v>
      </x:c>
      <x:c r="D55" s="60" t="s">
        <x:v>2111</x:v>
      </x:c>
      <x:c r="E55" s="209">
        <x:v>16.79646148820585</x:v>
      </x:c>
      <x:c r="F55" s="209">
        <x:v>1.216956400880588</x:v>
      </x:c>
      <x:c r="G55" s="209">
        <x:v>0.99846163887651274</x:v>
      </x:c>
      <x:c r="H55" s="209">
        <x:v>1.0880945485962199</x:v>
      </x:c>
      <x:c r="I55" s="209">
        <x:v>1.0550890171411877</x:v>
      </x:c>
      <x:c r="J55" s="209">
        <x:v>1.6648743772682557</x:v>
      </x:c>
      <x:c r="K55" s="209">
        <x:v>0.56296948069619712</x:v>
      </x:c>
      <x:c r="L55" s="209">
        <x:v>0.5168545953635687</x:v>
      </x:c>
      <x:c r="T55" s="199">
        <x:f t="shared" si="0"/>
        <x:v>1</x:v>
      </x:c>
    </x:row>
    <x:row r="56" spans="4:20" customHeight="1">
      <x:c r="D56" s="60"/>
      <x:c r="E56" s="209"/>
      <x:c r="F56" s="209"/>
      <x:c r="G56" s="209"/>
      <x:c r="H56" s="209"/>
      <x:c r="I56" s="209"/>
      <x:c r="J56" s="209"/>
      <x:c r="K56" s="209"/>
      <x:c r="L56" s="209"/>
      <x:c r="T56" s="247">
        <x:v>1</x:v>
      </x:c>
    </x:row>
    <x:row r="57" spans="2:20" customHeight="1">
      <x:c r="B57" s="2" t="s">
        <x:v>2190</x:v>
      </x:c>
      <x:c r="C57" s="2" t="s">
        <x:v>1913</x:v>
      </x:c>
      <x:c r="D57" s="60" t="s">
        <x:v>1903</x:v>
      </x:c>
      <x:c r="E57" s="209">
        <x:v>20.153020952380956</x:v>
      </x:c>
      <x:c r="F57" s="209">
        <x:v>21.750350249999997</x:v>
      </x:c>
      <x:c r="G57" s="209">
        <x:v>30.33907272307691</x:v>
      </x:c>
      <x:c r="H57" s="209">
        <x:v>37.345630672131151</x:v>
      </x:c>
      <x:c r="I57" s="209">
        <x:v>43.225922634920614</x:v>
      </x:c>
      <x:c r="J57" s="209">
        <x:v>43.137021799999964</x:v>
      </x:c>
      <x:c r="K57" s="209">
        <x:v>38.737599723076897</x:v>
      </x:c>
      <x:c r="L57" s="209">
        <x:v>33.270879440000009</x:v>
      </x:c>
      <x:c r="T57" s="199">
        <x:f>IF(COUNT(E57:L57)&lt;&gt;0,1,"")</x:f>
        <x:v>1</x:v>
      </x:c>
    </x:row>
    <x:row r="58" spans="3:20" customHeight="1">
      <x:c r="C58" s="1" t="s">
        <x:v>1912</x:v>
      </x:c>
      <x:c r="D58" s="60" t="s">
        <x:v>1903</x:v>
      </x:c>
      <x:c r="E58" s="209">
        <x:v>23.460735</x:v>
      </x:c>
      <x:c r="F58" s="209">
        <x:v>24.633958</x:v>
      </x:c>
      <x:c r="G58" s="209">
        <x:v>34.709828000000002</x:v>
      </x:c>
      <x:c r="H58" s="209">
        <x:v>41.179032999999997</x:v>
      </x:c>
      <x:c r="I58" s="209">
        <x:v>50.597321999999998</x:v>
      </x:c>
      <x:c r="J58" s="209">
        <x:v>50.597321999999998</x:v>
      </x:c>
      <x:c r="K58" s="209">
        <x:v>47.559475999999997</x:v>
      </x:c>
      <x:c r="L58" s="209">
        <x:v>37.337639000000003</x:v>
      </x:c>
      <x:c r="T58" s="199">
        <x:f t="shared" si="0"/>
        <x:v>1</x:v>
      </x:c>
    </x:row>
    <x:row r="59" spans="3:20" customHeight="1">
      <x:c r="C59" s="1" t="s">
        <x:v>814</x:v>
      </x:c>
      <x:c r="D59" s="60" t="s">
        <x:v>1903</x:v>
      </x:c>
      <x:c r="E59" s="209">
        <x:v>18.611205000000002</x:v>
      </x:c>
      <x:c r="F59" s="209">
        <x:v>19.818902000000001</x:v>
      </x:c>
      <x:c r="G59" s="209">
        <x:v>24.184123</x:v>
      </x:c>
      <x:c r="H59" s="209">
        <x:v>31.700203999999999</x:v>
      </x:c>
      <x:c r="I59" s="209">
        <x:v>34.380152000000002</x:v>
      </x:c>
      <x:c r="J59" s="209">
        <x:v>37.994821000000002</x:v>
      </x:c>
      <x:c r="K59" s="209">
        <x:v>34.086832000000001</x:v>
      </x:c>
      <x:c r="L59" s="209">
        <x:v>25.893577000000001</x:v>
      </x:c>
      <x:c r="T59" s="199">
        <x:f t="shared" si="0"/>
        <x:v>1</x:v>
      </x:c>
    </x:row>
    <x:row r="60" spans="3:20" customHeight="1">
      <x:c r="C60" s="1" t="s">
        <x:v>1923</x:v>
      </x:c>
      <x:c r="D60" s="60" t="s">
        <x:v>1903</x:v>
      </x:c>
      <x:c r="E60" s="209">
        <x:v>19.575551999999998</x:v>
      </x:c>
      <x:c r="F60" s="209">
        <x:v>24.374862</x:v>
      </x:c>
      <x:c r="G60" s="209">
        <x:v>32.054535000000001</x:v>
      </x:c>
      <x:c r="H60" s="209">
        <x:v>38.677866000000002</x:v>
      </x:c>
      <x:c r="I60" s="209">
        <x:v>50.597321999999998</x:v>
      </x:c>
      <x:c r="J60" s="209">
        <x:v>45.664346999999999</x:v>
      </x:c>
      <x:c r="K60" s="209">
        <x:v>35.427579999999999</x:v>
      </x:c>
      <x:c r="L60" s="209">
        <x:v>25.968826</x:v>
      </x:c>
      <x:c r="T60" s="199">
        <x:f t="shared" si="0"/>
        <x:v>1</x:v>
      </x:c>
    </x:row>
    <x:row r="61" spans="3:20" customHeight="1">
      <x:c r="C61" s="1" t="s">
        <x:v>1917</x:v>
      </x:c>
      <x:c r="D61" s="60" t="s">
        <x:v>1903</x:v>
      </x:c>
      <x:c r="E61" s="209">
        <x:v>19.242784</x:v>
      </x:c>
      <x:c r="F61" s="209">
        <x:v>21.300440999999999</x:v>
      </x:c>
      <x:c r="G61" s="209">
        <x:v>31.159230000000001</x:v>
      </x:c>
      <x:c r="H61" s="209">
        <x:v>38.772748</x:v>
      </x:c>
      <x:c r="I61" s="209">
        <x:v>44.347751000000002</x:v>
      </x:c>
      <x:c r="J61" s="209">
        <x:v>41.929115000000003</x:v>
      </x:c>
      <x:c r="K61" s="209">
        <x:v>36.830522999999999</x:v>
      </x:c>
      <x:c r="L61" s="209">
        <x:v>35.279273000000003</x:v>
      </x:c>
      <x:c r="T61" s="199">
        <x:f t="shared" si="0"/>
        <x:v>1</x:v>
      </x:c>
    </x:row>
    <x:row r="62" spans="3:20" customHeight="1">
      <x:c r="C62" s="1" t="s">
        <x:v>466</x:v>
      </x:c>
      <x:c r="D62" s="60" t="s">
        <x:v>1903</x:v>
      </x:c>
      <x:c r="E62" s="209">
        <x:v>19.242784</x:v>
      </x:c>
      <x:c r="F62" s="209">
        <x:v>1.3666023251297852</x:v>
      </x:c>
      <x:c r="G62" s="209">
        <x:v>3.2712327724665422</x:v>
      </x:c>
      <x:c r="H62" s="209">
        <x:v>3.3522752845114123</x:v>
      </x:c>
      <x:c r="I62" s="209">
        <x:v>4.5251370620885716</x:v>
      </x:c>
      <x:c r="J62" s="209">
        <x:v>4.0201480783906813</x:v>
      </x:c>
      <x:c r="K62" s="209">
        <x:v>4.2182754962612945</x:v>
      </x:c>
      <x:c r="L62" s="209">
        <x:v>4.1581683426258067</x:v>
      </x:c>
      <x:c r="T62" s="199">
        <x:f t="shared" si="0"/>
        <x:v>1</x:v>
      </x:c>
    </x:row>
    <x:row r="63" spans="4:20" customHeight="1">
      <x:c r="D63" s="60"/>
      <x:c r="E63" s="210"/>
      <x:c r="F63" s="210"/>
      <x:c r="G63" s="210"/>
      <x:c r="H63" s="210"/>
      <x:c r="I63" s="210"/>
      <x:c r="J63" s="210"/>
      <x:c r="K63" s="210"/>
      <x:c r="L63" s="210"/>
      <x:c r="T63" s="247">
        <x:v>1</x:v>
      </x:c>
    </x:row>
    <x:row r="64" spans="2:20" customHeight="1">
      <x:c r="B64" s="2" t="s">
        <x:v>2191</x:v>
      </x:c>
      <x:c r="C64" s="2" t="s">
        <x:v>1913</x:v>
      </x:c>
      <x:c r="D64" s="60" t="s">
        <x:v>1137</x:v>
      </x:c>
      <x:c r="E64" s="209">
        <x:v>17.512112660446746</x:v>
      </x:c>
      <x:c r="F64" s="209">
        <x:v>19.538765054925811</x:v>
      </x:c>
      <x:c r="G64" s="209">
        <x:v>21.564682336645173</x:v>
      </x:c>
      <x:c r="H64" s="209">
        <x:v>22.934544192703306</x:v>
      </x:c>
      <x:c r="I64" s="209">
        <x:v>23.286449579781522</x:v>
      </x:c>
      <x:c r="J64" s="209">
        <x:v>22.779883660113978</x:v>
      </x:c>
      <x:c r="K64" s="209">
        <x:v>24.99494024786237</x:v>
      </x:c>
      <x:c r="L64" s="209">
        <x:v>24.603059744297294</x:v>
      </x:c>
      <x:c r="T64" s="199">
        <x:f>IF(COUNT(E64:L64)&lt;&gt;0,1,"")</x:f>
        <x:v>1</x:v>
      </x:c>
    </x:row>
    <x:row r="65" spans="3:20" customHeight="1">
      <x:c r="C65" s="1" t="s">
        <x:v>1912</x:v>
      </x:c>
      <x:c r="D65" s="60" t="s">
        <x:v>1137</x:v>
      </x:c>
      <x:c r="E65" s="209">
        <x:v>18.905639119700002</x:v>
      </x:c>
      <x:c r="F65" s="209">
        <x:v>22.079590485499999</x:v>
      </x:c>
      <x:c r="G65" s="209">
        <x:v>23.262666613899999</x:v>
      </x:c>
      <x:c r="H65" s="209">
        <x:v>24.692601639799999</x:v>
      </x:c>
      <x:c r="I65" s="209">
        <x:v>26.388677522399998</x:v>
      </x:c>
      <x:c r="J65" s="209">
        <x:v>26.388677522399998</x:v>
      </x:c>
      <x:c r="K65" s="209">
        <x:v>26.105189875499999</x:v>
      </x:c>
      <x:c r="L65" s="209">
        <x:v>25.825184890999999</x:v>
      </x:c>
      <x:c r="T65" s="199">
        <x:f t="shared" si="0"/>
        <x:v>1</x:v>
      </x:c>
    </x:row>
    <x:row r="66" spans="3:20" customHeight="1">
      <x:c r="C66" s="1" t="s">
        <x:v>814</x:v>
      </x:c>
      <x:c r="D66" s="60" t="s">
        <x:v>1137</x:v>
      </x:c>
      <x:c r="E66" s="209">
        <x:v>16.694587432599999</x:v>
      </x:c>
      <x:c r="F66" s="209">
        <x:v>17.650120422899999</x:v>
      </x:c>
      <x:c r="G66" s="209">
        <x:v>19.679972338500001</x:v>
      </x:c>
      <x:c r="H66" s="209">
        <x:v>20.890588664799999</x:v>
      </x:c>
      <x:c r="I66" s="209">
        <x:v>20.626911314899999</x:v>
      </x:c>
      <x:c r="J66" s="209">
        <x:v>20.177564631399999</x:v>
      </x:c>
      <x:c r="K66" s="209">
        <x:v>23.601116291299999</x:v>
      </x:c>
      <x:c r="L66" s="209">
        <x:v>23.2837263628</x:v>
      </x:c>
      <x:c r="T66" s="199">
        <x:f t="shared" si="0"/>
        <x:v>1</x:v>
      </x:c>
    </x:row>
    <x:row r="67" spans="3:20" customHeight="1">
      <x:c r="C67" s="1" t="s">
        <x:v>1923</x:v>
      </x:c>
      <x:c r="D67" s="60" t="s">
        <x:v>1137</x:v>
      </x:c>
      <x:c r="E67" s="209">
        <x:v>17.650120422899999</x:v>
      </x:c>
      <x:c r="F67" s="209">
        <x:v>21.859025697300002</x:v>
      </x:c>
      <x:c r="G67" s="209">
        <x:v>21.1184122043</x:v>
      </x:c>
      <x:c r="H67" s="209">
        <x:v>23.201457812099999</x:v>
      </x:c>
      <x:c r="I67" s="209">
        <x:v>26.388677522399998</x:v>
      </x:c>
      <x:c r="J67" s="209">
        <x:v>24.166845102900002</x:v>
      </x:c>
      <x:c r="K67" s="209">
        <x:v>24.496766403599999</x:v>
      </x:c>
      <x:c r="L67" s="209" t="s">
        <x:v>818</x:v>
      </x:c>
      <x:c r="T67" s="199">
        <x:f t="shared" si="0"/>
        <x:v>1</x:v>
      </x:c>
    </x:row>
    <x:row r="68" spans="3:20" customHeight="1">
      <x:c r="C68" s="1" t="s">
        <x:v>1917</x:v>
      </x:c>
      <x:c r="D68" s="60" t="s">
        <x:v>1137</x:v>
      </x:c>
      <x:c r="E68" s="209">
        <x:v>17.299531868900001</x:v>
      </x:c>
      <x:c r="F68" s="209">
        <x:v>19.187658428300001</x:v>
      </x:c>
      <x:c r="G68" s="209">
        <x:v>21.687973976399999</x:v>
      </x:c>
      <x:c r="H68" s="209">
        <x:v>23.201457812099999</x:v>
      </x:c>
      <x:c r="I68" s="209">
        <x:v>23.172447160200001</x:v>
      </x:c>
      <x:c r="J68" s="209">
        <x:v>22.1070559192</x:v>
      </x:c>
      <x:c r="K68" s="209">
        <x:v>25.168420443500001</x:v>
      </x:c>
      <x:c r="L68" s="209">
        <x:v>24.627940470399999</x:v>
      </x:c>
      <x:c r="T68" s="199">
        <x:f t="shared" si="0"/>
        <x:v>1</x:v>
      </x:c>
    </x:row>
    <x:row r="69" spans="3:20" customHeight="1">
      <x:c r="C69" s="1" t="s">
        <x:v>466</x:v>
      </x:c>
      <x:c r="D69" s="60" t="s">
        <x:v>1137</x:v>
      </x:c>
      <x:c r="E69" s="209">
        <x:v>17.299531868900001</x:v>
      </x:c>
      <x:c r="F69" s="209">
        <x:v>1.1894187803416909</x:v>
      </x:c>
      <x:c r="G69" s="209">
        <x:v>1.04621063731112</x:v>
      </x:c>
      <x:c r="H69" s="209">
        <x:v>1.1831791402018699</x:v>
      </x:c>
      <x:c r="I69" s="209">
        <x:v>1.5004927738177252</x:v>
      </x:c>
      <x:c r="J69" s="209">
        <x:v>1.9822607579048022</x:v>
      </x:c>
      <x:c r="K69" s="209">
        <x:v>0.62955969601400186</x:v>
      </x:c>
      <x:c r="L69" s="209">
        <x:v>0.59942678625170676</x:v>
      </x:c>
      <x:c r="T69" s="199">
        <x:f t="shared" si="0"/>
        <x:v>1</x:v>
      </x:c>
    </x:row>
    <x:row r="70" spans="4:20" customHeight="1">
      <x:c r="D70" s="60"/>
      <x:c r="E70" s="210"/>
      <x:c r="F70" s="210"/>
      <x:c r="G70" s="210"/>
      <x:c r="H70" s="210"/>
      <x:c r="I70" s="210"/>
      <x:c r="J70" s="210"/>
      <x:c r="K70" s="210"/>
      <x:c r="L70" s="210"/>
      <x:c r="T70" s="247">
        <x:v>1</x:v>
      </x:c>
    </x:row>
    <x:row r="71" spans="2:20" customHeight="1">
      <x:c r="B71" s="2" t="s">
        <x:v>1635</x:v>
      </x:c>
      <x:c r="C71" s="2" t="s">
        <x:v>1913</x:v>
      </x:c>
      <x:c r="D71" s="60" t="s">
        <x:v>1136</x:v>
      </x:c>
      <x:c r="E71" s="209">
        <x:v>28.338670253968257</x:v>
      </x:c>
      <x:c r="F71" s="209">
        <x:v>31.770418031249992</x:v>
      </x:c>
      <x:c r="G71" s="209">
        <x:v>36.351909938461525</x:v>
      </x:c>
      <x:c r="H71" s="209">
        <x:v>40.489073311475401</x:v>
      </x:c>
      <x:c r="I71" s="209">
        <x:v>41.466835269841255</x:v>
      </x:c>
      <x:c r="J71" s="209">
        <x:v>40.878253107692309</x:v>
      </x:c>
      <x:c r="K71" s="209">
        <x:v>44.268891430769237</x:v>
      </x:c>
      <x:c r="L71" s="209">
        <x:v>43.752395079999999</x:v>
      </x:c>
      <x:c r="T71" s="199">
        <x:f>IF(COUNT(E71:L71)&lt;&gt;0,1,"")</x:f>
        <x:v>1</x:v>
      </x:c>
    </x:row>
    <x:row r="72" spans="3:20" customHeight="1">
      <x:c r="C72" s="1" t="s">
        <x:v>1912</x:v>
      </x:c>
      <x:c r="D72" s="60" t="s">
        <x:v>1136</x:v>
      </x:c>
      <x:c r="E72" s="209">
        <x:v>30.899968000000001</x:v>
      </x:c>
      <x:c r="F72" s="209">
        <x:v>36.136180000000003</x:v>
      </x:c>
      <x:c r="G72" s="209">
        <x:v>39.125574999999998</x:v>
      </x:c>
      <x:c r="H72" s="209">
        <x:v>44.621608000000002</x:v>
      </x:c>
      <x:c r="I72" s="209">
        <x:v>47.119565000000001</x:v>
      </x:c>
      <x:c r="J72" s="209">
        <x:v>47.119565000000001</x:v>
      </x:c>
      <x:c r="K72" s="209">
        <x:v>45.962352000000003</x:v>
      </x:c>
      <x:c r="L72" s="209">
        <x:v>46.249816000000003</x:v>
      </x:c>
      <x:c r="T72" s="199">
        <x:f t="shared" si="0"/>
        <x:v>1</x:v>
      </x:c>
    </x:row>
    <x:row r="73" spans="3:20" customHeight="1">
      <x:c r="C73" s="1" t="s">
        <x:v>814</x:v>
      </x:c>
      <x:c r="D73" s="60" t="s">
        <x:v>1136</x:v>
      </x:c>
      <x:c r="E73" s="209">
        <x:v>26.920432000000002</x:v>
      </x:c>
      <x:c r="F73" s="209">
        <x:v>28.667321999999999</x:v>
      </x:c>
      <x:c r="G73" s="209">
        <x:v>33.433428999999997</x:v>
      </x:c>
      <x:c r="H73" s="209">
        <x:v>35.733069999999998</x:v>
      </x:c>
      <x:c r="I73" s="209">
        <x:v>36.401515000000003</x:v>
      </x:c>
      <x:c r="J73" s="209">
        <x:v>36.229937999999997</x:v>
      </x:c>
      <x:c r="K73" s="209">
        <x:v>41.587626</x:v>
      </x:c>
      <x:c r="L73" s="209">
        <x:v>42.476120000000002</x:v>
      </x:c>
      <x:c r="T73" s="199">
        <x:f t="shared" si="0"/>
        <x:v>1</x:v>
      </x:c>
    </x:row>
    <x:row r="74" spans="3:20" customHeight="1">
      <x:c r="C74" s="1" t="s">
        <x:v>1923</x:v>
      </x:c>
      <x:c r="D74" s="60" t="s">
        <x:v>1136</x:v>
      </x:c>
      <x:c r="E74" s="209">
        <x:v>28.315324</x:v>
      </x:c>
      <x:c r="F74" s="209">
        <x:v>35.756104999999998</x:v>
      </x:c>
      <x:c r="G74" s="209">
        <x:v>36.132478999999996</x:v>
      </x:c>
      <x:c r="H74" s="209">
        <x:v>40.951909999999998</x:v>
      </x:c>
      <x:c r="I74" s="209">
        <x:v>47.119565000000001</x:v>
      </x:c>
      <x:c r="J74" s="209">
        <x:v>43.543210000000002</x:v>
      </x:c>
      <x:c r="K74" s="209">
        <x:v>43.223405999999997</x:v>
      </x:c>
      <x:c r="L74" s="209">
        <x:v>42.599558999999999</x:v>
      </x:c>
      <x:c r="T74" s="199">
        <x:f t="shared" si="0"/>
        <x:v>1</x:v>
      </x:c>
    </x:row>
    <x:row r="75" spans="3:20" customHeight="1">
      <x:c r="C75" s="1" t="s">
        <x:v>1917</x:v>
      </x:c>
      <x:c r="D75" s="60" t="s">
        <x:v>1136</x:v>
      </x:c>
      <x:c r="E75" s="209">
        <x:v>27.833988000000002</x:v>
      </x:c>
      <x:c r="F75" s="209">
        <x:v>31.246158999999999</x:v>
      </x:c>
      <x:c r="G75" s="209">
        <x:v>36.712688999999997</x:v>
      </x:c>
      <x:c r="H75" s="209">
        <x:v>41.111660000000001</x:v>
      </x:c>
      <x:c r="I75" s="209">
        <x:v>41.299551999999998</x:v>
      </x:c>
      <x:c r="J75" s="209">
        <x:v>39.981481000000002</x:v>
      </x:c>
      <x:c r="K75" s="209">
        <x:v>44.441850000000002</x:v>
      </x:c>
      <x:c r="L75" s="209">
        <x:v>43.299284999999998</x:v>
      </x:c>
      <x:c r="T75" s="199">
        <x:f t="shared" si="0"/>
        <x:v>1</x:v>
      </x:c>
    </x:row>
    <x:row r="76" spans="3:20" customHeight="1">
      <x:c r="C76" s="1" t="s">
        <x:v>466</x:v>
      </x:c>
      <x:c r="D76" s="60" t="s">
        <x:v>1136</x:v>
      </x:c>
      <x:c r="E76" s="209">
        <x:v>27.833988000000002</x:v>
      </x:c>
      <x:c r="F76" s="209">
        <x:v>2.1306805999397604</x:v>
      </x:c>
      <x:c r="G76" s="209">
        <x:v>1.5098819872847573</x:v>
      </x:c>
      <x:c r="H76" s="209">
        <x:v>2.8723427458084254</x:v>
      </x:c>
      <x:c r="I76" s="209">
        <x:v>2.8079585906312396</x:v>
      </x:c>
      <x:c r="J76" s="209">
        <x:v>3.435785924498362</x:v>
      </x:c>
      <x:c r="K76" s="209">
        <x:v>0.96869050437935966</x:v>
      </x:c>
      <x:c r="L76" s="209">
        <x:v>1.0801607572350251</x:v>
      </x:c>
      <x:c r="T76" s="199">
        <x:f t="shared" si="0"/>
        <x:v>1</x:v>
      </x:c>
    </x:row>
    <x:row r="77" spans="4:20" customHeight="1">
      <x:c r="D77" s="60"/>
      <x:c r="E77" s="210"/>
      <x:c r="F77" s="210"/>
      <x:c r="G77" s="210"/>
      <x:c r="H77" s="210"/>
      <x:c r="I77" s="210"/>
      <x:c r="J77" s="210"/>
      <x:c r="K77" s="210"/>
      <x:c r="L77" s="210"/>
      <x:c r="T77" s="247">
        <x:v>1</x:v>
      </x:c>
    </x:row>
    <x:row r="78" spans="2:20" customHeight="1">
      <x:c r="B78" s="2" t="s">
        <x:v>463</x:v>
      </x:c>
      <x:c r="C78" s="2" t="s">
        <x:v>1913</x:v>
      </x:c>
      <x:c r="D78" s="60" t="s">
        <x:v>1258</x:v>
      </x:c>
      <x:c r="E78" s="209">
        <x:v>6.917085365079366</x:v>
      </x:c>
      <x:c r="F78" s="209">
        <x:v>7.5689435625000003</x:v>
      </x:c>
      <x:c r="G78" s="209">
        <x:v>8.4525444307692332</x:v>
      </x:c>
      <x:c r="H78" s="209">
        <x:v>8.5387162622950807</x:v>
      </x:c>
      <x:c r="I78" s="209">
        <x:v>8.8633438095238102</x:v>
      </x:c>
      <x:c r="J78" s="209">
        <x:v>8.9311910307692308</x:v>
      </x:c>
      <x:c r="K78" s="209">
        <x:v>10.048565753846155</x:v>
      </x:c>
      <x:c r="L78" s="209">
        <x:v>9.6199728000000011</x:v>
      </x:c>
      <x:c r="T78" s="199">
        <x:f>IF(COUNT(E78:L78)&lt;&gt;0,1,"")</x:f>
        <x:v>1</x:v>
      </x:c>
    </x:row>
    <x:row r="79" spans="3:20" customHeight="1">
      <x:c r="C79" s="1" t="s">
        <x:v>1912</x:v>
      </x:c>
      <x:c r="D79" s="60" t="s">
        <x:v>1258</x:v>
      </x:c>
      <x:c r="E79" s="209">
        <x:v>7.7519689999999999</x:v>
      </x:c>
      <x:c r="F79" s="209">
        <x:v>8.5661159999999992</x:v>
      </x:c>
      <x:c r="G79" s="209">
        <x:v>9.0196679999999994</x:v>
      </x:c>
      <x:c r="H79" s="209">
        <x:v>8.9775849999999995</x:v>
      </x:c>
      <x:c r="I79" s="209">
        <x:v>10.192240999999999</x:v>
      </x:c>
      <x:c r="J79" s="209">
        <x:v>10.192240999999999</x:v>
      </x:c>
      <x:c r="K79" s="209">
        <x:v>10.551033</x:v>
      </x:c>
      <x:c r="L79" s="209">
        <x:v>10.457240000000001</x:v>
      </x:c>
      <x:c r="T79" s="199">
        <x:f t="shared" si="0"/>
        <x:v>1</x:v>
      </x:c>
    </x:row>
    <x:row r="80" spans="3:20" customHeight="1">
      <x:c r="C80" s="1" t="s">
        <x:v>814</x:v>
      </x:c>
      <x:c r="D80" s="60" t="s">
        <x:v>1258</x:v>
      </x:c>
      <x:c r="E80" s="209">
        <x:v>6.493563</x:v>
      </x:c>
      <x:c r="F80" s="209">
        <x:v>6.914936</x:v>
      </x:c>
      <x:c r="G80" s="209">
        <x:v>7.7496219999999996</x:v>
      </x:c>
      <x:c r="H80" s="209">
        <x:v>7.7530599999999996</x:v>
      </x:c>
      <x:c r="I80" s="209">
        <x:v>7.4976260000000003</x:v>
      </x:c>
      <x:c r="J80" s="209">
        <x:v>7.9499510000000004</x:v>
      </x:c>
      <x:c r="K80" s="209">
        <x:v>9.3450950000000006</x:v>
      </x:c>
      <x:c r="L80" s="209">
        <x:v>8.2912630000000007</x:v>
      </x:c>
      <x:c r="T80" s="199">
        <x:f t="shared" ref="T80:T143" si="1">IF(COUNT(E80:L80)&lt;&gt;0,1,"")</x:f>
        <x:v>1</x:v>
      </x:c>
    </x:row>
    <x:row r="81" spans="3:20" customHeight="1">
      <x:c r="C81" s="1" t="s">
        <x:v>1923</x:v>
      </x:c>
      <x:c r="D81" s="60" t="s">
        <x:v>1258</x:v>
      </x:c>
      <x:c r="E81" s="209">
        <x:v>6.8300289999999997</x:v>
      </x:c>
      <x:c r="F81" s="209">
        <x:v>8.4760190000000009</x:v>
      </x:c>
      <x:c r="G81" s="209">
        <x:v>8.3142969999999998</x:v>
      </x:c>
      <x:c r="H81" s="209">
        <x:v>8.4348709999999993</x:v>
      </x:c>
      <x:c r="I81" s="209">
        <x:v>10.192240999999999</x:v>
      </x:c>
      <x:c r="J81" s="209">
        <x:v>9.5547050000000002</x:v>
      </x:c>
      <x:c r="K81" s="209">
        <x:v>9.9222859999999997</x:v>
      </x:c>
      <x:c r="L81" s="209">
        <x:v>8.3153579999999998</x:v>
      </x:c>
      <x:c r="M81" s="1" t="s">
        <x:v>799</x:v>
      </x:c>
      <x:c r="T81" s="199">
        <x:f t="shared" si="1"/>
        <x:v>1</x:v>
      </x:c>
    </x:row>
    <x:row r="82" spans="3:20" customHeight="1">
      <x:c r="C82" s="1" t="s">
        <x:v>1917</x:v>
      </x:c>
      <x:c r="D82" s="60" t="s">
        <x:v>1258</x:v>
      </x:c>
      <x:c r="E82" s="209">
        <x:v>6.7139249999999997</x:v>
      </x:c>
      <x:c r="F82" s="209">
        <x:v>7.4160070000000005</x:v>
      </x:c>
      <x:c r="G82" s="209">
        <x:v>8.4875190000000007</x:v>
      </x:c>
      <x:c r="H82" s="209">
        <x:v>8.4918589999999998</x:v>
      </x:c>
      <x:c r="I82" s="209">
        <x:v>8.9333379999999991</x:v>
      </x:c>
      <x:c r="J82" s="209">
        <x:v>8.7731539999999999</x:v>
      </x:c>
      <x:c r="K82" s="209">
        <x:v>10.156768</x:v>
      </x:c>
      <x:c r="L82" s="209">
        <x:v>9.8807489999999998</x:v>
      </x:c>
      <x:c r="T82" s="199">
        <x:f t="shared" si="1"/>
        <x:v>1</x:v>
      </x:c>
    </x:row>
    <x:row r="83" spans="3:20" customHeight="1">
      <x:c r="C83" s="1" t="s">
        <x:v>466</x:v>
      </x:c>
      <x:c r="D83" s="60" t="s">
        <x:v>1258</x:v>
      </x:c>
      <x:c r="E83" s="209">
        <x:v>6.7139249999999997</x:v>
      </x:c>
      <x:c r="F83" s="209">
        <x:v>0.46980560022023848</x:v>
      </x:c>
      <x:c r="G83" s="209">
        <x:v>0.37807947380370077</x:v>
      </x:c>
      <x:c r="H83" s="209">
        <x:v>0.22827367501401133</x:v>
      </x:c>
      <x:c r="I83" s="209">
        <x:v>0.7112627986008313</x:v>
      </x:c>
      <x:c r="J83" s="209">
        <x:v>0.69881976268593304</x:v>
      </x:c>
      <x:c r="K83" s="209">
        <x:v>0.33615241963014092</x:v>
      </x:c>
      <x:c r="L83" s="209">
        <x:v>0.68907658265084359</x:v>
      </x:c>
      <x:c r="T83" s="199">
        <x:f t="shared" si="1"/>
        <x:v>1</x:v>
      </x:c>
    </x:row>
    <x:row r="84" spans="4:20" customHeight="1">
      <x:c r="D84" s="60"/>
      <x:c r="E84" s="210"/>
      <x:c r="F84" s="210"/>
      <x:c r="G84" s="210"/>
      <x:c r="H84" s="210"/>
      <x:c r="I84" s="210"/>
      <x:c r="J84" s="210"/>
      <x:c r="K84" s="210"/>
      <x:c r="L84" s="210"/>
      <x:c r="T84" s="247">
        <x:v>1</x:v>
      </x:c>
    </x:row>
    <x:row r="85" spans="2:20" customHeight="1">
      <x:c r="B85" s="2" t="s">
        <x:v>2199</x:v>
      </x:c>
      <x:c r="C85" s="2" t="s">
        <x:v>1913</x:v>
      </x:c>
      <x:c r="D85" s="60" t="s">
        <x:v>1257</x:v>
      </x:c>
      <x:c r="E85" s="209">
        <x:v>6.0615893314619571</x:v>
      </x:c>
      <x:c r="F85" s="209">
        <x:v>6.7804565847483831</x:v>
      </x:c>
      <x:c r="G85" s="209">
        <x:v>7.8636128094462396</x:v>
      </x:c>
      <x:c r="H85" s="209">
        <x:v>7.6628563340890095</x:v>
      </x:c>
      <x:c r="I85" s="209">
        <x:v>7.6484229758869571</x:v>
      </x:c>
      <x:c r="J85" s="209">
        <x:v>7.8651750739752684</x:v>
      </x:c>
      <x:c r="K85" s="209">
        <x:v>9.1496834088999996</x:v>
      </x:c>
      <x:c r="L85" s="209">
        <x:v>8.7500308071351363</x:v>
      </x:c>
      <x:c r="T85" s="199">
        <x:f>IF(COUNT(E85:L85)&lt;&gt;0,1,"")</x:f>
        <x:v>1</x:v>
      </x:c>
    </x:row>
    <x:row r="86" spans="3:20" customHeight="1">
      <x:c r="C86" s="1" t="s">
        <x:v>1912</x:v>
      </x:c>
      <x:c r="D86" s="60" t="s">
        <x:v>1257</x:v>
      </x:c>
      <x:c r="E86" s="209">
        <x:v>6.6943987345</x:v>
      </x:c>
      <x:c r="F86" s="209">
        <x:v>7.7419296715000003</x:v>
      </x:c>
      <x:c r="G86" s="209">
        <x:v>8.4656641636999996</x:v>
      </x:c>
      <x:c r="H86" s="209">
        <x:v>8.0396619528999995</x:v>
      </x:c>
      <x:c r="I86" s="209">
        <x:v>8.7683525472999992</x:v>
      </x:c>
      <x:c r="J86" s="209">
        <x:v>8.7683525472999992</x:v>
      </x:c>
      <x:c r="K86" s="209">
        <x:v>9.6563234232999999</x:v>
      </x:c>
      <x:c r="L86" s="209">
        <x:v>9.5740237212999997</x:v>
      </x:c>
      <x:c r="T86" s="199">
        <x:f t="shared" si="1"/>
        <x:v>1</x:v>
      </x:c>
    </x:row>
    <x:row r="87" spans="3:20" customHeight="1">
      <x:c r="C87" s="1" t="s">
        <x:v>814</x:v>
      </x:c>
      <x:c r="D87" s="60" t="s">
        <x:v>1257</x:v>
      </x:c>
      <x:c r="E87" s="209">
        <x:v>5.6518050854000004</x:v>
      </x:c>
      <x:c r="F87" s="209">
        <x:v>6.0398789160000002</x:v>
      </x:c>
      <x:c r="G87" s="209">
        <x:v>7.2870718666999998</x:v>
      </x:c>
      <x:c r="H87" s="209">
        <x:v>7.0333041394000002</x:v>
      </x:c>
      <x:c r="I87" s="209">
        <x:v>6.5862792750999999</x:v>
      </x:c>
      <x:c r="J87" s="209">
        <x:v>7.0730110564000004</x:v>
      </x:c>
      <x:c r="K87" s="209">
        <x:v>8.3112554159999998</x:v>
      </x:c>
      <x:c r="L87" s="209">
        <x:v>7.0941933639999997</x:v>
      </x:c>
      <x:c r="T87" s="199">
        <x:f t="shared" si="1"/>
        <x:v>1</x:v>
      </x:c>
    </x:row>
    <x:row r="88" spans="3:20" customHeight="1">
      <x:c r="C88" s="1" t="s">
        <x:v>1923</x:v>
      </x:c>
      <x:c r="D88" s="60" t="s">
        <x:v>1257</x:v>
      </x:c>
      <x:c r="E88" s="209">
        <x:v>6.0398789160000002</x:v>
      </x:c>
      <x:c r="F88" s="209">
        <x:v>7.6605013282999996</x:v>
      </x:c>
      <x:c r="G88" s="209">
        <x:v>7.8180429891000003</x:v>
      </x:c>
      <x:c r="H88" s="209">
        <x:v>7.4007802576000001</x:v>
      </x:c>
      <x:c r="I88" s="209">
        <x:v>8.7683525472999992</x:v>
      </x:c>
      <x:c r="J88" s="209">
        <x:v>8.5007488165999998</x:v>
      </x:c>
      <x:c r="K88" s="209">
        <x:v>9.0842512860000006</x:v>
      </x:c>
      <x:c r="L88" s="209" t="s">
        <x:v>818</x:v>
      </x:c>
      <x:c r="T88" s="199">
        <x:f t="shared" si="1"/>
        <x:v>1</x:v>
      </x:c>
    </x:row>
    <x:row r="89" spans="3:20" customHeight="1">
      <x:c r="C89" s="1" t="s">
        <x:v>1917</x:v>
      </x:c>
      <x:c r="D89" s="60" t="s">
        <x:v>1257</x:v>
      </x:c>
      <x:c r="E89" s="209">
        <x:v>5.9436669101500001</x:v>
      </x:c>
      <x:c r="F89" s="209">
        <x:v>6.6363786427000004</x:v>
      </x:c>
      <x:c r="G89" s="209">
        <x:v>7.9297140756999998</x:v>
      </x:c>
      <x:c r="H89" s="209">
        <x:v>7.7316223710000003</x:v>
      </x:c>
      <x:c r="I89" s="209">
        <x:v>7.6924609955500003</x:v>
      </x:c>
      <x:c r="J89" s="209">
        <x:v>7.7584095380000004</x:v>
      </x:c>
      <x:c r="K89" s="209">
        <x:v>9.3268373826000008</x:v>
      </x:c>
      <x:c r="L89" s="209">
        <x:v>9.0462226184999999</x:v>
      </x:c>
      <x:c r="T89" s="199">
        <x:f t="shared" si="1"/>
        <x:v>1</x:v>
      </x:c>
    </x:row>
    <x:row r="90" spans="3:20" customHeight="1">
      <x:c r="C90" s="1" t="s">
        <x:v>466</x:v>
      </x:c>
      <x:c r="D90" s="60" t="s">
        <x:v>1257</x:v>
      </x:c>
      <x:c r="E90" s="209">
        <x:v>0.29142695910951844</x:v>
      </x:c>
      <x:c r="F90" s="209">
        <x:v>0.73689920615747528</x:v>
      </x:c>
      <x:c r="G90" s="209">
        <x:v>0.79463604026354495</x:v>
      </x:c>
      <x:c r="H90" s="209">
        <x:v>0.84403485289152358</x:v>
      </x:c>
      <x:c r="I90" s="209">
        <x:v>0.79624076802239363</x:v>
      </x:c>
      <x:c r="J90" s="209">
        <x:v>0.55847553075593237</x:v>
      </x:c>
      <x:c r="K90" s="209">
        <x:v>0.77731522971556921</x:v>
      </x:c>
      <x:c r="L90" s="209" t="s">
        <x:v>818</x:v>
      </x:c>
      <x:c r="T90" s="199">
        <x:f t="shared" si="1"/>
        <x:v>1</x:v>
      </x:c>
    </x:row>
    <x:row r="91" spans="4:20" customHeight="1">
      <x:c r="D91" s="60"/>
      <x:c r="E91" s="209"/>
      <x:c r="F91" s="209"/>
      <x:c r="G91" s="209"/>
      <x:c r="H91" s="209"/>
      <x:c r="I91" s="209"/>
      <x:c r="J91" s="209"/>
      <x:c r="K91" s="209"/>
      <x:c r="L91" s="209"/>
      <x:c r="T91" s="247">
        <x:v>1</x:v>
      </x:c>
    </x:row>
    <x:row r="92" spans="2:20" customHeight="1">
      <x:c r="B92" s="2" t="s">
        <x:v>1642</x:v>
      </x:c>
      <x:c r="C92" s="2" t="s">
        <x:v>1913</x:v>
      </x:c>
      <x:c r="D92" s="60" t="s">
        <x:v>1252</x:v>
      </x:c>
      <x:c r="E92" s="209" t="s">
        <x:v>818</x:v>
      </x:c>
      <x:c r="F92" s="209" t="s">
        <x:v>818</x:v>
      </x:c>
      <x:c r="G92" s="209" t="s">
        <x:v>818</x:v>
      </x:c>
      <x:c r="H92" s="209" t="s">
        <x:v>818</x:v>
      </x:c>
      <x:c r="I92" s="209" t="s">
        <x:v>818</x:v>
      </x:c>
      <x:c r="J92" s="209" t="s">
        <x:v>818</x:v>
      </x:c>
      <x:c r="K92" s="209" t="s">
        <x:v>818</x:v>
      </x:c>
      <x:c r="L92" s="209" t="s">
        <x:v>818</x:v>
      </x:c>
      <x:c r="T92" s="199" t="str">
        <x:f>IF(COUNT(E92:L92)&lt;&gt;0,1,"")</x:f>
        <x:v/>
      </x:c>
    </x:row>
    <x:row r="93" spans="3:20" customHeight="1">
      <x:c r="C93" s="1" t="s">
        <x:v>1912</x:v>
      </x:c>
      <x:c r="D93" s="60" t="s">
        <x:v>1252</x:v>
      </x:c>
      <x:c r="E93" s="209" t="s">
        <x:v>818</x:v>
      </x:c>
      <x:c r="F93" s="209" t="s">
        <x:v>818</x:v>
      </x:c>
      <x:c r="G93" s="209" t="s">
        <x:v>818</x:v>
      </x:c>
      <x:c r="H93" s="209" t="s">
        <x:v>818</x:v>
      </x:c>
      <x:c r="I93" s="209" t="s">
        <x:v>818</x:v>
      </x:c>
      <x:c r="J93" s="209" t="s">
        <x:v>818</x:v>
      </x:c>
      <x:c r="K93" s="209" t="s">
        <x:v>818</x:v>
      </x:c>
      <x:c r="L93" s="209" t="s">
        <x:v>818</x:v>
      </x:c>
      <x:c r="T93" s="199" t="str">
        <x:f t="shared" si="1"/>
        <x:v/>
      </x:c>
    </x:row>
    <x:row r="94" spans="3:20" customHeight="1">
      <x:c r="C94" s="1" t="s">
        <x:v>814</x:v>
      </x:c>
      <x:c r="D94" s="60" t="s">
        <x:v>1252</x:v>
      </x:c>
      <x:c r="E94" s="209" t="s">
        <x:v>818</x:v>
      </x:c>
      <x:c r="F94" s="209" t="s">
        <x:v>818</x:v>
      </x:c>
      <x:c r="G94" s="209" t="s">
        <x:v>818</x:v>
      </x:c>
      <x:c r="H94" s="209" t="s">
        <x:v>818</x:v>
      </x:c>
      <x:c r="I94" s="209" t="s">
        <x:v>818</x:v>
      </x:c>
      <x:c r="J94" s="209" t="s">
        <x:v>818</x:v>
      </x:c>
      <x:c r="K94" s="209" t="s">
        <x:v>818</x:v>
      </x:c>
      <x:c r="L94" s="209" t="s">
        <x:v>818</x:v>
      </x:c>
      <x:c r="T94" s="199" t="str">
        <x:f t="shared" si="1"/>
        <x:v/>
      </x:c>
    </x:row>
    <x:row r="95" spans="3:20" customHeight="1">
      <x:c r="C95" s="1" t="s">
        <x:v>1923</x:v>
      </x:c>
      <x:c r="D95" s="60" t="s">
        <x:v>1252</x:v>
      </x:c>
      <x:c r="E95" s="209" t="s">
        <x:v>821</x:v>
      </x:c>
      <x:c r="F95" s="209" t="s">
        <x:v>821</x:v>
      </x:c>
      <x:c r="G95" s="209" t="s">
        <x:v>821</x:v>
      </x:c>
      <x:c r="H95" s="209" t="s">
        <x:v>821</x:v>
      </x:c>
      <x:c r="I95" s="209" t="s">
        <x:v>821</x:v>
      </x:c>
      <x:c r="J95" s="209" t="s">
        <x:v>821</x:v>
      </x:c>
      <x:c r="K95" s="209" t="s">
        <x:v>821</x:v>
      </x:c>
      <x:c r="L95" s="209" t="s">
        <x:v>821</x:v>
      </x:c>
      <x:c r="T95" s="199" t="str">
        <x:f t="shared" si="1"/>
        <x:v/>
      </x:c>
    </x:row>
    <x:row r="96" spans="3:20" customHeight="1">
      <x:c r="C96" s="1" t="s">
        <x:v>1917</x:v>
      </x:c>
      <x:c r="D96" s="60" t="s">
        <x:v>1252</x:v>
      </x:c>
      <x:c r="E96" s="209" t="s">
        <x:v>818</x:v>
      </x:c>
      <x:c r="F96" s="209" t="s">
        <x:v>818</x:v>
      </x:c>
      <x:c r="G96" s="209" t="s">
        <x:v>818</x:v>
      </x:c>
      <x:c r="H96" s="209" t="s">
        <x:v>818</x:v>
      </x:c>
      <x:c r="I96" s="209" t="s">
        <x:v>818</x:v>
      </x:c>
      <x:c r="J96" s="209" t="s">
        <x:v>818</x:v>
      </x:c>
      <x:c r="K96" s="209" t="s">
        <x:v>818</x:v>
      </x:c>
      <x:c r="L96" s="209" t="s">
        <x:v>818</x:v>
      </x:c>
      <x:c r="T96" s="199" t="str">
        <x:f t="shared" si="1"/>
        <x:v/>
      </x:c>
    </x:row>
    <x:row r="97" spans="3:20" customHeight="1">
      <x:c r="C97" s="1" t="s">
        <x:v>466</x:v>
      </x:c>
      <x:c r="D97" s="60" t="s">
        <x:v>1252</x:v>
      </x:c>
      <x:c r="E97" s="209" t="s">
        <x:v>818</x:v>
      </x:c>
      <x:c r="F97" s="209" t="s">
        <x:v>818</x:v>
      </x:c>
      <x:c r="G97" s="209" t="s">
        <x:v>818</x:v>
      </x:c>
      <x:c r="H97" s="209" t="s">
        <x:v>818</x:v>
      </x:c>
      <x:c r="I97" s="209" t="s">
        <x:v>818</x:v>
      </x:c>
      <x:c r="J97" s="209" t="s">
        <x:v>818</x:v>
      </x:c>
      <x:c r="K97" s="209" t="s">
        <x:v>818</x:v>
      </x:c>
      <x:c r="L97" s="209" t="s">
        <x:v>818</x:v>
      </x:c>
      <x:c r="T97" s="199" t="str">
        <x:f t="shared" si="1"/>
        <x:v/>
      </x:c>
    </x:row>
    <x:row r="98" spans="4:20" customHeight="1">
      <x:c r="D98" s="60"/>
      <x:c r="E98" s="209"/>
      <x:c r="F98" s="209"/>
      <x:c r="G98" s="209"/>
      <x:c r="H98" s="209"/>
      <x:c r="I98" s="209"/>
      <x:c r="J98" s="209"/>
      <x:c r="K98" s="209"/>
      <x:c r="L98" s="209"/>
      <x:c r="T98" s="247">
        <x:v>1</x:v>
      </x:c>
    </x:row>
    <x:row r="99" spans="2:20" customHeight="1">
      <x:c r="B99" s="2" t="s">
        <x:v>472</x:v>
      </x:c>
      <x:c r="C99" s="2" t="s">
        <x:v>1913</x:v>
      </x:c>
      <x:c r="D99" s="60" t="s">
        <x:v>2214</x:v>
      </x:c>
      <x:c r="E99" s="209">
        <x:v>12.175177185078258</x:v>
      </x:c>
      <x:c r="F99" s="209">
        <x:v>13.740455074364515</x:v>
      </x:c>
      <x:c r="G99" s="209">
        <x:v>15.561597855576348</x:v>
      </x:c>
      <x:c r="H99" s="209">
        <x:v>16.462811781385721</x:v>
      </x:c>
      <x:c r="I99" s="209">
        <x:v>16.673889696808708</x:v>
      </x:c>
      <x:c r="J99" s="209">
        <x:v>16.20663678978817</x:v>
      </x:c>
      <x:c r="K99" s="209">
        <x:v>17.825967047173112</x:v>
      </x:c>
      <x:c r="L99" s="209">
        <x:v>17.475485592894593</x:v>
      </x:c>
      <x:c r="T99" s="199">
        <x:f>IF(COUNT(E99:L99)&lt;&gt;0,1,"")</x:f>
        <x:v>1</x:v>
      </x:c>
    </x:row>
    <x:row r="100" spans="3:20" customHeight="1">
      <x:c r="C100" s="1" t="s">
        <x:v>1912</x:v>
      </x:c>
      <x:c r="D100" s="60" t="s">
        <x:v>2214</x:v>
      </x:c>
      <x:c r="E100" s="209">
        <x:v>13.3212735166</x:v>
      </x:c>
      <x:c r="F100" s="209">
        <x:v>15.734507042200001</x:v>
      </x:c>
      <x:c r="G100" s="209">
        <x:v>16.576601671300001</x:v>
      </x:c>
      <x:c r="H100" s="209">
        <x:v>17.6943004488</x:v>
      </x:c>
      <x:c r="I100" s="209">
        <x:v>18.9944134078</x:v>
      </x:c>
      <x:c r="J100" s="209">
        <x:v>18.9944134078</x:v>
      </x:c>
      <x:c r="K100" s="209">
        <x:v>18.599570115900001</x:v>
      </x:c>
      <x:c r="L100" s="209">
        <x:v>18.434230106000001</x:v>
      </x:c>
      <x:c r="T100" s="199">
        <x:f t="shared" si="1"/>
        <x:v>1</x:v>
      </x:c>
    </x:row>
    <x:row r="101" spans="3:20" customHeight="1">
      <x:c r="C101" s="1" t="s">
        <x:v>814</x:v>
      </x:c>
      <x:c r="D101" s="60" t="s">
        <x:v>2214</x:v>
      </x:c>
      <x:c r="E101" s="209">
        <x:v>11.591822347500001</x:v>
      </x:c>
      <x:c r="F101" s="209">
        <x:v>12.1924568205</x:v>
      </x:c>
      <x:c r="G101" s="209">
        <x:v>14.2688022284</x:v>
      </x:c>
      <x:c r="H101" s="209">
        <x:v>14.6649254085</x:v>
      </x:c>
      <x:c r="I101" s="209">
        <x:v>14.772876135800001</x:v>
      </x:c>
      <x:c r="J101" s="209">
        <x:v>14.3182123123</x:v>
      </x:c>
      <x:c r="K101" s="209">
        <x:v>16.829251009699998</x:v>
      </x:c>
      <x:c r="L101" s="209">
        <x:v>16.303851217199998</x:v>
      </x:c>
      <x:c r="T101" s="199">
        <x:f t="shared" si="1"/>
        <x:v>1</x:v>
      </x:c>
    </x:row>
    <x:row r="102" spans="3:20" customHeight="1">
      <x:c r="C102" s="1" t="s">
        <x:v>1923</x:v>
      </x:c>
      <x:c r="D102" s="60" t="s">
        <x:v>2214</x:v>
      </x:c>
      <x:c r="E102" s="209">
        <x:v>12.1924568205</x:v>
      </x:c>
      <x:c r="F102" s="209">
        <x:v>15.569014084499999</x:v>
      </x:c>
      <x:c r="G102" s="209">
        <x:v>15.308495821699999</x:v>
      </x:c>
      <x:c r="H102" s="209">
        <x:v>16.619569198499999</x:v>
      </x:c>
      <x:c r="I102" s="209">
        <x:v>18.9944134078</x:v>
      </x:c>
      <x:c r="J102" s="209">
        <x:v>17.2084456533</x:v>
      </x:c>
      <x:c r="K102" s="209">
        <x:v>17.491201549399999</x:v>
      </x:c>
      <x:c r="L102" s="209" t="s">
        <x:v>818</x:v>
      </x:c>
      <x:c r="T102" s="199">
        <x:f t="shared" si="1"/>
        <x:v>1</x:v>
      </x:c>
    </x:row>
    <x:row r="103" spans="3:20" customHeight="1">
      <x:c r="C103" s="1" t="s">
        <x:v>1917</x:v>
      </x:c>
      <x:c r="D103" s="60" t="s">
        <x:v>2214</x:v>
      </x:c>
      <x:c r="E103" s="209">
        <x:v>11.99823757485</x:v>
      </x:c>
      <x:c r="F103" s="209">
        <x:v>13.546312478100001</x:v>
      </x:c>
      <x:c r="G103" s="209">
        <x:v>15.627437325900001</x:v>
      </x:c>
      <x:c r="H103" s="209">
        <x:v>16.6215742941</x:v>
      </x:c>
      <x:c r="I103" s="209">
        <x:v>16.665055769199999</x:v>
      </x:c>
      <x:c r="J103" s="209">
        <x:v>15.7056950831</x:v>
      </x:c>
      <x:c r="K103" s="209">
        <x:v>17.958287077400001</x:v>
      </x:c>
      <x:c r="L103" s="209">
        <x:v>17.485484591300001</x:v>
      </x:c>
      <x:c r="T103" s="199">
        <x:f t="shared" si="1"/>
        <x:v>1</x:v>
      </x:c>
    </x:row>
    <x:row r="104" spans="3:20" customHeight="1">
      <x:c r="C104" s="1" t="s">
        <x:v>466</x:v>
      </x:c>
      <x:c r="D104" s="60" t="s">
        <x:v>2214</x:v>
      </x:c>
      <x:c r="E104" s="209">
        <x:v>11.99823757485</x:v>
      </x:c>
      <x:c r="F104" s="209">
        <x:v>0.95999595191650633</x:v>
      </x:c>
      <x:c r="G104" s="209">
        <x:v>0.68510713886637842</x:v>
      </x:c>
      <x:c r="H104" s="209">
        <x:v>0.78958374312697543</x:v>
      </x:c>
      <x:c r="I104" s="209">
        <x:v>1.1477142215404792</x:v>
      </x:c>
      <x:c r="J104" s="209">
        <x:v>1.4883285855564059</x:v>
      </x:c>
      <x:c r="K104" s="209">
        <x:v>0.45469198339039624</x:v>
      </x:c>
      <x:c r="L104" s="209">
        <x:v>0.46807479449434103</x:v>
      </x:c>
      <x:c r="T104" s="199">
        <x:f t="shared" si="1"/>
        <x:v>1</x:v>
      </x:c>
    </x:row>
    <x:row r="105" spans="4:20" customHeight="1">
      <x:c r="D105" s="60"/>
      <x:c r="E105" s="210"/>
      <x:c r="F105" s="210"/>
      <x:c r="G105" s="210"/>
      <x:c r="H105" s="210"/>
      <x:c r="I105" s="210"/>
      <x:c r="J105" s="210"/>
      <x:c r="K105" s="210"/>
      <x:c r="L105" s="210"/>
      <x:c r="T105" s="247">
        <x:v>1</x:v>
      </x:c>
    </x:row>
    <x:row r="106" spans="2:20" customHeight="1">
      <x:c r="B106" s="2" t="s">
        <x:v>2509</x:v>
      </x:c>
      <x:c r="C106" s="2" t="s">
        <x:v>1913</x:v>
      </x:c>
      <x:c r="D106" s="60" t="s">
        <x:v>1135</x:v>
      </x:c>
      <x:c r="E106" s="209">
        <x:v>17.012797444444445</x:v>
      </x:c>
      <x:c r="F106" s="209">
        <x:v>23.047180171875006</x:v>
      </x:c>
      <x:c r="G106" s="209">
        <x:v>23.326705769230774</x:v>
      </x:c>
      <x:c r="H106" s="209">
        <x:v>25.619951819672135</x:v>
      </x:c>
      <x:c r="I106" s="209">
        <x:v>25.348243841269838</x:v>
      </x:c>
      <x:c r="J106" s="209">
        <x:v>21.214682584615385</x:v>
      </x:c>
      <x:c r="K106" s="209">
        <x:v>24.790180738461544</x:v>
      </x:c>
      <x:c r="L106" s="209">
        <x:v>25.064187839999999</x:v>
      </x:c>
      <x:c r="T106" s="199">
        <x:f>IF(COUNT(E106:L106)&lt;&gt;0,1,"")</x:f>
        <x:v>1</x:v>
      </x:c>
    </x:row>
    <x:row r="107" spans="3:20" customHeight="1">
      <x:c r="C107" s="1" t="s">
        <x:v>1912</x:v>
      </x:c>
      <x:c r="D107" s="60" t="s">
        <x:v>1135</x:v>
      </x:c>
      <x:c r="E107" s="209">
        <x:v>18.742477000000001</x:v>
      </x:c>
      <x:c r="F107" s="209">
        <x:v>27.147839000000001</x:v>
      </x:c>
      <x:c r="G107" s="209">
        <x:v>28.321614</x:v>
      </x:c>
      <x:c r="H107" s="209">
        <x:v>28.629103000000001</x:v>
      </x:c>
      <x:c r="I107" s="209">
        <x:v>27.763750999999999</x:v>
      </x:c>
      <x:c r="J107" s="209">
        <x:v>27.763750999999999</x:v>
      </x:c>
      <x:c r="K107" s="209">
        <x:v>26.770164999999999</x:v>
      </x:c>
      <x:c r="L107" s="209">
        <x:v>26.567796999999999</x:v>
      </x:c>
      <x:c r="T107" s="199">
        <x:f t="shared" si="1"/>
        <x:v>1</x:v>
      </x:c>
    </x:row>
    <x:row r="108" spans="3:20" customHeight="1">
      <x:c r="C108" s="1" t="s">
        <x:v>814</x:v>
      </x:c>
      <x:c r="D108" s="60" t="s">
        <x:v>1135</x:v>
      </x:c>
      <x:c r="E108" s="209">
        <x:v>16.142129000000001</x:v>
      </x:c>
      <x:c r="F108" s="209">
        <x:v>16.954022999999999</x:v>
      </x:c>
      <x:c r="G108" s="209">
        <x:v>20.562366000000001</x:v>
      </x:c>
      <x:c r="H108" s="209">
        <x:v>21.579639</x:v>
      </x:c>
      <x:c r="I108" s="209">
        <x:v>22.541761000000001</x:v>
      </x:c>
      <x:c r="J108" s="209">
        <x:v>18.074103000000001</x:v>
      </x:c>
      <x:c r="K108" s="209">
        <x:v>20.633316000000001</x:v>
      </x:c>
      <x:c r="L108" s="209">
        <x:v>22.923128999999999</x:v>
      </x:c>
      <x:c r="T108" s="199">
        <x:f t="shared" si="1"/>
        <x:v>1</x:v>
      </x:c>
    </x:row>
    <x:row r="109" spans="3:20" customHeight="1">
      <x:c r="C109" s="1" t="s">
        <x:v>1923</x:v>
      </x:c>
      <x:c r="D109" s="60" t="s">
        <x:v>1135</x:v>
      </x:c>
      <x:c r="E109" s="209">
        <x:v>16.790427000000001</x:v>
      </x:c>
      <x:c r="F109" s="209">
        <x:v>26.914670999999998</x:v>
      </x:c>
      <x:c r="G109" s="209">
        <x:v>21.775527</x:v>
      </x:c>
      <x:c r="H109" s="209">
        <x:v>26.402246000000002</x:v>
      </x:c>
      <x:c r="I109" s="209">
        <x:v>27.763750999999999</x:v>
      </x:c>
      <x:c r="J109" s="209">
        <x:v>21.017818999999999</x:v>
      </x:c>
      <x:c r="K109" s="209">
        <x:v>25.413573</x:v>
      </x:c>
      <x:c r="L109" s="209">
        <x:v>22.979292999999998</x:v>
      </x:c>
      <x:c r="T109" s="199">
        <x:f t="shared" si="1"/>
        <x:v>1</x:v>
      </x:c>
    </x:row>
    <x:row r="110" spans="3:20" customHeight="1">
      <x:c r="C110" s="1" t="s">
        <x:v>1917</x:v>
      </x:c>
      <x:c r="D110" s="60" t="s">
        <x:v>1135</x:v>
      </x:c>
      <x:c r="E110" s="209">
        <x:v>16.566718999999999</x:v>
      </x:c>
      <x:c r="F110" s="209">
        <x:v>24.147914999999998</x:v>
      </x:c>
      <x:c r="G110" s="209">
        <x:v>22.321362000000001</x:v>
      </x:c>
      <x:c r="H110" s="209">
        <x:v>26.488769000000001</x:v>
      </x:c>
      <x:c r="I110" s="209">
        <x:v>25.403683000000001</x:v>
      </x:c>
      <x:c r="J110" s="209">
        <x:v>19.584163</x:v>
      </x:c>
      <x:c r="K110" s="209">
        <x:v>25.919494</x:v>
      </x:c>
      <x:c r="L110" s="209">
        <x:v>25.323952999999999</x:v>
      </x:c>
      <x:c r="T110" s="199">
        <x:f t="shared" si="1"/>
        <x:v>1</x:v>
      </x:c>
    </x:row>
    <x:row r="111" spans="3:20" customHeight="1">
      <x:c r="C111" s="1" t="s">
        <x:v>466</x:v>
      </x:c>
      <x:c r="D111" s="60" t="s">
        <x:v>1135</x:v>
      </x:c>
      <x:c r="E111" s="209">
        <x:v>16.566718999999999</x:v>
      </x:c>
      <x:c r="F111" s="209">
        <x:v>3.4543529835690001</x:v>
      </x:c>
      <x:c r="G111" s="209">
        <x:v>2.7309703581017315</x:v>
      </x:c>
      <x:c r="H111" s="209">
        <x:v>2.4948208632267921</x:v>
      </x:c>
      <x:c r="I111" s="209">
        <x:v>1.2426489501933982</x:v>
      </x:c>
      <x:c r="J111" s="209">
        <x:v>3.4951965222588348</x:v>
      </x:c>
      <x:c r="K111" s="209">
        <x:v>2.1699189881961312</x:v>
      </x:c>
      <x:c r="L111" s="209">
        <x:v>1.0397272707915579</x:v>
      </x:c>
      <x:c r="T111" s="199">
        <x:f t="shared" si="1"/>
        <x:v>1</x:v>
      </x:c>
    </x:row>
    <x:row r="112" spans="4:20" customHeight="1">
      <x:c r="D112" s="60"/>
      <x:c r="E112" s="209"/>
      <x:c r="F112" s="209"/>
      <x:c r="G112" s="209"/>
      <x:c r="H112" s="209"/>
      <x:c r="I112" s="209"/>
      <x:c r="J112" s="209"/>
      <x:c r="K112" s="209"/>
      <x:c r="L112" s="209"/>
      <x:c r="T112" s="247">
        <x:v>1</x:v>
      </x:c>
    </x:row>
    <x:row r="113" spans="2:20" customHeight="1">
      <x:c r="B113" s="2" t="s">
        <x:v>494</x:v>
      </x:c>
      <x:c r="C113" s="2" t="s">
        <x:v>1913</x:v>
      </x:c>
      <x:c r="D113" s="60" t="s">
        <x:v>467</x:v>
      </x:c>
      <x:c r="E113" s="209">
        <x:v>14.550734126984132</x:v>
      </x:c>
      <x:c r="F113" s="209">
        <x:v>20.634861359374998</x:v>
      </x:c>
      <x:c r="G113" s="209">
        <x:v>21.120004738461546</x:v>
      </x:c>
      <x:c r="H113" s="209">
        <x:v>23.82345778688525</x:v>
      </x:c>
      <x:c r="I113" s="209">
        <x:v>23.341575825396831</x:v>
      </x:c>
      <x:c r="J113" s="209">
        <x:v>19.092604600000001</x:v>
      </x:c>
      <x:c r="K113" s="209">
        <x:v>22.924774030769228</x:v>
      </x:c>
      <x:c r="L113" s="209">
        <x:v>23.260823839999993</x:v>
      </x:c>
      <x:c r="T113" s="199">
        <x:f>IF(COUNT(E113:L113)&lt;&gt;0,1,"")</x:f>
        <x:v>1</x:v>
      </x:c>
    </x:row>
    <x:row r="114" spans="3:20" customHeight="1">
      <x:c r="C114" s="1" t="s">
        <x:v>1912</x:v>
      </x:c>
      <x:c r="D114" s="60" t="s">
        <x:v>467</x:v>
      </x:c>
      <x:c r="E114" s="209">
        <x:v>16.177351999999999</x:v>
      </x:c>
      <x:c r="F114" s="209">
        <x:v>24.988195000000001</x:v>
      </x:c>
      <x:c r="G114" s="209">
        <x:v>26.311250000000001</x:v>
      </x:c>
      <x:c r="H114" s="209">
        <x:v>27.158214000000001</x:v>
      </x:c>
      <x:c r="I114" s="209">
        <x:v>25.933457000000001</x:v>
      </x:c>
      <x:c r="J114" s="209">
        <x:v>25.933457000000001</x:v>
      </x:c>
      <x:c r="K114" s="209">
        <x:v>25.041284000000001</x:v>
      </x:c>
      <x:c r="L114" s="209">
        <x:v>24.818681000000002</x:v>
      </x:c>
      <x:c r="T114" s="199">
        <x:f t="shared" si="1"/>
        <x:v>1</x:v>
      </x:c>
    </x:row>
    <x:row r="115" spans="3:20" customHeight="1">
      <x:c r="C115" s="1" t="s">
        <x:v>814</x:v>
      </x:c>
      <x:c r="D115" s="60" t="s">
        <x:v>467</x:v>
      </x:c>
      <x:c r="E115" s="209">
        <x:v>13.697352</x:v>
      </x:c>
      <x:c r="F115" s="209">
        <x:v>14.586185</x:v>
      </x:c>
      <x:c r="G115" s="209">
        <x:v>18.196072999999998</x:v>
      </x:c>
      <x:c r="H115" s="209">
        <x:v>19.306132000000002</x:v>
      </x:c>
      <x:c r="I115" s="209">
        <x:v>20.175452</x:v>
      </x:c>
      <x:c r="J115" s="209">
        <x:v>15.778699</x:v>
      </x:c>
      <x:c r="K115" s="209">
        <x:v>18.547718</x:v>
      </x:c>
      <x:c r="L115" s="209">
        <x:v>21.156566000000002</x:v>
      </x:c>
      <x:c r="T115" s="199">
        <x:f t="shared" si="1"/>
        <x:v>1</x:v>
      </x:c>
    </x:row>
    <x:row r="116" spans="3:20" customHeight="1">
      <x:c r="C116" s="1" t="s">
        <x:v>1923</x:v>
      </x:c>
      <x:c r="D116" s="60" t="s">
        <x:v>467</x:v>
      </x:c>
      <x:c r="E116" s="209">
        <x:v>14.407085</x:v>
      </x:c>
      <x:c r="F116" s="209">
        <x:v>24.725373000000001</x:v>
      </x:c>
      <x:c r="G116" s="209">
        <x:v>19.521927000000002</x:v>
      </x:c>
      <x:c r="H116" s="209">
        <x:v>24.725059999999999</x:v>
      </x:c>
      <x:c r="I116" s="209">
        <x:v>25.933457000000001</x:v>
      </x:c>
      <x:c r="J116" s="209">
        <x:v>18.963742</x:v>
      </x:c>
      <x:c r="K116" s="209">
        <x:v>23.549047000000002</x:v>
      </x:c>
      <x:c r="L116" s="209">
        <x:v>21.218048</x:v>
      </x:c>
      <x:c r="T116" s="199">
        <x:f t="shared" si="1"/>
        <x:v>1</x:v>
      </x:c>
    </x:row>
    <x:row r="117" spans="3:20" customHeight="1">
      <x:c r="C117" s="1" t="s">
        <x:v>1917</x:v>
      </x:c>
      <x:c r="D117" s="60" t="s">
        <x:v>467</x:v>
      </x:c>
      <x:c r="E117" s="209">
        <x:v>14.162177</x:v>
      </x:c>
      <x:c r="F117" s="209">
        <x:v>21.606741499999998</x:v>
      </x:c>
      <x:c r="G117" s="209">
        <x:v>20.151551999999999</x:v>
      </x:c>
      <x:c r="H117" s="209">
        <x:v>24.82151</x:v>
      </x:c>
      <x:c r="I117" s="209">
        <x:v>23.414531</x:v>
      </x:c>
      <x:c r="J117" s="209">
        <x:v>17.412554</x:v>
      </x:c>
      <x:c r="K117" s="209">
        <x:v>24.105554999999999</x:v>
      </x:c>
      <x:c r="L117" s="209">
        <x:v>23.450465000000001</x:v>
      </x:c>
      <x:c r="T117" s="199">
        <x:f t="shared" si="1"/>
        <x:v>1</x:v>
      </x:c>
    </x:row>
    <x:row r="118" spans="3:20" customHeight="1">
      <x:c r="C118" s="1" t="s">
        <x:v>466</x:v>
      </x:c>
      <x:c r="D118" s="60" t="s">
        <x:v>467</x:v>
      </x:c>
      <x:c r="E118" s="209">
        <x:v>14.162177</x:v>
      </x:c>
      <x:c r="F118" s="209">
        <x:v>3.4480856589808133</x:v>
      </x:c>
      <x:c r="G118" s="209">
        <x:v>2.819828928632123</x:v>
      </x:c>
      <x:c r="H118" s="209">
        <x:v>2.7879374790070162</x:v>
      </x:c>
      <x:c r="I118" s="209">
        <x:v>1.3806114646766787</x:v>
      </x:c>
      <x:c r="J118" s="209">
        <x:v>3.6369390762373786</x:v>
      </x:c>
      <x:c r="K118" s="209">
        <x:v>2.2816136868474852</x:v>
      </x:c>
      <x:c r="L118" s="209">
        <x:v>1.0085006751215695</x:v>
      </x:c>
      <x:c r="T118" s="199">
        <x:f t="shared" si="1"/>
        <x:v>1</x:v>
      </x:c>
    </x:row>
    <x:row r="119" spans="4:20" customHeight="1">
      <x:c r="D119" s="60"/>
      <x:c r="E119" s="209"/>
      <x:c r="F119" s="209"/>
      <x:c r="G119" s="209"/>
      <x:c r="H119" s="209"/>
      <x:c r="I119" s="209"/>
      <x:c r="J119" s="209"/>
      <x:c r="K119" s="209"/>
      <x:c r="L119" s="209"/>
      <x:c r="T119" s="247">
        <x:v>1</x:v>
      </x:c>
    </x:row>
    <x:row r="120" spans="2:20" customHeight="1">
      <x:c r="B120" s="2" t="s">
        <x:v>495</x:v>
      </x:c>
      <x:c r="C120" s="2" t="s">
        <x:v>1913</x:v>
      </x:c>
      <x:c r="D120" s="60" t="s">
        <x:v>2552</x:v>
      </x:c>
      <x:c r="E120" s="209">
        <x:v>2.5722009841269839</x:v>
      </x:c>
      <x:c r="F120" s="209">
        <x:v>2.8969494999999998</x:v>
      </x:c>
      <x:c r="G120" s="209">
        <x:v>3.2890073076923079</x:v>
      </x:c>
      <x:c r="H120" s="209">
        <x:v>3.605162311475409</x:v>
      </x:c>
      <x:c r="I120" s="209">
        <x:v>3.8077274126984135</x:v>
      </x:c>
      <x:c r="J120" s="209">
        <x:v>3.832072507692307</x:v>
      </x:c>
      <x:c r="K120" s="209">
        <x:v>4.2940334</x:v>
      </x:c>
      <x:c r="L120" s="209">
        <x:v>4.2389460399999992</x:v>
      </x:c>
      <x:c r="T120" s="199">
        <x:f>IF(COUNT(E120:L120)&lt;&gt;0,1,"")</x:f>
        <x:v>1</x:v>
      </x:c>
    </x:row>
    <x:row r="121" spans="3:20" customHeight="1">
      <x:c r="C121" s="1" t="s">
        <x:v>1912</x:v>
      </x:c>
      <x:c r="D121" s="60" t="s">
        <x:v>2552</x:v>
      </x:c>
      <x:c r="E121" s="209">
        <x:v>2.829075</x:v>
      </x:c>
      <x:c r="F121" s="209">
        <x:v>3.3001749999999999</x:v>
      </x:c>
      <x:c r="G121" s="209">
        <x:v>3.5171389999999998</x:v>
      </x:c>
      <x:c r="H121" s="209">
        <x:v>3.9008579999999999</x:v>
      </x:c>
      <x:c r="I121" s="209">
        <x:v>4.3603180000000004</x:v>
      </x:c>
      <x:c r="J121" s="209">
        <x:v>4.3603180000000004</x:v>
      </x:c>
      <x:c r="K121" s="209">
        <x:v>4.501741</x:v>
      </x:c>
      <x:c r="L121" s="209">
        <x:v>4.4617230000000001</x:v>
      </x:c>
      <x:c r="T121" s="199">
        <x:f t="shared" si="1"/>
        <x:v>1</x:v>
      </x:c>
    </x:row>
    <x:row r="122" spans="3:20" customHeight="1">
      <x:c r="C122" s="1" t="s">
        <x:v>814</x:v>
      </x:c>
      <x:c r="D122" s="60" t="s">
        <x:v>2552</x:v>
      </x:c>
      <x:c r="E122" s="209">
        <x:v>2.4335149999999999</x:v>
      </x:c>
      <x:c r="F122" s="209">
        <x:v>2.5914280000000001</x:v>
      </x:c>
      <x:c r="G122" s="209">
        <x:v>3.0274809999999999</x:v>
      </x:c>
      <x:c r="H122" s="209">
        <x:v>3.2121740000000001</x:v>
      </x:c>
      <x:c r="I122" s="209">
        <x:v>3.2660309999999999</x:v>
      </x:c>
      <x:c r="J122" s="209">
        <x:v>3.4149400000000001</x:v>
      </x:c>
      <x:c r="K122" s="209">
        <x:v>4.0142309999999997</x:v>
      </x:c>
      <x:c r="L122" s="209">
        <x:v>4.0006690000000003</x:v>
      </x:c>
      <x:c r="T122" s="199">
        <x:f t="shared" si="1"/>
        <x:v>1</x:v>
      </x:c>
    </x:row>
    <x:row r="123" spans="3:20" customHeight="1">
      <x:c r="C123" s="1" t="s">
        <x:v>1923</x:v>
      </x:c>
      <x:c r="D123" s="60" t="s">
        <x:v>2552</x:v>
      </x:c>
      <x:c r="E123" s="209">
        <x:v>2.5596079999999999</x:v>
      </x:c>
      <x:c r="F123" s="209">
        <x:v>3.2654649999999998</x:v>
      </x:c>
      <x:c r="G123" s="209">
        <x:v>3.248078</x:v>
      </x:c>
      <x:c r="H123" s="209">
        <x:v>3.6743030000000001</x:v>
      </x:c>
      <x:c r="I123" s="209">
        <x:v>4.3603180000000004</x:v>
      </x:c>
      <x:c r="J123" s="209">
        <x:v>4.1042699999999996</x:v>
      </x:c>
      <x:c r="K123" s="209">
        <x:v>4.2334779999999999</x:v>
      </x:c>
      <x:c r="L123" s="209">
        <x:v>4.0122960000000001</x:v>
      </x:c>
      <x:c r="T123" s="199">
        <x:f t="shared" si="1"/>
        <x:v>1</x:v>
      </x:c>
    </x:row>
    <x:row r="124" spans="3:20" customHeight="1">
      <x:c r="C124" s="1" t="s">
        <x:v>1917</x:v>
      </x:c>
      <x:c r="D124" s="60" t="s">
        <x:v>2552</x:v>
      </x:c>
      <x:c r="E124" s="209">
        <x:v>2.5160969999999998</x:v>
      </x:c>
      <x:c r="F124" s="209">
        <x:v>2.8535889999999999</x:v>
      </x:c>
      <x:c r="G124" s="209">
        <x:v>3.3085100000000001</x:v>
      </x:c>
      <x:c r="H124" s="209">
        <x:v>3.678588</x:v>
      </x:c>
      <x:c r="I124" s="209">
        <x:v>3.8217500000000002</x:v>
      </x:c>
      <x:c r="J124" s="209">
        <x:v>3.768551</x:v>
      </x:c>
      <x:c r="K124" s="209">
        <x:v>4.3335229999999996</x:v>
      </x:c>
      <x:c r="L124" s="209">
        <x:v>4.2409100000000004</x:v>
      </x:c>
      <x:c r="T124" s="199">
        <x:f t="shared" si="1"/>
        <x:v>1</x:v>
      </x:c>
    </x:row>
    <x:row r="125" spans="3:20" customHeight="1">
      <x:c r="C125" s="1" t="s">
        <x:v>466</x:v>
      </x:c>
      <x:c r="D125" s="60" t="s">
        <x:v>2552</x:v>
      </x:c>
      <x:c r="E125" s="209">
        <x:v>2.5160969999999998</x:v>
      </x:c>
      <x:c r="F125" s="209">
        <x:v>0.20056651954860852</x:v>
      </x:c>
      <x:c r="G125" s="209">
        <x:v>0.13790970679522083</x:v>
      </x:c>
      <x:c r="H125" s="209">
        <x:v>0.22704284616395062</x:v>
      </x:c>
      <x:c r="I125" s="209">
        <x:v>0.28694875806798303</x:v>
      </x:c>
      <x:c r="J125" s="209">
        <x:v>0.29395053698153173</x:v>
      </x:c>
      <x:c r="K125" s="209">
        <x:v>0.1348573294872466</x:v>
      </x:c>
      <x:c r="L125" s="209">
        <x:v>0.11733041601450375</x:v>
      </x:c>
      <x:c r="T125" s="199">
        <x:f t="shared" si="1"/>
        <x:v>1</x:v>
      </x:c>
    </x:row>
    <x:row r="126" spans="4:20" customHeight="1">
      <x:c r="D126" s="60"/>
      <x:c r="E126" s="210"/>
      <x:c r="F126" s="210"/>
      <x:c r="G126" s="210"/>
      <x:c r="H126" s="210"/>
      <x:c r="I126" s="210"/>
      <x:c r="J126" s="210"/>
      <x:c r="K126" s="210"/>
      <x:c r="L126" s="210"/>
      <x:c r="T126" s="247">
        <x:v>1</x:v>
      </x:c>
    </x:row>
    <x:row r="127" spans="2:20" customHeight="1">
      <x:c r="B127" s="2" t="s">
        <x:v>172</x:v>
      </x:c>
      <x:c r="C127" s="2" t="s">
        <x:v>1913</x:v>
      </x:c>
      <x:c r="D127" s="60" t="s">
        <x:v>2548</x:v>
      </x:c>
      <x:c r="E127" s="209">
        <x:v>2.510406184490682</x:v>
      </x:c>
      <x:c r="F127" s="209">
        <x:v>2.8201363339084473</x:v>
      </x:c>
      <x:c r="G127" s="209">
        <x:v>3.1935841213708454</x:v>
      </x:c>
      <x:c r="H127" s="209">
        <x:v>3.4785078426624643</x:v>
      </x:c>
      <x:c r="I127" s="209">
        <x:v>3.593738597078791</x:v>
      </x:c>
      <x:c r="J127" s="209">
        <x:v>3.5865552600375477</x:v>
      </x:c>
      <x:c r="K127" s="209">
        <x:v>4.0454087079409566</x:v>
      </x:c>
      <x:c r="L127" s="209">
        <x:v>4.0084268869393398</x:v>
      </x:c>
      <x:c r="T127" s="199">
        <x:f>IF(COUNT(E127:L127)&lt;&gt;0,1,"")</x:f>
        <x:v>1</x:v>
      </x:c>
    </x:row>
    <x:row r="128" spans="3:20" customHeight="1">
      <x:c r="C128" s="1" t="s">
        <x:v>1912</x:v>
      </x:c>
      <x:c r="D128" s="60" t="s">
        <x:v>2548</x:v>
      </x:c>
      <x:c r="E128" s="209">
        <x:v>2.7440174710642</x:v>
      </x:c>
      <x:c r="F128" s="209">
        <x:v>3.2095600011120999</x:v>
      </x:c>
      <x:c r="G128" s="209">
        <x:v>3.4104449300972002</x:v>
      </x:c>
      <x:c r="H128" s="209">
        <x:v>3.7634245211053998</x:v>
      </x:c>
      <x:c r="I128" s="209">
        <x:v>4.0884102892836003</x:v>
      </x:c>
      <x:c r="J128" s="209">
        <x:v>4.0884102892836003</x:v>
      </x:c>
      <x:c r="K128" s="209">
        <x:v>4.2450647114675002</x:v>
      </x:c>
      <x:c r="L128" s="209">
        <x:v>4.2038939694215998</x:v>
      </x:c>
      <x:c r="T128" s="199">
        <x:f t="shared" si="1"/>
        <x:v>1</x:v>
      </x:c>
    </x:row>
    <x:row r="129" spans="3:20" customHeight="1">
      <x:c r="C129" s="1" t="s">
        <x:v>814</x:v>
      </x:c>
      <x:c r="D129" s="60" t="s">
        <x:v>2548</x:v>
      </x:c>
      <x:c r="E129" s="209">
        <x:v>2.3816289560980999</x:v>
      </x:c>
      <x:c r="F129" s="209">
        <x:v>2.5079503018319</x:v>
      </x:c>
      <x:c r="G129" s="209">
        <x:v>2.9356417668328998</x:v>
      </x:c>
      <x:c r="H129" s="209">
        <x:v>3.1192828863286</x:v>
      </x:c>
      <x:c r="I129" s="209">
        <x:v>3.1563879576003</x:v>
      </x:c>
      <x:c r="J129" s="209">
        <x:v>3.1993563923411998</x:v>
      </x:c>
      <x:c r="K129" s="209">
        <x:v>3.7597317723067998</x:v>
      </x:c>
      <x:c r="L129" s="209">
        <x:v>3.7956257619835001</x:v>
      </x:c>
      <x:c r="T129" s="199">
        <x:f t="shared" si="1"/>
        <x:v>1</x:v>
      </x:c>
    </x:row>
    <x:row r="130" spans="3:20" customHeight="1">
      <x:c r="C130" s="1" t="s">
        <x:v>1923</x:v>
      </x:c>
      <x:c r="D130" s="60" t="s">
        <x:v>2548</x:v>
      </x:c>
      <x:c r="E130" s="209">
        <x:v>2.5079503018319</x:v>
      </x:c>
      <x:c r="F130" s="209">
        <x:v>3.1766728112116001</x:v>
      </x:c>
      <x:c r="G130" s="209">
        <x:v>3.1494874939081998</x:v>
      </x:c>
      <x:c r="H130" s="209">
        <x:v>3.5494791877657001</x:v>
      </x:c>
      <x:c r="I130" s="209">
        <x:v>4.0884102892836003</x:v>
      </x:c>
      <x:c r="J130" s="209">
        <x:v>3.8414578614238</x:v>
      </x:c>
      <x:c r="K130" s="209">
        <x:v>3.9872295622865002</x:v>
      </x:c>
      <x:c r="L130" s="209" t="s">
        <x:v>818</x:v>
      </x:c>
      <x:c r="T130" s="199">
        <x:f t="shared" si="1"/>
        <x:v>1</x:v>
      </x:c>
    </x:row>
    <x:row r="131" spans="3:20" customHeight="1">
      <x:c r="C131" s="1" t="s">
        <x:v>1917</x:v>
      </x:c>
      <x:c r="D131" s="60" t="s">
        <x:v>2548</x:v>
      </x:c>
      <x:c r="E131" s="209">
        <x:v>2.4695144725671998</x:v>
      </x:c>
      <x:c r="F131" s="209">
        <x:v>2.7830177175011999</x:v>
      </x:c>
      <x:c r="G131" s="209">
        <x:v>3.2080846091795001</x:v>
      </x:c>
      <x:c r="H131" s="209">
        <x:v>3.5465877484032</x:v>
      </x:c>
      <x:c r="I131" s="209">
        <x:v>3.5916797061060999</x:v>
      </x:c>
      <x:c r="J131" s="209">
        <x:v>3.5059974074065998</x:v>
      </x:c>
      <x:c r="K131" s="209">
        <x:v>4.0937046503580996</x:v>
      </x:c>
      <x:c r="L131" s="209">
        <x:v>4.0065560546696997</x:v>
      </x:c>
      <x:c r="T131" s="199">
        <x:f t="shared" si="1"/>
        <x:v>1</x:v>
      </x:c>
    </x:row>
    <x:row r="132" spans="3:20" customHeight="1">
      <x:c r="C132" s="1" t="s">
        <x:v>466</x:v>
      </x:c>
      <x:c r="D132" s="60" t="s">
        <x:v>2548</x:v>
      </x:c>
      <x:c r="E132" s="209">
        <x:v>2.4695144725671998</x:v>
      </x:c>
      <x:c r="F132" s="209">
        <x:v>0.19058863247421728</x:v>
      </x:c>
      <x:c r="G132" s="209">
        <x:v>0.13559455181770236</x:v>
      </x:c>
      <x:c r="H132" s="209">
        <x:v>0.21129346544944147</x:v>
      </x:c>
      <x:c r="I132" s="209">
        <x:v>0.24261528152854417</x:v>
      </x:c>
      <x:c r="J132" s="209">
        <x:v>0.27771234466781902</x:v>
      </x:c>
      <x:c r="K132" s="209">
        <x:v>0.13052371072972324</x:v>
      </x:c>
      <x:c r="L132" s="209">
        <x:v>0.096901307198364262</x:v>
      </x:c>
      <x:c r="T132" s="199">
        <x:f t="shared" si="1"/>
        <x:v>1</x:v>
      </x:c>
    </x:row>
    <x:row r="133" spans="4:20" customHeight="1">
      <x:c r="D133" s="60"/>
      <x:c r="E133" s="210"/>
      <x:c r="F133" s="210"/>
      <x:c r="G133" s="210"/>
      <x:c r="H133" s="210"/>
      <x:c r="I133" s="210"/>
      <x:c r="J133" s="210"/>
      <x:c r="K133" s="210"/>
      <x:c r="L133" s="210"/>
      <x:c r="T133" s="247">
        <x:v>1</x:v>
      </x:c>
    </x:row>
    <x:row r="134" spans="2:20" customHeight="1">
      <x:c r="B134" s="2" t="s">
        <x:v>262</x:v>
      </x:c>
      <x:c r="C134" s="2" t="s">
        <x:v>1913</x:v>
      </x:c>
      <x:c r="D134" s="60" t="s">
        <x:v>2549</x:v>
      </x:c>
      <x:c r="E134" s="209">
        <x:v>17.58028609523809</x:v>
      </x:c>
      <x:c r="F134" s="209">
        <x:v>19.675536124999994</x:v>
      </x:c>
      <x:c r="G134" s="209">
        <x:v>22.501541338461543</x:v>
      </x:c>
      <x:c r="H134" s="209">
        <x:v>25.024276163934424</x:v>
      </x:c>
      <x:c r="I134" s="209">
        <x:v>25.62439350793651</x:v>
      </x:c>
      <x:c r="J134" s="209">
        <x:v>25.230568323076923</x:v>
      </x:c>
      <x:c r="K134" s="209">
        <x:v>27.328716015384604</x:v>
      </x:c>
      <x:c r="L134" s="209">
        <x:v>26.995846999999994</x:v>
      </x:c>
      <x:c r="T134" s="199">
        <x:f>IF(COUNT(E134:L134)&lt;&gt;0,1,"")</x:f>
        <x:v>1</x:v>
      </x:c>
    </x:row>
    <x:row r="135" spans="3:20" customHeight="1">
      <x:c r="C135" s="1" t="s">
        <x:v>1912</x:v>
      </x:c>
      <x:c r="D135" s="60" t="s">
        <x:v>2549</x:v>
      </x:c>
      <x:c r="E135" s="209">
        <x:v>19.201951999999999</x:v>
      </x:c>
      <x:c r="F135" s="209">
        <x:v>22.375748999999999</x:v>
      </x:c>
      <x:c r="G135" s="209">
        <x:v>24.224360000000001</x:v>
      </x:c>
      <x:c r="H135" s="209">
        <x:v>27.513831</x:v>
      </x:c>
      <x:c r="I135" s="209">
        <x:v>29.111415000000001</x:v>
      </x:c>
      <x:c r="J135" s="209">
        <x:v>29.111415000000001</x:v>
      </x:c>
      <x:c r="K135" s="209">
        <x:v>28.380845999999998</x:v>
      </x:c>
      <x:c r="L135" s="209">
        <x:v>28.481867999999999</x:v>
      </x:c>
      <x:c r="T135" s="199">
        <x:f t="shared" si="1"/>
        <x:v>1</x:v>
      </x:c>
    </x:row>
    <x:row r="136" spans="3:20" customHeight="1">
      <x:c r="C136" s="1" t="s">
        <x:v>814</x:v>
      </x:c>
      <x:c r="D136" s="60" t="s">
        <x:v>2549</x:v>
      </x:c>
      <x:c r="E136" s="209">
        <x:v>16.691991999999999</x:v>
      </x:c>
      <x:c r="F136" s="209">
        <x:v>17.775148999999999</x:v>
      </x:c>
      <x:c r="G136" s="209">
        <x:v>20.623173999999999</x:v>
      </x:c>
      <x:c r="H136" s="209">
        <x:v>22.123911</x:v>
      </x:c>
      <x:c r="I136" s="209">
        <x:v>22.512438</x:v>
      </x:c>
      <x:c r="J136" s="209">
        <x:v>22.354367</x:v>
      </x:c>
      <x:c r="K136" s="209">
        <x:v>25.679538999999998</x:v>
      </x:c>
      <x:c r="L136" s="209">
        <x:v>26.157924999999999</x:v>
      </x:c>
      <x:c r="T136" s="199">
        <x:f t="shared" si="1"/>
        <x:v>1</x:v>
      </x:c>
    </x:row>
    <x:row r="137" spans="3:20" customHeight="1">
      <x:c r="C137" s="1" t="s">
        <x:v>1923</x:v>
      </x:c>
      <x:c r="D137" s="60" t="s">
        <x:v>2549</x:v>
      </x:c>
      <x:c r="E137" s="209">
        <x:v>17.556894</x:v>
      </x:c>
      <x:c r="F137" s="209">
        <x:v>22.140405000000001</x:v>
      </x:c>
      <x:c r="G137" s="209">
        <x:v>22.371202</x:v>
      </x:c>
      <x:c r="H137" s="209">
        <x:v>25.326619999999998</x:v>
      </x:c>
      <x:c r="I137" s="209">
        <x:v>29.111415000000001</x:v>
      </x:c>
      <x:c r="J137" s="209">
        <x:v>26.866755999999999</x:v>
      </x:c>
      <x:c r="K137" s="209">
        <x:v>26.689599999999999</x:v>
      </x:c>
      <x:c r="L137" s="209">
        <x:v>26.233941999999999</x:v>
      </x:c>
      <x:c r="T137" s="199">
        <x:f t="shared" si="1"/>
        <x:v>1</x:v>
      </x:c>
    </x:row>
    <x:row r="138" spans="3:20" customHeight="1">
      <x:c r="C138" s="1" t="s">
        <x:v>1917</x:v>
      </x:c>
      <x:c r="D138" s="60" t="s">
        <x:v>2549</x:v>
      </x:c>
      <x:c r="E138" s="209">
        <x:v>17.258441999999999</x:v>
      </x:c>
      <x:c r="F138" s="209">
        <x:v>19.347817499999998</x:v>
      </x:c>
      <x:c r="G138" s="209">
        <x:v>22.730436000000001</x:v>
      </x:c>
      <x:c r="H138" s="209">
        <x:v>25.425416999999999</x:v>
      </x:c>
      <x:c r="I138" s="209">
        <x:v>25.515694</x:v>
      </x:c>
      <x:c r="J138" s="209">
        <x:v>24.669119999999999</x:v>
      </x:c>
      <x:c r="K138" s="209">
        <x:v>27.441966000000001</x:v>
      </x:c>
      <x:c r="L138" s="209">
        <x:v>26.736453999999998</x:v>
      </x:c>
      <x:c r="T138" s="199">
        <x:f t="shared" si="1"/>
        <x:v>1</x:v>
      </x:c>
    </x:row>
    <x:row r="139" spans="3:20" customHeight="1">
      <x:c r="C139" s="1" t="s">
        <x:v>466</x:v>
      </x:c>
      <x:c r="D139" s="60" t="s">
        <x:v>2549</x:v>
      </x:c>
      <x:c r="E139" s="209">
        <x:v>17.258441999999999</x:v>
      </x:c>
      <x:c r="F139" s="209">
        <x:v>1.3152905961625161</x:v>
      </x:c>
      <x:c r="G139" s="209">
        <x:v>0.94234617181101143</x:v>
      </x:c>
      <x:c r="H139" s="209">
        <x:v>1.7415991481086208</x:v>
      </x:c>
      <x:c r="I139" s="209">
        <x:v>1.7300958257003205</x:v>
      </x:c>
      <x:c r="J139" s="209">
        <x:v>2.1324153897581488</x:v>
      </x:c>
      <x:c r="K139" s="209">
        <x:v>0.60235015808675785</x:v>
      </x:c>
      <x:c r="L139" s="209">
        <x:v>0.66116064242464911</x:v>
      </x:c>
      <x:c r="T139" s="199">
        <x:f t="shared" si="1"/>
        <x:v>1</x:v>
      </x:c>
    </x:row>
    <x:row r="140" spans="4:20" customHeight="1">
      <x:c r="D140" s="60"/>
      <x:c r="E140" s="210"/>
      <x:c r="F140" s="210"/>
      <x:c r="G140" s="210"/>
      <x:c r="H140" s="210"/>
      <x:c r="I140" s="210"/>
      <x:c r="J140" s="210"/>
      <x:c r="K140" s="210"/>
      <x:c r="L140" s="210"/>
      <x:c r="T140" s="247">
        <x:v>1</x:v>
      </x:c>
    </x:row>
    <x:row r="141" spans="2:20" customHeight="1">
      <x:c r="B141" s="2" t="s">
        <x:v>1138</x:v>
      </x:c>
      <x:c r="C141" s="2" t="s">
        <x:v>1913</x:v>
      </x:c>
      <x:c r="D141" s="60" t="s">
        <x:v>1139</x:v>
      </x:c>
      <x:c r="E141" s="209">
        <x:v>3.9213742956780702</x:v>
      </x:c>
      <x:c r="F141" s="209">
        <x:v>4.0151041185978338</x:v>
      </x:c>
      <x:c r="G141" s="209">
        <x:v>4.4983622128135909</x:v>
      </x:c>
      <x:c r="H141" s="209">
        <x:v>3.8026354867321599</x:v>
      </x:c>
      <x:c r="I141" s="209">
        <x:v>3.3418099890617361</x:v>
      </x:c>
      <x:c r="J141" s="209">
        <x:v>3.260361988725673</x:v>
      </x:c>
      <x:c r="K141" s="209">
        <x:v>3.4392922276821905</x:v>
      </x:c>
      <x:c r="L141" s="209">
        <x:v>3.3052369494583433</x:v>
      </x:c>
      <x:c r="T141" s="199">
        <x:f>IF(COUNT(E141:L141)&lt;&gt;0,1,"")</x:f>
        <x:v>1</x:v>
      </x:c>
    </x:row>
    <x:row r="142" spans="3:20" customHeight="1">
      <x:c r="C142" s="1" t="s">
        <x:v>1912</x:v>
      </x:c>
      <x:c r="D142" s="60" t="s">
        <x:v>1139</x:v>
      </x:c>
      <x:c r="E142" s="209">
        <x:v>4.5543083613100004</x:v>
      </x:c>
      <x:c r="F142" s="209">
        <x:v>4.4455610985048004</x:v>
      </x:c>
      <x:c r="G142" s="209">
        <x:v>5.1940025771274998</x:v>
      </x:c>
      <x:c r="H142" s="209">
        <x:v>5.0829515506555003</x:v>
      </x:c>
      <x:c r="I142" s="209">
        <x:v>3.8235760156601999</x:v>
      </x:c>
      <x:c r="J142" s="209">
        <x:v>3.8235760156601999</x:v>
      </x:c>
      <x:c r="K142" s="209">
        <x:v>3.8318307336130002</x:v>
      </x:c>
      <x:c r="L142" s="209">
        <x:v>3.8146917352359</x:v>
      </x:c>
      <x:c r="T142" s="199">
        <x:f t="shared" si="1"/>
        <x:v>1</x:v>
      </x:c>
    </x:row>
    <x:row r="143" spans="3:20" customHeight="1">
      <x:c r="C143" s="1" t="s">
        <x:v>814</x:v>
      </x:c>
      <x:c r="D143" s="60" t="s">
        <x:v>1139</x:v>
      </x:c>
      <x:c r="E143" s="209">
        <x:v>3.5407498936174</x:v>
      </x:c>
      <x:c r="F143" s="209">
        <x:v>3.6664288587653999</x:v>
      </x:c>
      <x:c r="G143" s="209">
        <x:v>3.9882161702330001</x:v>
      </x:c>
      <x:c r="H143" s="209">
        <x:v>3.0329734864229998</x:v>
      </x:c>
      <x:c r="I143" s="209">
        <x:v>2.7591201234736</x:v>
      </x:c>
      <x:c r="J143" s="209">
        <x:v>2.6687746929678999</x:v>
      </x:c>
      <x:c r="K143" s="209">
        <x:v>3.1536989279354999</x:v>
      </x:c>
      <x:c r="L143" s="209">
        <x:v>3.0967144562755999</x:v>
      </x:c>
      <x:c r="T143" s="199">
        <x:f t="shared" si="1"/>
        <x:v>1</x:v>
      </x:c>
    </x:row>
    <x:row r="144" spans="3:20" customHeight="1">
      <x:c r="C144" s="1" t="s">
        <x:v>1923</x:v>
      </x:c>
      <x:c r="D144" s="60" t="s">
        <x:v>1139</x:v>
      </x:c>
      <x:c r="E144" s="209">
        <x:v>3.8415842504609001</x:v>
      </x:c>
      <x:c r="F144" s="209">
        <x:v>4.4011520211369</x:v>
      </x:c>
      <x:c r="G144" s="209">
        <x:v>4.7976764515198003</x:v>
      </x:c>
      <x:c r="H144" s="209">
        <x:v>3.0993917574852001</x:v>
      </x:c>
      <x:c r="I144" s="209">
        <x:v>3.8235760156601999</x:v>
      </x:c>
      <x:c r="J144" s="209">
        <x:v>3.3749701635615001</x:v>
      </x:c>
      <x:c r="K144" s="209">
        <x:v>3.1536989279354999</x:v>
      </x:c>
      <x:c r="L144" s="209" t="s">
        <x:v>818</x:v>
      </x:c>
      <x:c r="T144" s="199">
        <x:f t="shared" ref="T144:T146" si="2">IF(COUNT(E144:L144)&lt;&gt;0,1,"")</x:f>
        <x:v>1</x:v>
      </x:c>
    </x:row>
    <x:row r="145" spans="3:20" customHeight="1">
      <x:c r="C145" s="1" t="s">
        <x:v>1917</x:v>
      </x:c>
      <x:c r="D145" s="60" t="s">
        <x:v>1139</x:v>
      </x:c>
      <x:c r="E145" s="209">
        <x:v>3.8415842504609001</x:v>
      </x:c>
      <x:c r="F145" s="209">
        <x:v>3.9603699173689999</x:v>
      </x:c>
      <x:c r="G145" s="209">
        <x:v>4.4558264318615999</x:v>
      </x:c>
      <x:c r="H145" s="209">
        <x:v>3.2628284003468</x:v>
      </x:c>
      <x:c r="I145" s="209">
        <x:v>3.3631440134200998</x:v>
      </x:c>
      <x:c r="J145" s="209">
        <x:v>3.3030088998126002</x:v>
      </x:c>
      <x:c r="K145" s="209">
        <x:v>3.3697837854457</x:v>
      </x:c>
      <x:c r="L145" s="209">
        <x:v>3.2321905443874002</x:v>
      </x:c>
      <x:c r="T145" s="199">
        <x:f t="shared" si="2"/>
        <x:v>1</x:v>
      </x:c>
    </x:row>
    <x:row r="146" spans="3:20" customHeight="1">
      <x:c r="C146" s="1" t="s">
        <x:v>466</x:v>
      </x:c>
      <x:c r="D146" s="60" t="s">
        <x:v>1139</x:v>
      </x:c>
      <x:c r="E146" s="209">
        <x:v>3.8415842504609001</x:v>
      </x:c>
      <x:c r="F146" s="209">
        <x:v>0.19328814460702071</x:v>
      </x:c>
      <x:c r="G146" s="209">
        <x:v>0.35240463099993058</x:v>
      </x:c>
      <x:c r="H146" s="209">
        <x:v>0.7685252032898896</x:v>
      </x:c>
      <x:c r="I146" s="209">
        <x:v>0.2697862048295766</x:v>
      </x:c>
      <x:c r="J146" s="209">
        <x:v>0.35783345834188679</x:v>
      </x:c>
      <x:c r="K146" s="209">
        <x:v>0.20221526918137028</x:v>
      </x:c>
      <x:c r="L146" s="209">
        <x:v>0.19499871390825771</x:v>
      </x:c>
      <x:c r="T146" s="199">
        <x:f t="shared" si="2"/>
        <x:v>1</x:v>
      </x:c>
    </x:row>
    <x:row r="147" spans="2:12">
      <x:c r="B147" s="37"/>
      <x:c r="C147" s="37"/>
      <x:c r="D147" s="37"/>
      <x:c r="E147" s="37"/>
      <x:c r="F147" s="37"/>
      <x:c r="G147" s="37"/>
      <x:c r="H147" s="37"/>
      <x:c r="I147" s="37"/>
      <x:c r="J147" s="37"/>
      <x:c r="K147" s="37"/>
      <x:c r="L147" s="37"/>
    </x:row>
    <x:row r="148" spans="2:2" customHeight="1">
      <x:c r="B148" s="235"/>
    </x:row>
    <x:row r="149" spans="2:2" customHeight="1">
      <x:c r="B149" s="235" t="s">
        <x:v>113</x:v>
      </x:c>
    </x:row>
  </x:sheetData>
  <x:pageMargins left="0.69999998807907104" right="0.69999998807907104" top="0.75" bottom="0.75" header="0.30000001192092896" footer="0.30000001192092896"/>
  <x:pageSetup paperSize="1" scale="39" firstPageNumber="1" fitToWidth="1" fitToHeight="1" orientation="portrait" usePrinterDefaults="1" blackAndWhite="0" draft="0" useFirstPageNumber="0" horizontalDpi="90" verticalDpi="90" copies="1"/>
  <x:colBreaks count="1" manualBreakCount="1">
    <x:brk id="13" min="0" max="16383" man="1" pt="0"/>
  </x:colBreaks>
  <x:legacy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P53"/>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36.1640625" style="1" customWidth="1"/>
    <x:col min="3" max="3" width="20.83203125" style="3" hidden="1" customWidth="1" outlineLevel="1"/>
    <x:col min="4" max="4" width="13.33203125" style="3" hidden="1" customWidth="1" outlineLevel="1"/>
    <x:col min="5" max="5" width="13.5" style="1" customWidth="1" collapsed="1"/>
    <x:col min="6" max="16" width="13.5" style="1" customWidth="1"/>
  </x:cols>
  <x:sheetData>
    <x:row r="1" spans="1:10">
      <x:c r="A1" s="46"/>
      <x:c r="B1" s="46"/>
      <x:c r="C1" s="84"/>
      <x:c r="D1" s="84"/>
      <x:c r="E1" s="46"/>
      <x:c r="F1" s="46"/>
      <x:c r="G1" s="46"/>
      <x:c r="H1" s="46"/>
      <x:c r="I1" s="46"/>
      <x:c r="J1" s="46"/>
    </x:row>
    <x:row r="2" spans="1:10" ht="16.5">
      <x:c r="A2" s="46"/>
      <x:c r="B2" s="49" t="str">
        <x:f>E9</x:f>
        <x:v>International Business Machines Corporation</x:v>
      </x:c>
      <x:c r="C2" s="90"/>
      <x:c r="D2" s="90"/>
      <x:c r="E2" s="52"/>
      <x:c r="F2" s="52"/>
      <x:c r="G2" s="52"/>
      <x:c r="H2" s="50"/>
      <x:c r="I2" s="50"/>
      <x:c r="J2" s="104" t="s">
        <x:v>1558</x:v>
      </x:c>
    </x:row>
    <x:row r="3" spans="1:10" ht="17.25" customHeight="1">
      <x:c r="A3" s="46"/>
      <x:c r="B3" s="53" t="str">
        <x:f>"Data in "&amp;'Pension-OPEB'!$AC$18</x:f>
        <x:v>Data in ($M)</x:v>
      </x:c>
      <x:c r="C3" s="53"/>
      <x:c r="D3" s="84"/>
      <x:c r="E3" s="46"/>
      <x:c r="F3" s="46"/>
      <x:c r="G3" s="46"/>
      <x:c r="H3" s="54"/>
      <x:c r="I3" s="54"/>
      <x:c r="J3" s="54"/>
    </x:row>
    <x:row r="4" spans="1:10" hidden="1" outlineLevel="1">
      <x:c r="A4" s="46"/>
      <x:c r="B4" s="55"/>
      <x:c r="C4" s="56" t="s">
        <x:v>1435</x:v>
      </x:c>
      <x:c r="D4" s="56"/>
      <x:c r="E4" s="58" t="str">
        <x:f>Key_Stats!$F$9</x:f>
        <x:v>NYSE:IBM</x:v>
      </x:c>
      <x:c r="F4" s="58" t="str">
        <x:f>Key_Stats!$F$9</x:f>
        <x:v>NYSE:IBM</x:v>
      </x:c>
      <x:c r="G4" s="58" t="str">
        <x:f>Key_Stats!$F$9</x:f>
        <x:v>NYSE:IBM</x:v>
      </x:c>
      <x:c r="H4" s="58" t="str">
        <x:f>Key_Stats!$F$9</x:f>
        <x:v>NYSE:IBM</x:v>
      </x:c>
      <x:c r="I4" s="58" t="str">
        <x:f>Key_Stats!$F$9</x:f>
        <x:v>NYSE:IBM</x:v>
      </x:c>
      <x:c r="J4" s="58" t="str">
        <x:f>Key_Stats!$F$9</x:f>
        <x:v>NYSE:IBM</x:v>
      </x:c>
    </x:row>
    <x:row r="5" spans="1:10" hidden="1" outlineLevel="1">
      <x:c r="A5" s="46"/>
      <x:c r="B5" s="55"/>
      <x:c r="C5" s="56"/>
      <x:c r="D5" s="56"/>
      <x:c r="E5" s="58" t="s">
        <x:v>1933</x:v>
      </x:c>
      <x:c r="F5" s="58" t="s">
        <x:v>1935</x:v>
      </x:c>
      <x:c r="G5" s="58" t="s">
        <x:v>1918</x:v>
      </x:c>
      <x:c r="H5" s="58" t="s">
        <x:v>1919</x:v>
      </x:c>
      <x:c r="I5" s="58" t="s">
        <x:v>1901</x:v>
      </x:c>
      <x:c r="J5" s="58" t="s">
        <x:v>817</x:v>
      </x:c>
    </x:row>
    <x:row r="6" spans="1:10" hidden="1" outlineLevel="1">
      <x:c r="A6" s="46"/>
      <x:c r="B6" s="55"/>
      <x:c r="C6" s="56"/>
      <x:c r="D6" s="56"/>
      <x:c r="E6" s="181">
        <x:f>IF(Key_Stats!$F$15="","",Key_Stats!$F$15)</x:f>
        <x:v>46059</x:v>
      </x:c>
      <x:c r="F6" s="181">
        <x:f>IF(Key_Stats!$F$15="","",Key_Stats!$F$15)</x:f>
        <x:v>46059</x:v>
      </x:c>
      <x:c r="G6" s="181">
        <x:f>IF(Key_Stats!$F$15="","",Key_Stats!$F$15)</x:f>
        <x:v>46059</x:v>
      </x:c>
      <x:c r="H6" s="181">
        <x:f>IF(Key_Stats!$F$15="","",Key_Stats!$F$15)</x:f>
        <x:v>46059</x:v>
      </x:c>
      <x:c r="I6" s="181">
        <x:f>IF(Key_Stats!$F$15="","",Key_Stats!$F$15)</x:f>
        <x:v>46059</x:v>
      </x:c>
      <x:c r="J6" s="181">
        <x:f>IF(Key_Stats!$F$15="","",Key_Stats!$F$15)</x:f>
        <x:v>46059</x:v>
      </x:c>
    </x:row>
    <x:row r="7" spans="1:10" hidden="1" outlineLevel="1">
      <x:c r="A7" s="46"/>
      <x:c r="B7" s="55"/>
      <x:c r="C7" s="91"/>
      <x:c r="D7" s="91"/>
      <x:c r="E7" s="46"/>
      <x:c r="F7" s="46"/>
      <x:c r="G7" s="46"/>
      <x:c r="H7" s="54"/>
      <x:c r="I7" s="54"/>
      <x:c r="J7" s="54"/>
    </x:row>
    <x:row r="8" spans="1:10" hidden="1" outlineLevel="1">
      <x:c r="A8" s="46"/>
      <x:c r="B8" s="55"/>
      <x:c r="C8" s="91"/>
      <x:c r="D8" s="91"/>
      <x:c r="E8" s="46"/>
      <x:c r="F8" s="46"/>
      <x:c r="G8" s="46"/>
      <x:c r="H8" s="54"/>
      <x:c r="I8" s="54"/>
      <x:c r="J8" s="54"/>
    </x:row>
    <x:row r="9" spans="1:10" hidden="1" outlineLevel="1">
      <x:c r="A9" s="46"/>
      <x:c r="B9" s="55"/>
      <x:c r="C9" s="60" t="s">
        <x:v>2049</x:v>
      </x:c>
      <x:c r="D9" s="60"/>
      <x:c r="E9" s="224" t="s">
        <x:v>1006</x:v>
      </x:c>
      <x:c r="F9" s="224" t="s">
        <x:v>1006</x:v>
      </x:c>
      <x:c r="G9" s="224" t="s">
        <x:v>1006</x:v>
      </x:c>
      <x:c r="H9" s="54" t="s">
        <x:v>1006</x:v>
      </x:c>
      <x:c r="I9" s="54" t="s">
        <x:v>1006</x:v>
      </x:c>
      <x:c r="J9" s="54" t="s">
        <x:v>1006</x:v>
      </x:c>
    </x:row>
    <x:row r="10" spans="1:10" hidden="1" outlineLevel="1">
      <x:c r="A10" s="46"/>
      <x:c r="B10" s="55"/>
      <x:c r="C10" s="60" t="s">
        <x:v>1533</x:v>
      </x:c>
      <x:c r="D10" s="60"/>
      <x:c r="E10" s="224" t="s">
        <x:v>1102</x:v>
      </x:c>
      <x:c r="F10" s="224" t="s">
        <x:v>1102</x:v>
      </x:c>
      <x:c r="G10" s="224" t="s">
        <x:v>1102</x:v>
      </x:c>
      <x:c r="H10" s="54" t="s">
        <x:v>1102</x:v>
      </x:c>
      <x:c r="I10" s="54" t="s">
        <x:v>1102</x:v>
      </x:c>
      <x:c r="J10" s="54" t="s">
        <x:v>1102</x:v>
      </x:c>
    </x:row>
    <x:row r="11" spans="1:10" collapsed="1">
      <x:c r="A11" s="46"/>
      <x:c r="B11" s="61" t="s">
        <x:v>1272</x:v>
      </x:c>
      <x:c r="C11" s="60" t="s">
        <x:v>2085</x:v>
      </x:c>
      <x:c r="D11" s="60"/>
      <x:c r="E11" s="239">
        <x:v>45565</x:v>
      </x:c>
      <x:c r="F11" s="239">
        <x:v>45657</x:v>
      </x:c>
      <x:c r="G11" s="239">
        <x:v>45747</x:v>
      </x:c>
      <x:c r="H11" s="239">
        <x:v>45838</x:v>
      </x:c>
      <x:c r="I11" s="239">
        <x:v>45930</x:v>
      </x:c>
      <x:c r="J11" s="239">
        <x:v>46022</x:v>
      </x:c>
    </x:row>
    <x:row r="12" spans="1:10">
      <x:c r="A12" s="46"/>
      <x:c r="B12" s="61" t="s">
        <x:v>2216</x:v>
      </x:c>
      <x:c r="C12" s="60"/>
      <x:c r="D12" s="60"/>
      <x:c r="E12" s="240">
        <x:v>45595</x:v>
      </x:c>
      <x:c r="F12" s="240">
        <x:v>45713</x:v>
      </x:c>
      <x:c r="G12" s="240">
        <x:v>45771</x:v>
      </x:c>
      <x:c r="H12" s="240">
        <x:v>45862</x:v>
      </x:c>
      <x:c r="I12" s="240">
        <x:v>45953</x:v>
      </x:c>
      <x:c r="J12" s="240" t="s">
        <x:v>798</x:v>
      </x:c>
    </x:row>
    <x:row r="13" spans="3:13">
      <x:c r="C13" s="60"/>
      <x:c r="D13" s="60"/>
      <x:c r="E13" s="15"/>
      <x:c r="F13" s="15"/>
      <x:c r="G13" s="15"/>
      <x:c r="H13" s="15"/>
      <x:c r="I13" s="15"/>
      <x:c r="J13" s="15"/>
      <x:c r="L13" s="23"/>
      <x:c r="M13" s="23"/>
    </x:row>
    <x:row r="14" spans="2:10">
      <x:c r="B14" s="3" t="s">
        <x:v>2106</x:v>
      </x:c>
      <x:c r="C14" s="60"/>
      <x:c r="D14" s="60"/>
      <x:c r="E14" s="44">
        <x:v>204.90000000000001</x:v>
      </x:c>
      <x:c r="F14" s="44">
        <x:v>257.75</x:v>
      </x:c>
      <x:c r="G14" s="44">
        <x:v>229.33000000000001</x:v>
      </x:c>
      <x:c r="H14" s="44">
        <x:v>260.50999999999999</x:v>
      </x:c>
      <x:c r="I14" s="44">
        <x:v>285</x:v>
      </x:c>
      <x:c r="J14" s="44">
        <x:v>289.88999999999999</x:v>
      </x:c>
    </x:row>
    <x:row r="15" spans="2:10">
      <x:c r="B15" s="3" t="s">
        <x:v>473</x:v>
      </x:c>
      <x:c r="C15" s="60"/>
      <x:c r="D15" s="60"/>
      <x:c r="E15" s="44">
        <x:v>924.64515200000005</x:v>
      </x:c>
      <x:c r="F15" s="44">
        <x:v>927.26433199999997</x:v>
      </x:c>
      <x:c r="G15" s="44">
        <x:v>929.39657499999998</x:v>
      </x:c>
      <x:c r="H15" s="44">
        <x:v>931.51924199999996</x:v>
      </x:c>
      <x:c r="I15" s="44">
        <x:v>934.73520599999995</x:v>
      </x:c>
      <x:c r="J15" s="44">
        <x:v>934.73520599999995</x:v>
      </x:c>
    </x:row>
    <x:row r="16" spans="2:10">
      <x:c r="B16" s="14" t="s">
        <x:v>2388</x:v>
      </x:c>
      <x:c r="C16" s="60"/>
      <x:c r="D16" s="60"/>
      <x:c r="E16" s="233">
        <x:f t="shared" ref="E16:J16" si="0">IFERROR(E14*E15,"NA")</x:f>
        <x:v>189459.79164480002</x:v>
      </x:c>
      <x:c r="F16" s="233">
        <x:f t="shared" si="0"/>
        <x:v>239002.38157299999</x:v>
      </x:c>
      <x:c r="G16" s="233">
        <x:f t="shared" si="0"/>
        <x:v>213138.51654475002</x:v>
      </x:c>
      <x:c r="H16" s="233">
        <x:f t="shared" si="0"/>
        <x:v>242670.07773341998</x:v>
      </x:c>
      <x:c r="I16" s="233">
        <x:f t="shared" si="0"/>
        <x:v>266399.53370999999</x:v>
      </x:c>
      <x:c r="J16" s="233">
        <x:f t="shared" si="0"/>
        <x:v>270970.38886733999</x:v>
      </x:c>
    </x:row>
    <x:row r="17" spans="3:10" ht="5.0999999999999996" customHeight="1">
      <x:c r="C17" s="60"/>
      <x:c r="D17" s="60"/>
      <x:c r="E17" s="80"/>
      <x:c r="F17" s="80"/>
      <x:c r="G17" s="80"/>
      <x:c r="H17" s="80"/>
      <x:c r="I17" s="80"/>
      <x:c r="J17" s="80"/>
    </x:row>
    <x:row r="18" spans="2:15">
      <x:c r="B18" s="13" t="s">
        <x:v>1165</x:v>
      </x:c>
      <x:c r="C18" s="60" t="s">
        <x:v>619</x:v>
      </x:c>
      <x:c r="D18" s="60"/>
      <x:c r="E18" s="80">
        <x:v>13702</x:v>
      </x:c>
      <x:c r="F18" s="80">
        <x:v>14591</x:v>
      </x:c>
      <x:c r="G18" s="80">
        <x:v>17465</x:v>
      </x:c>
      <x:c r="H18" s="80">
        <x:v>15447</x:v>
      </x:c>
      <x:c r="I18" s="80">
        <x:v>14855</x:v>
      </x:c>
      <x:c r="J18" s="80">
        <x:v>14417</x:v>
      </x:c>
      <x:c r="O18" s="234"/>
    </x:row>
    <x:row r="19" spans="2:10">
      <x:c r="B19" s="13" t="s">
        <x:v>2103</x:v>
      </x:c>
      <x:c r="C19" s="60" t="s">
        <x:v>2094</x:v>
      </x:c>
      <x:c r="D19" s="60"/>
      <x:c r="E19" s="80">
        <x:v>60126</x:v>
      </x:c>
      <x:c r="F19" s="80">
        <x:v>58396</x:v>
      </x:c>
      <x:c r="G19" s="80">
        <x:v>66835</x:v>
      </x:c>
      <x:c r="H19" s="80">
        <x:v>67719</x:v>
      </x:c>
      <x:c r="I19" s="80">
        <x:v>66569</x:v>
      </x:c>
      <x:c r="J19" s="80">
        <x:v>64607</x:v>
      </x:c>
    </x:row>
    <x:row r="20" spans="2:10">
      <x:c r="B20" s="13" t="s">
        <x:v>1561</x:v>
      </x:c>
      <x:c r="C20" s="60" t="s">
        <x:v>2395</x:v>
      </x:c>
      <x:c r="D20" s="60"/>
      <x:c r="E20" s="80" t="s">
        <x:v>818</x:v>
      </x:c>
      <x:c r="F20" s="80" t="s">
        <x:v>818</x:v>
      </x:c>
      <x:c r="G20" s="80" t="s">
        <x:v>818</x:v>
      </x:c>
      <x:c r="H20" s="80" t="s">
        <x:v>818</x:v>
      </x:c>
      <x:c r="I20" s="80" t="s">
        <x:v>818</x:v>
      </x:c>
      <x:c r="J20" s="80" t="s">
        <x:v>818</x:v>
      </x:c>
    </x:row>
    <x:row r="21" spans="2:10">
      <x:c r="B21" s="13" t="s">
        <x:v>1537</x:v>
      </x:c>
      <x:c r="C21" s="60" t="s">
        <x:v>2393</x:v>
      </x:c>
      <x:c r="D21" s="60"/>
      <x:c r="E21" s="151">
        <x:v>82</x:v>
      </x:c>
      <x:c r="F21" s="151">
        <x:v>86</x:v>
      </x:c>
      <x:c r="G21" s="151">
        <x:v>72</x:v>
      </x:c>
      <x:c r="H21" s="151">
        <x:v>79</x:v>
      </x:c>
      <x:c r="I21" s="151">
        <x:v>85</x:v>
      </x:c>
      <x:c r="J21" s="151">
        <x:v>93</x:v>
      </x:c>
    </x:row>
    <x:row r="22" spans="2:10">
      <x:c r="B22" s="11" t="s">
        <x:v>1164</x:v>
      </x:c>
      <x:c r="C22" s="60"/>
      <x:c r="D22" s="60"/>
      <x:c r="E22" s="82">
        <x:f t="shared" ref="E22:J22" si="1">IF(E16="NA","NA",IFERROR(IF(COUNT(E18:E21,E16)=0,"NA",SUM(E16,E19:E21,-E18)),"NA"))</x:f>
        <x:v>235965.79164480002</x:v>
      </x:c>
      <x:c r="F22" s="82">
        <x:f t="shared" si="1"/>
        <x:v>282893.38157299999</x:v>
      </x:c>
      <x:c r="G22" s="82">
        <x:f t="shared" si="1"/>
        <x:v>262580.51654475002</x:v>
      </x:c>
      <x:c r="H22" s="82">
        <x:f t="shared" si="1"/>
        <x:v>295021.07773341995</x:v>
      </x:c>
      <x:c r="I22" s="82">
        <x:f t="shared" si="1"/>
        <x:v>318198.53370999999</x:v>
      </x:c>
      <x:c r="J22" s="82">
        <x:f t="shared" si="1"/>
        <x:v>321253.38886733999</x:v>
      </x:c>
    </x:row>
    <x:row r="23" spans="3:10">
      <x:c r="C23" s="60"/>
      <x:c r="D23" s="60"/>
      <x:c r="E23" s="80"/>
      <x:c r="F23" s="80"/>
      <x:c r="G23" s="80"/>
      <x:c r="H23" s="80"/>
      <x:c r="I23" s="80"/>
      <x:c r="J23" s="80"/>
    </x:row>
    <x:row r="24" spans="2:10">
      <x:c r="B24" s="1" t="s">
        <x:v>640</x:v>
      </x:c>
      <x:c r="C24" s="60" t="s">
        <x:v>2401</x:v>
      </x:c>
      <x:c r="D24" s="60"/>
      <x:c r="E24" s="80">
        <x:v>24448</x:v>
      </x:c>
      <x:c r="F24" s="80">
        <x:v>27307</x:v>
      </x:c>
      <x:c r="G24" s="80">
        <x:v>26880</x:v>
      </x:c>
      <x:c r="H24" s="80">
        <x:v>27509</x:v>
      </x:c>
      <x:c r="I24" s="80">
        <x:v>27905</x:v>
      </x:c>
      <x:c r="J24" s="80">
        <x:v>32648</x:v>
      </x:c>
    </x:row>
    <x:row r="25" spans="2:10">
      <x:c r="B25" s="13" t="s">
        <x:v>1561</x:v>
      </x:c>
      <x:c r="C25" s="60"/>
      <x:c r="D25" s="60"/>
      <x:c r="E25" s="80" t="str">
        <x:f>E20</x:f>
        <x:v>NA</x:v>
      </x:c>
      <x:c r="F25" s="80" t="str">
        <x:f t="shared" ref="F25:J25" si="2">F20</x:f>
        <x:v>NA</x:v>
      </x:c>
      <x:c r="G25" s="80" t="str">
        <x:f t="shared" si="2"/>
        <x:v>NA</x:v>
      </x:c>
      <x:c r="H25" s="80" t="str">
        <x:f t="shared" si="2"/>
        <x:v>NA</x:v>
      </x:c>
      <x:c r="I25" s="80" t="str">
        <x:f t="shared" si="2"/>
        <x:v>NA</x:v>
      </x:c>
      <x:c r="J25" s="80" t="str">
        <x:f t="shared" si="2"/>
        <x:v>NA</x:v>
      </x:c>
    </x:row>
    <x:row r="26" spans="2:10">
      <x:c r="B26" s="10" t="s">
        <x:v>1537</x:v>
      </x:c>
      <x:c r="C26" s="60"/>
      <x:c r="D26" s="60"/>
      <x:c r="E26" s="80">
        <x:f>E21</x:f>
        <x:v>82</x:v>
      </x:c>
      <x:c r="F26" s="80">
        <x:f t="shared" ref="F26:J26" si="3">F21</x:f>
        <x:v>86</x:v>
      </x:c>
      <x:c r="G26" s="80">
        <x:f t="shared" si="3"/>
        <x:v>72</x:v>
      </x:c>
      <x:c r="H26" s="80">
        <x:f t="shared" si="3"/>
        <x:v>79</x:v>
      </x:c>
      <x:c r="I26" s="80">
        <x:f t="shared" si="3"/>
        <x:v>85</x:v>
      </x:c>
      <x:c r="J26" s="80">
        <x:f t="shared" si="3"/>
        <x:v>93</x:v>
      </x:c>
    </x:row>
    <x:row r="27" spans="2:10">
      <x:c r="B27" s="152" t="s">
        <x:v>2103</x:v>
      </x:c>
      <x:c r="C27" s="140"/>
      <x:c r="D27" s="140"/>
      <x:c r="E27" s="151">
        <x:f>E19</x:f>
        <x:v>60126</x:v>
      </x:c>
      <x:c r="F27" s="151">
        <x:f t="shared" ref="F27:J27" si="4">F19</x:f>
        <x:v>58396</x:v>
      </x:c>
      <x:c r="G27" s="151">
        <x:f t="shared" si="4"/>
        <x:v>66835</x:v>
      </x:c>
      <x:c r="H27" s="151">
        <x:f t="shared" si="4"/>
        <x:v>67719</x:v>
      </x:c>
      <x:c r="I27" s="151">
        <x:f t="shared" si="4"/>
        <x:v>66569</x:v>
      </x:c>
      <x:c r="J27" s="151">
        <x:f t="shared" si="4"/>
        <x:v>64607</x:v>
      </x:c>
    </x:row>
    <x:row r="28" spans="2:10" ht="12">
      <x:c r="B28" s="153" t="s">
        <x:v>2105</x:v>
      </x:c>
      <x:c r="C28" s="154"/>
      <x:c r="D28" s="154"/>
      <x:c r="E28" s="155">
        <x:f>IFERROR(IF(COUNT(E24:E27)=0,"NA",SUM(E24:E27)),"NA")</x:f>
        <x:v>84656</x:v>
      </x:c>
      <x:c r="F28" s="155">
        <x:f t="shared" ref="F28:J28" si="5">IFERROR(IF(COUNT(F24:F27)=0,"NA",SUM(F24:F27)),"NA")</x:f>
        <x:v>85789</x:v>
      </x:c>
      <x:c r="G28" s="155">
        <x:f t="shared" si="5"/>
        <x:v>93787</x:v>
      </x:c>
      <x:c r="H28" s="155">
        <x:f t="shared" si="5"/>
        <x:v>95307</x:v>
      </x:c>
      <x:c r="I28" s="155">
        <x:f t="shared" si="5"/>
        <x:v>94559</x:v>
      </x:c>
      <x:c r="J28" s="155">
        <x:f t="shared" si="5"/>
        <x:v>97348</x:v>
      </x:c>
    </x:row>
    <x:row r="29" spans="2:2" ht="12">
      <x:c r="B29" s="25" t="s">
        <x:v>34</x:v>
      </x:c>
    </x:row>
    <x:row r="30" spans="2:2">
      <x:c r="B30" s="89"/>
    </x:row>
    <x:row r="46" spans="3:4">
      <x:c r="C46" s="1"/>
      <x:c r="D46" s="1"/>
    </x:row>
    <x:row r="47" spans="3:4">
      <x:c r="C47" s="1"/>
      <x:c r="D47" s="1"/>
    </x:row>
    <x:row r="48" spans="3:4">
      <x:c r="C48" s="1"/>
      <x:c r="D48" s="1"/>
    </x:row>
    <x:row r="49" spans="3:16">
      <x:c r="C49" s="1"/>
      <x:c r="D49" s="1"/>
      <x:c r="K49" s="23"/>
      <x:c r="L49" s="23"/>
      <x:c r="M49" s="23"/>
      <x:c r="N49" s="23"/>
      <x:c r="O49" s="23"/>
      <x:c r="P49" s="23"/>
    </x:row>
    <x:row r="50" spans="3:4">
      <x:c r="C50" s="1"/>
      <x:c r="D50" s="1"/>
    </x:row>
    <x:row r="51" spans="3:4">
      <x:c r="C51" s="1"/>
      <x:c r="D51" s="1"/>
    </x:row>
    <x:row r="52" spans="3:4">
      <x:c r="C52" s="1"/>
      <x:c r="D52" s="1"/>
    </x:row>
    <x:row r="53" spans="3:4">
      <x:c r="C53" s="1"/>
      <x:c r="D53" s="1"/>
    </x:row>
  </x:sheetData>
  <x:pageMargins left="0.25" right="0.25" top="0.25" bottom="0.25" header="0" footer="0"/>
  <x:pageSetup paperSize="9" scale="100" firstPageNumber="1" fitToWidth="1" fitToHeight="0" orientation="portrait" usePrinterDefaults="1" blackAndWhite="0" draft="0" useFirstPageNumber="0" horizontalDpi="600" verticalDpi="60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2:U172"/>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53.83203125" style="1" customWidth="1"/>
    <x:col min="3" max="3" width="16.83203125" style="3" hidden="1" customWidth="1" outlineLevel="1"/>
    <x:col min="4" max="4" width="39" style="3" hidden="1" customWidth="1" outlineLevel="1"/>
    <x:col min="5" max="5" width="15" style="3" customWidth="1" collapsed="1"/>
    <x:col min="6" max="6" width="15" style="3" customWidth="1"/>
    <x:col min="7" max="18" width="13.5" style="1" customWidth="1"/>
    <x:col min="21" max="21" width="9.33203125" style="1" hidden="1" customWidth="1" outlineLevel="1"/>
    <x:col min="22" max="22" width="9.33203125" style="1" collapsed="1"/>
  </x:cols>
  <x:sheetData>
    <x:row r="2" spans="2:2">
      <x:c r="B2" s="1" t="s">
        <x:v>112</x:v>
      </x:c>
    </x:row>
    <x:row r="3" spans="1:2">
      <x:c r="A3" s="46"/>
      <x:c r="B3" s="46"/>
    </x:row>
    <x:row r="4" spans="1:18" ht="16.5">
      <x:c r="A4" s="46"/>
      <x:c r="B4" s="49" t="str">
        <x:f>G15</x:f>
        <x:v>International Business Machines Corporation</x:v>
      </x:c>
      <x:c r="C4" s="90"/>
      <x:c r="D4" s="90"/>
      <x:c r="E4" s="90"/>
      <x:c r="F4" s="90"/>
      <x:c r="G4" s="52"/>
      <x:c r="H4" s="52"/>
      <x:c r="I4" s="52"/>
      <x:c r="J4" s="50"/>
      <x:c r="K4" s="50"/>
      <x:c r="L4" s="50"/>
      <x:c r="M4" s="50"/>
      <x:c r="N4" s="50"/>
      <x:c r="O4" s="50"/>
      <x:c r="P4" s="104"/>
      <x:c r="Q4" s="50"/>
      <x:c r="R4" s="104" t="s">
        <x:v>1558</x:v>
      </x:c>
    </x:row>
    <x:row r="5" spans="1:18" ht="17.25" customHeight="1">
      <x:c r="A5" s="46"/>
      <x:c r="B5" s="53" t="str">
        <x:f>"Data in "&amp;'Pension-OPEB'!$AC$18</x:f>
        <x:v>Data in ($M)</x:v>
      </x:c>
      <x:c r="E5" s="267" t="str">
        <x:f>Key_Stats!$T$11</x:f>
        <x:v>Fiscal Year Ended,</x:v>
      </x:c>
      <x:c r="F5" s="266"/>
      <x:c r="G5" s="266"/>
      <x:c r="H5" s="266"/>
      <x:c r="I5" s="266"/>
      <x:c r="J5" s="266"/>
      <x:c r="K5" s="266"/>
      <x:c r="L5" s="266"/>
      <x:c r="M5" s="266"/>
      <x:c r="N5" s="266"/>
      <x:c r="O5" s="266"/>
      <x:c r="P5" s="266"/>
      <x:c r="Q5" s="274" t="s">
        <x:v>811</x:v>
      </x:c>
      <x:c r="R5" s="269"/>
    </x:row>
    <x:row r="6" spans="2:18" hidden="1" outlineLevel="1">
      <x:c r="B6" s="55"/>
      <x:c r="C6" s="56" t="s">
        <x:v>1435</x:v>
      </x:c>
      <x:c r="D6" s="56"/>
      <x:c r="E6" s="58" t="str">
        <x:f>Key_Stats!$F$9</x:f>
        <x:v>NYSE:IBM</x:v>
      </x:c>
      <x:c r="F6" s="58"/>
      <x:c r="G6" s="58" t="str">
        <x:f>Key_Stats!$F$9</x:f>
        <x:v>NYSE:IBM</x:v>
      </x:c>
      <x:c r="H6" s="58"/>
      <x:c r="I6" s="58" t="str">
        <x:f>Key_Stats!$F$9</x:f>
        <x:v>NYSE:IBM</x:v>
      </x:c>
      <x:c r="J6" s="58"/>
      <x:c r="K6" s="58" t="str">
        <x:f>Key_Stats!$F$9</x:f>
        <x:v>NYSE:IBM</x:v>
      </x:c>
      <x:c r="L6" s="58"/>
      <x:c r="M6" s="58" t="str">
        <x:f>Key_Stats!$F$9</x:f>
        <x:v>NYSE:IBM</x:v>
      </x:c>
      <x:c r="N6" s="58"/>
      <x:c r="O6" s="58" t="str">
        <x:f>Key_Stats!$F$9</x:f>
        <x:v>NYSE:IBM</x:v>
      </x:c>
      <x:c r="P6" s="58"/>
      <x:c r="Q6" s="58" t="str">
        <x:f>Key_Stats!$F$9</x:f>
        <x:v>NYSE:IBM</x:v>
      </x:c>
      <x:c r="R6" s="58"/>
    </x:row>
    <x:row r="7" spans="2:18" hidden="1" outlineLevel="1">
      <x:c r="B7" s="55"/>
      <x:c r="C7" s="56" t="s">
        <x:v>1435</x:v>
      </x:c>
      <x:c r="D7" s="56"/>
      <x:c r="E7" s="58" t="str">
        <x:f>LEFT(G7,LEN(G7)-1)&amp;RIGHT(G7,1)+1</x:f>
        <x:v>FY-5</x:v>
      </x:c>
      <x:c r="F7" s="58"/>
      <x:c r="G7" s="58" t="str">
        <x:f>LEFT(I7,LEN(I7)-1)&amp;RIGHT(I7,1)+1</x:f>
        <x:v>FY-4</x:v>
      </x:c>
      <x:c r="H7" s="58"/>
      <x:c r="I7" s="58" t="str">
        <x:f>LEFT(K7,LEN(K7)-1)&amp;RIGHT(K7,1)+1</x:f>
        <x:v>FY-3</x:v>
      </x:c>
      <x:c r="J7" s="58"/>
      <x:c r="K7" s="58" t="str">
        <x:f>LEFT(M7,LEN(M7)-1)&amp;RIGHT(M7,1)+1</x:f>
        <x:v>FY-2</x:v>
      </x:c>
      <x:c r="L7" s="58"/>
      <x:c r="M7" s="58" t="str">
        <x:f>VLOOKUP(Key_Stats!$F$11,FormatTable,2,FALSE)</x:f>
        <x:v>FY-1</x:v>
      </x:c>
      <x:c r="N7" s="58"/>
      <x:c r="O7" s="58" t="str">
        <x:f>Key_Stats!$F$11</x:f>
        <x:v>FY0</x:v>
      </x:c>
      <x:c r="P7" s="58"/>
      <x:c r="Q7" s="58" t="s">
        <x:v>811</x:v>
      </x:c>
      <x:c r="R7" s="58"/>
    </x:row>
    <x:row r="8" spans="2:18" hidden="1" outlineLevel="1">
      <x:c r="B8" s="55"/>
      <x:c r="C8" s="56"/>
      <x:c r="D8" s="56"/>
      <x:c r="E8" s="181">
        <x:f>IF(Key_Stats!$F$15="","",Key_Stats!$F$15)</x:f>
        <x:v>46059</x:v>
      </x:c>
      <x:c r="F8" s="58"/>
      <x:c r="G8" s="181">
        <x:f>IF(Key_Stats!$F$15="","",Key_Stats!$F$15)</x:f>
        <x:v>46059</x:v>
      </x:c>
      <x:c r="H8" s="58"/>
      <x:c r="I8" s="181">
        <x:f>IF(Key_Stats!$F$15="","",Key_Stats!$F$15)</x:f>
        <x:v>46059</x:v>
      </x:c>
      <x:c r="J8" s="58"/>
      <x:c r="K8" s="181">
        <x:f>IF(Key_Stats!$F$15="","",Key_Stats!$F$15)</x:f>
        <x:v>46059</x:v>
      </x:c>
      <x:c r="L8" s="58"/>
      <x:c r="M8" s="181">
        <x:f>IF(Key_Stats!$F$15="","",Key_Stats!$F$15)</x:f>
        <x:v>46059</x:v>
      </x:c>
      <x:c r="N8" s="58"/>
      <x:c r="O8" s="181">
        <x:f>IF(Key_Stats!$F$15="","",Key_Stats!$F$15)</x:f>
        <x:v>46059</x:v>
      </x:c>
      <x:c r="P8" s="58"/>
      <x:c r="Q8" s="181">
        <x:f>IF(Key_Stats!$F$15="","",Key_Stats!$F$15)</x:f>
        <x:v>46059</x:v>
      </x:c>
      <x:c r="R8" s="58"/>
    </x:row>
    <x:row r="9" spans="2:18" hidden="1" outlineLevel="1">
      <x:c r="B9" s="55"/>
      <x:c r="C9" s="56"/>
      <x:c r="D9" s="56"/>
      <x:c r="E9" s="58"/>
      <x:c r="F9" s="58"/>
      <x:c r="G9" s="58"/>
      <x:c r="H9" s="58"/>
      <x:c r="I9" s="58"/>
      <x:c r="J9" s="58"/>
      <x:c r="K9" s="58"/>
      <x:c r="L9" s="58"/>
      <x:c r="M9" s="58"/>
      <x:c r="N9" s="58"/>
      <x:c r="O9" s="58"/>
      <x:c r="P9" s="58"/>
      <x:c r="Q9" s="58"/>
      <x:c r="R9" s="58"/>
    </x:row>
    <x:row r="10" spans="2:18" hidden="1" outlineLevel="1">
      <x:c r="B10" s="55"/>
      <x:c r="C10" s="56"/>
      <x:c r="D10" s="56"/>
      <x:c r="E10" s="58"/>
      <x:c r="F10" s="58" t="str">
        <x:f>Key_Stats!$F$9</x:f>
        <x:v>NYSE:IBM</x:v>
      </x:c>
      <x:c r="G10" s="58"/>
      <x:c r="H10" s="58" t="str">
        <x:f>Key_Stats!$F$9</x:f>
        <x:v>NYSE:IBM</x:v>
      </x:c>
      <x:c r="I10" s="58"/>
      <x:c r="J10" s="58" t="str">
        <x:f>Key_Stats!$F$9</x:f>
        <x:v>NYSE:IBM</x:v>
      </x:c>
      <x:c r="K10" s="58"/>
      <x:c r="L10" s="58" t="str">
        <x:f>Key_Stats!$F$9</x:f>
        <x:v>NYSE:IBM</x:v>
      </x:c>
      <x:c r="M10" s="58"/>
      <x:c r="N10" s="58" t="str">
        <x:f>Key_Stats!$F$9</x:f>
        <x:v>NYSE:IBM</x:v>
      </x:c>
      <x:c r="O10" s="58"/>
      <x:c r="P10" s="58" t="str">
        <x:f>Key_Stats!$F$9</x:f>
        <x:v>NYSE:IBM</x:v>
      </x:c>
      <x:c r="Q10" s="58"/>
      <x:c r="R10" s="58" t="str">
        <x:f>Key_Stats!$F$9</x:f>
        <x:v>NYSE:IBM</x:v>
      </x:c>
    </x:row>
    <x:row r="11" spans="2:18" hidden="1" outlineLevel="1">
      <x:c r="B11" s="55"/>
      <x:c r="C11" s="56"/>
      <x:c r="D11" s="56"/>
      <x:c r="E11" s="58"/>
      <x:c r="F11" s="58" t="str">
        <x:f>LEFT(H11,LEN(H11)-1)&amp;RIGHT(H11,1)+1</x:f>
        <x:v>FY-5</x:v>
      </x:c>
      <x:c r="G11" s="58"/>
      <x:c r="H11" s="58" t="str">
        <x:f>LEFT(J11,LEN(J11)-1)&amp;RIGHT(J11,1)+1</x:f>
        <x:v>FY-4</x:v>
      </x:c>
      <x:c r="I11" s="58"/>
      <x:c r="J11" s="58" t="str">
        <x:f>LEFT(L11,LEN(L11)-1)&amp;RIGHT(L11,1)+1</x:f>
        <x:v>FY-3</x:v>
      </x:c>
      <x:c r="K11" s="58"/>
      <x:c r="L11" s="58" t="str">
        <x:f>LEFT(N11,LEN(N11)-1)&amp;RIGHT(N11,1)+1</x:f>
        <x:v>FY-2</x:v>
      </x:c>
      <x:c r="M11" s="58"/>
      <x:c r="N11" s="58" t="str">
        <x:f>VLOOKUP(Key_Stats!$F$11,FormatTable,2,FALSE)</x:f>
        <x:v>FY-1</x:v>
      </x:c>
      <x:c r="O11" s="58"/>
      <x:c r="P11" s="58" t="str">
        <x:f>Key_Stats!$F$11</x:f>
        <x:v>FY0</x:v>
      </x:c>
      <x:c r="Q11" s="58"/>
      <x:c r="R11" s="58" t="s">
        <x:v>811</x:v>
      </x:c>
    </x:row>
    <x:row r="12" spans="2:18" hidden="1" outlineLevel="1">
      <x:c r="B12" s="55"/>
      <x:c r="C12" s="56"/>
      <x:c r="D12" s="56"/>
      <x:c r="E12" s="58"/>
      <x:c r="F12" s="181">
        <x:f>IF(Key_Stats!$F$15="","",Key_Stats!$F$15)</x:f>
        <x:v>46059</x:v>
      </x:c>
      <x:c r="G12" s="58"/>
      <x:c r="H12" s="181">
        <x:f>IF(Key_Stats!$F$15="","",Key_Stats!$F$15)</x:f>
        <x:v>46059</x:v>
      </x:c>
      <x:c r="I12" s="58"/>
      <x:c r="J12" s="181">
        <x:f>IF(Key_Stats!$F$15="","",Key_Stats!$F$15)</x:f>
        <x:v>46059</x:v>
      </x:c>
      <x:c r="K12" s="58"/>
      <x:c r="L12" s="181">
        <x:f>IF(Key_Stats!$F$15="","",Key_Stats!$F$15)</x:f>
        <x:v>46059</x:v>
      </x:c>
      <x:c r="M12" s="58"/>
      <x:c r="N12" s="181">
        <x:f>IF(Key_Stats!$F$15="","",Key_Stats!$F$15)</x:f>
        <x:v>46059</x:v>
      </x:c>
      <x:c r="O12" s="58"/>
      <x:c r="P12" s="181">
        <x:f>IF(Key_Stats!$F$15="","",Key_Stats!$F$15)</x:f>
        <x:v>46059</x:v>
      </x:c>
      <x:c r="Q12" s="58"/>
      <x:c r="R12" s="181">
        <x:f>IF(Key_Stats!$F$15="","",Key_Stats!$F$15)</x:f>
        <x:v>46059</x:v>
      </x:c>
    </x:row>
    <x:row r="13" spans="2:11" hidden="1" outlineLevel="1">
      <x:c r="B13" s="55"/>
      <x:c r="C13" s="91"/>
      <x:c r="D13" s="91"/>
      <x:c r="E13" s="91"/>
      <x:c r="F13" s="91"/>
      <x:c r="G13" s="46"/>
      <x:c r="H13" s="46"/>
      <x:c r="I13" s="54"/>
      <x:c r="J13" s="54"/>
      <x:c r="K13" s="54"/>
    </x:row>
    <x:row r="14" spans="2:11" hidden="1" outlineLevel="1">
      <x:c r="B14" s="55"/>
      <x:c r="C14" s="91"/>
      <x:c r="D14" s="91"/>
      <x:c r="E14" s="91"/>
      <x:c r="F14" s="91"/>
      <x:c r="G14" s="46"/>
      <x:c r="H14" s="46"/>
      <x:c r="I14" s="54"/>
      <x:c r="J14" s="54"/>
      <x:c r="K14" s="54"/>
    </x:row>
    <x:row r="15" spans="2:17" hidden="1" outlineLevel="1">
      <x:c r="B15" s="55"/>
      <x:c r="C15" s="60" t="s">
        <x:v>2049</x:v>
      </x:c>
      <x:c r="D15" s="60"/>
      <x:c r="E15" s="241" t="s">
        <x:v>1006</x:v>
      </x:c>
      <x:c r="F15" s="60"/>
      <x:c r="G15" s="224" t="s">
        <x:v>1006</x:v>
      </x:c>
      <x:c r="H15" s="224"/>
      <x:c r="I15" s="84" t="s">
        <x:v>1006</x:v>
      </x:c>
      <x:c r="J15" s="54"/>
      <x:c r="K15" s="84" t="s">
        <x:v>1006</x:v>
      </x:c>
      <x:c r="L15" s="220"/>
      <x:c r="M15" s="3" t="s">
        <x:v>1006</x:v>
      </x:c>
      <x:c r="N15" s="220"/>
      <x:c r="O15" s="220" t="s">
        <x:v>1006</x:v>
      </x:c>
      <x:c r="P15" s="220"/>
      <x:c r="Q15" s="220" t="s">
        <x:v>1006</x:v>
      </x:c>
    </x:row>
    <x:row r="16" spans="2:17" hidden="1" outlineLevel="1">
      <x:c r="B16" s="55"/>
      <x:c r="C16" s="60" t="s">
        <x:v>1533</x:v>
      </x:c>
      <x:c r="D16" s="60"/>
      <x:c r="E16" s="241" t="s">
        <x:v>1102</x:v>
      </x:c>
      <x:c r="F16" s="60"/>
      <x:c r="G16" s="224" t="s">
        <x:v>1102</x:v>
      </x:c>
      <x:c r="H16" s="224"/>
      <x:c r="I16" s="54" t="s">
        <x:v>1102</x:v>
      </x:c>
      <x:c r="J16" s="54"/>
      <x:c r="K16" s="54" t="s">
        <x:v>1102</x:v>
      </x:c>
      <x:c r="L16" s="220"/>
      <x:c r="M16" s="220" t="s">
        <x:v>1102</x:v>
      </x:c>
      <x:c r="N16" s="220"/>
      <x:c r="O16" s="220" t="s">
        <x:v>1102</x:v>
      </x:c>
      <x:c r="P16" s="220"/>
      <x:c r="Q16" s="220" t="s">
        <x:v>1102</x:v>
      </x:c>
    </x:row>
    <x:row r="17" spans="2:18" ht="22.5" customHeight="1" collapsed="1">
      <x:c r="B17" s="61" t="s">
        <x:v>2079</x:v>
      </x:c>
      <x:c r="C17" s="60" t="s">
        <x:v>2085</x:v>
      </x:c>
      <x:c r="D17" s="60"/>
      <x:c r="E17" s="144">
        <x:v>44196</x:v>
      </x:c>
      <x:c r="F17" s="144" t="s">
        <x:v>1141</x:v>
      </x:c>
      <x:c r="G17" s="144">
        <x:v>44561</x:v>
      </x:c>
      <x:c r="H17" s="144" t="s">
        <x:v>1141</x:v>
      </x:c>
      <x:c r="I17" s="144">
        <x:v>44926</x:v>
      </x:c>
      <x:c r="J17" s="144" t="s">
        <x:v>1141</x:v>
      </x:c>
      <x:c r="K17" s="144">
        <x:v>45291</x:v>
      </x:c>
      <x:c r="L17" s="144" t="s">
        <x:v>1141</x:v>
      </x:c>
      <x:c r="M17" s="144">
        <x:v>45657</x:v>
      </x:c>
      <x:c r="N17" s="144" t="s">
        <x:v>1141</x:v>
      </x:c>
      <x:c r="O17" s="144">
        <x:v>46022</x:v>
      </x:c>
      <x:c r="P17" s="144" t="s">
        <x:v>1141</x:v>
      </x:c>
      <x:c r="Q17" s="144">
        <x:v>46022</x:v>
      </x:c>
      <x:c r="R17" s="144" t="s">
        <x:v>1141</x:v>
      </x:c>
    </x:row>
    <x:row r="18" spans="3:21">
      <x:c r="C18" s="60"/>
      <x:c r="D18" s="60"/>
      <x:c r="E18" s="15"/>
      <x:c r="F18" s="15"/>
      <x:c r="G18" s="15"/>
      <x:c r="H18" s="15"/>
      <x:c r="I18" s="15"/>
      <x:c r="J18" s="15"/>
      <x:c r="K18" s="15"/>
      <x:c r="L18" s="15"/>
      <x:c r="M18" s="15"/>
      <x:c r="N18" s="15"/>
      <x:c r="O18" s="15"/>
      <x:c r="P18" s="15"/>
      <x:c r="Q18" s="15"/>
      <x:c r="U18" s="1" t="s">
        <x:v>1544</x:v>
      </x:c>
    </x:row>
    <x:row r="19" spans="2:21">
      <x:c r="B19" s="1" t="s">
        <x:v>1140</x:v>
      </x:c>
      <x:c r="C19" s="60" t="s">
        <x:v>2094</x:v>
      </x:c>
      <x:c r="D19" s="60"/>
      <x:c r="E19" s="80">
        <x:v>65088</x:v>
      </x:c>
      <x:c r="F19" s="101">
        <x:f>IFERROR((E19/E$23)*100,"NA")</x:f>
        <x:v>75.847763768149719</x:v>
      </x:c>
      <x:c r="G19" s="80">
        <x:v>55140</x:v>
      </x:c>
      <x:c r="H19" s="101">
        <x:f>IFERROR((G19/G$23)*100,"NA")</x:f>
        <x:v>74.376820977662675</x:v>
      </x:c>
      <x:c r="I19" s="80">
        <x:v>54013</x:v>
      </x:c>
      <x:c r="J19" s="101">
        <x:f>IFERROR((I19/I$23)*100,"NA")</x:f>
        <x:v>71.037956703579979</x:v>
      </x:c>
      <x:c r="K19" s="80">
        <x:v>59935</x:v>
      </x:c>
      <x:c r="L19" s="101">
        <x:f>IFERROR((K19/K$23)*100,"NA")</x:f>
        <x:v>72.606241217231187</x:v>
      </x:c>
      <x:c r="M19" s="80">
        <x:v>58396</x:v>
      </x:c>
      <x:c r="N19" s="101">
        <x:f>IFERROR((M19/M$23)*100,"NA")</x:f>
        <x:v>68.069332898157114</x:v>
      </x:c>
      <x:c r="O19" s="80">
        <x:v>64607</x:v>
      </x:c>
      <x:c r="P19" s="101">
        <x:f>IFERROR((O19/O$23)*100,"NA")</x:f>
        <x:v>66.367054279492137</x:v>
      </x:c>
      <x:c r="Q19" s="80">
        <x:v>64607</x:v>
      </x:c>
      <x:c r="R19" s="101">
        <x:f>IFERROR((Q19/Q$23)*100,"NA")</x:f>
        <x:v>66.367054279492137</x:v>
      </x:c>
      <x:c r="U19" s="189">
        <x:f>IF(COUNT(E19:R19)&lt;&gt;0,1,"")</x:f>
        <x:v>1</x:v>
      </x:c>
    </x:row>
    <x:row r="20" spans="2:21">
      <x:c r="B20" s="1" t="s">
        <x:v>2543</x:v>
      </x:c>
      <x:c r="C20" s="60" t="s">
        <x:v>2401</x:v>
      </x:c>
      <x:c r="D20" s="60"/>
      <x:c r="E20" s="80">
        <x:v>20597</x:v>
      </x:c>
      <x:c r="F20" s="102">
        <x:f>IFERROR((E20/E$23)*100,"NA")</x:f>
        <x:v>24.00191111007528</x:v>
      </x:c>
      <x:c r="G20" s="80">
        <x:v>18901</x:v>
      </x:c>
      <x:c r="H20" s="102">
        <x:f>IFERROR((G20/G$23)*100,"NA")</x:f>
        <x:v>25.495036149778784</x:v>
      </x:c>
      <x:c r="I20" s="80">
        <x:v>21944</x:v>
      </x:c>
      <x:c r="J20" s="102">
        <x:f>IFERROR((I20/I$23)*100,"NA")</x:f>
        <x:v>28.860772812162978</x:v>
      </x:c>
      <x:c r="K20" s="80">
        <x:v>22533</x:v>
      </x:c>
      <x:c r="L20" s="102">
        <x:f>IFERROR((K20/K$23)*100,"NA")</x:f>
        <x:v>27.29684547172554</x:v>
      </x:c>
      <x:c r="M20" s="80">
        <x:v>27307</x:v>
      </x:c>
      <x:c r="N20" s="102">
        <x:f>IFERROR((M20/M$23)*100,"NA")</x:f>
        <x:v>31.830421149564632</x:v>
      </x:c>
      <x:c r="O20" s="80">
        <x:v>32648</x:v>
      </x:c>
      <x:c r="P20" s="102">
        <x:f>IFERROR((O20/O$23)*100,"NA")</x:f>
        <x:v>33.537412170768789</x:v>
      </x:c>
      <x:c r="Q20" s="80">
        <x:v>32648</x:v>
      </x:c>
      <x:c r="R20" s="102">
        <x:f t="shared" ref="R20:R23" si="0">IFERROR((Q20/Q$23)*100,"NA")</x:f>
        <x:v>33.537412170768789</x:v>
      </x:c>
      <x:c r="U20" s="189">
        <x:f>IF(COUNT(E20:R20)&lt;&gt;0,1,"")</x:f>
        <x:v>1</x:v>
      </x:c>
    </x:row>
    <x:row r="21" spans="2:21">
      <x:c r="B21" s="1" t="s">
        <x:v>1648</x:v>
      </x:c>
      <x:c r="C21" s="60" t="s">
        <x:v>2393</x:v>
      </x:c>
      <x:c r="D21" s="60"/>
      <x:c r="E21" s="80">
        <x:v>129</x:v>
      </x:c>
      <x:c r="F21" s="102">
        <x:f>IFERROR((E21/E$23)*100,"NA")</x:f>
        <x:v>0.15032512177500174</x:v>
      </x:c>
      <x:c r="G21" s="80">
        <x:v>95</x:v>
      </x:c>
      <x:c r="H21" s="102">
        <x:f>IFERROR((G21/G$23)*100,"NA")</x:f>
        <x:v>0.12814287255854107</x:v>
      </x:c>
      <x:c r="I21" s="80">
        <x:v>77</x:v>
      </x:c>
      <x:c r="J21" s="102">
        <x:f>IFERROR((I21/I$23)*100,"NA")</x:f>
        <x:v>0.10127048425704289</x:v>
      </x:c>
      <x:c r="K21" s="80">
        <x:v>80</x:v>
      </x:c>
      <x:c r="L21" s="102">
        <x:f>IFERROR((K21/K$23)*100,"NA")</x:f>
        <x:v>0.096913311043271791</x:v>
      </x:c>
      <x:c r="M21" s="80">
        <x:v>86</x:v>
      </x:c>
      <x:c r="N21" s="102">
        <x:f>IFERROR((M21/M$23)*100,"NA")</x:f>
        <x:v>0.10024595227826412</x:v>
      </x:c>
      <x:c r="O21" s="80">
        <x:v>93</x:v>
      </x:c>
      <x:c r="P21" s="102">
        <x:f>IFERROR((O21/O$23)*100,"NA")</x:f>
        <x:v>0.095533549739080403</x:v>
      </x:c>
      <x:c r="Q21" s="80">
        <x:v>93</x:v>
      </x:c>
      <x:c r="R21" s="102">
        <x:f t="shared" si="0"/>
        <x:v>0.095533549739080403</x:v>
      </x:c>
      <x:c r="U21" s="189">
        <x:f>IF(COUNT(E21:R21)&lt;&gt;0,1,"")</x:f>
        <x:v>1</x:v>
      </x:c>
    </x:row>
    <x:row r="22" spans="2:21">
      <x:c r="B22" s="1" t="s">
        <x:v>2550</x:v>
      </x:c>
      <x:c r="C22" s="60" t="s">
        <x:v>2395</x:v>
      </x:c>
      <x:c r="D22" s="60"/>
      <x:c r="E22" s="151" t="s">
        <x:v>818</x:v>
      </x:c>
      <x:c r="F22" s="156" t="str">
        <x:f>IFERROR((E22/E$23)*100,"NA")</x:f>
        <x:v>NA</x:v>
      </x:c>
      <x:c r="G22" s="151" t="s">
        <x:v>818</x:v>
      </x:c>
      <x:c r="H22" s="156" t="str">
        <x:f>IFERROR((G22/G$23)*100,"NA")</x:f>
        <x:v>NA</x:v>
      </x:c>
      <x:c r="I22" s="151" t="s">
        <x:v>818</x:v>
      </x:c>
      <x:c r="J22" s="156" t="str">
        <x:f>IFERROR((I22/I$23)*100,"NA")</x:f>
        <x:v>NA</x:v>
      </x:c>
      <x:c r="K22" s="151" t="s">
        <x:v>818</x:v>
      </x:c>
      <x:c r="L22" s="156" t="str">
        <x:f>IFERROR((K22/K$23)*100,"NA")</x:f>
        <x:v>NA</x:v>
      </x:c>
      <x:c r="M22" s="151" t="s">
        <x:v>818</x:v>
      </x:c>
      <x:c r="N22" s="156" t="str">
        <x:f>IFERROR((M22/M$23)*100,"NA")</x:f>
        <x:v>NA</x:v>
      </x:c>
      <x:c r="O22" s="151" t="s">
        <x:v>818</x:v>
      </x:c>
      <x:c r="P22" s="156" t="str">
        <x:f>IFERROR((O22/O$23)*100,"NA")</x:f>
        <x:v>NA</x:v>
      </x:c>
      <x:c r="Q22" s="151" t="s">
        <x:v>818</x:v>
      </x:c>
      <x:c r="R22" s="156" t="str">
        <x:f t="shared" si="0"/>
        <x:v>NA</x:v>
      </x:c>
      <x:c r="U22" s="189" t="str">
        <x:f>IF(COUNT(E22:R22)&lt;&gt;0,1,"")</x:f>
        <x:v/>
      </x:c>
    </x:row>
    <x:row r="23" spans="2:21">
      <x:c r="B23" s="83" t="s">
        <x:v>2201</x:v>
      </x:c>
      <x:c r="C23" s="60" t="s">
        <x:v>2160</x:v>
      </x:c>
      <x:c r="D23" s="60"/>
      <x:c r="E23" s="142">
        <x:v>85814</x:v>
      </x:c>
      <x:c r="F23" s="190">
        <x:f>IFERROR((E23/E$23)*100,"NA")</x:f>
        <x:v>100</x:v>
      </x:c>
      <x:c r="G23" s="142">
        <x:v>74136</x:v>
      </x:c>
      <x:c r="H23" s="190">
        <x:f>IFERROR((G23/G$23)*100,"NA")</x:f>
        <x:v>100</x:v>
      </x:c>
      <x:c r="I23" s="142">
        <x:v>76034</x:v>
      </x:c>
      <x:c r="J23" s="190">
        <x:f>IFERROR((I23/I$23)*100,"NA")</x:f>
        <x:v>100</x:v>
      </x:c>
      <x:c r="K23" s="142">
        <x:v>82548</x:v>
      </x:c>
      <x:c r="L23" s="190">
        <x:f>IFERROR((K23/K$23)*100,"NA")</x:f>
        <x:v>100</x:v>
      </x:c>
      <x:c r="M23" s="142">
        <x:v>85789</x:v>
      </x:c>
      <x:c r="N23" s="190">
        <x:f>IFERROR((M23/M$23)*100,"NA")</x:f>
        <x:v>100</x:v>
      </x:c>
      <x:c r="O23" s="142">
        <x:v>97348</x:v>
      </x:c>
      <x:c r="P23" s="190">
        <x:f>IFERROR((O23/O$23)*100,"NA")</x:f>
        <x:v>100</x:v>
      </x:c>
      <x:c r="Q23" s="142">
        <x:v>97348</x:v>
      </x:c>
      <x:c r="R23" s="190">
        <x:f t="shared" si="0"/>
        <x:v>100</x:v>
      </x:c>
      <x:c r="U23" s="188">
        <x:v>1</x:v>
      </x:c>
    </x:row>
    <x:row r="24" spans="3:21">
      <x:c r="C24" s="60"/>
      <x:c r="D24" s="60"/>
      <x:c r="E24" s="15"/>
      <x:c r="F24" s="15"/>
      <x:c r="G24" s="15"/>
      <x:c r="H24" s="15"/>
      <x:c r="I24" s="15"/>
      <x:c r="J24" s="15"/>
      <x:c r="K24" s="15"/>
      <x:c r="L24" s="15"/>
      <x:c r="M24" s="15"/>
      <x:c r="N24" s="15"/>
      <x:c r="O24" s="15"/>
      <x:c r="P24" s="270"/>
      <x:c r="Q24" s="270"/>
      <x:c r="R24" s="246"/>
      <x:c r="U24" s="188">
        <x:v>1</x:v>
      </x:c>
    </x:row>
    <x:row r="25" spans="2:21">
      <x:c r="B25" s="158" t="s">
        <x:v>477</x:v>
      </x:c>
      <x:c r="C25" s="140"/>
      <x:c r="D25" s="140"/>
      <x:c r="E25" s="268" t="str">
        <x:f>Key_Stats!$T$11</x:f>
        <x:v>Fiscal Year Ended,</x:v>
      </x:c>
      <x:c r="F25" s="268"/>
      <x:c r="G25" s="268"/>
      <x:c r="H25" s="268"/>
      <x:c r="I25" s="268"/>
      <x:c r="J25" s="268"/>
      <x:c r="K25" s="268"/>
      <x:c r="L25" s="268"/>
      <x:c r="M25" s="268"/>
      <x:c r="N25" s="268"/>
      <x:c r="O25" s="268"/>
      <x:c r="P25" s="271"/>
      <x:c r="Q25" s="273" t="s">
        <x:v>811</x:v>
      </x:c>
      <x:c r="R25" s="272"/>
      <x:c r="U25" s="188">
        <x:v>1</x:v>
      </x:c>
    </x:row>
    <x:row r="26" spans="2:21">
      <x:c r="B26" s="157"/>
      <x:c r="C26" s="60"/>
      <x:c r="D26" s="60"/>
      <x:c r="E26" s="15"/>
      <x:c r="F26" s="15"/>
      <x:c r="G26" s="15"/>
      <x:c r="H26" s="15"/>
      <x:c r="I26" s="15"/>
      <x:c r="J26" s="15"/>
      <x:c r="K26" s="15"/>
      <x:c r="L26" s="15"/>
      <x:c r="M26" s="15"/>
      <x:c r="N26" s="15"/>
      <x:c r="O26" s="15"/>
      <x:c r="P26" s="15"/>
      <x:c r="Q26" s="15"/>
      <x:c r="R26" s="4"/>
      <x:c r="U26" s="188">
        <x:v>1</x:v>
      </x:c>
    </x:row>
    <x:row r="27" spans="2:21">
      <x:c r="B27" s="158" t="s">
        <x:v>2079</x:v>
      </x:c>
      <x:c r="C27" s="140"/>
      <x:c r="D27" s="140"/>
      <x:c r="E27" s="150">
        <x:f>E17</x:f>
        <x:v>44196</x:v>
      </x:c>
      <x:c r="F27" s="197"/>
      <x:c r="G27" s="150">
        <x:f>G17</x:f>
        <x:v>44561</x:v>
      </x:c>
      <x:c r="H27" s="197"/>
      <x:c r="I27" s="150">
        <x:f>I17</x:f>
        <x:v>44926</x:v>
      </x:c>
      <x:c r="J27" s="197"/>
      <x:c r="K27" s="150">
        <x:f>K17</x:f>
        <x:v>45291</x:v>
      </x:c>
      <x:c r="L27" s="197"/>
      <x:c r="M27" s="150">
        <x:f>M17</x:f>
        <x:v>45657</x:v>
      </x:c>
      <x:c r="N27" s="197"/>
      <x:c r="O27" s="150">
        <x:f>O17</x:f>
        <x:v>46022</x:v>
      </x:c>
      <x:c r="P27" s="196"/>
      <x:c r="Q27" s="150">
        <x:f>Q17</x:f>
        <x:v>46022</x:v>
      </x:c>
      <x:c r="R27" s="21"/>
      <x:c r="U27" s="188">
        <x:v>1</x:v>
      </x:c>
    </x:row>
    <x:row r="28" spans="3:21">
      <x:c r="C28" s="60"/>
      <x:c r="D28" s="60"/>
      <x:c r="E28" s="15"/>
      <x:c r="F28" s="15"/>
      <x:c r="G28" s="15"/>
      <x:c r="H28" s="15"/>
      <x:c r="I28" s="15"/>
      <x:c r="J28" s="15"/>
      <x:c r="K28" s="15"/>
      <x:c r="L28" s="15"/>
      <x:c r="M28" s="15"/>
      <x:c r="N28" s="15"/>
      <x:c r="O28" s="15"/>
      <x:c r="P28" s="15"/>
      <x:c r="Q28" s="15"/>
      <x:c r="R28" s="4"/>
      <x:c r="U28" s="188">
        <x:v>1</x:v>
      </x:c>
    </x:row>
    <x:row r="29" spans="2:21">
      <x:c r="B29" s="1" t="s">
        <x:v>179</x:v>
      </x:c>
      <x:c r="C29" s="60" t="s">
        <x:v>1924</x:v>
      </x:c>
      <x:c r="D29" s="60" t="s">
        <x:v>1142</x:v>
      </x:c>
      <x:c r="E29" s="80" t="s">
        <x:v>818</x:v>
      </x:c>
      <x:c r="F29" s="44" t="s">
        <x:v>818</x:v>
      </x:c>
      <x:c r="G29" s="80" t="s">
        <x:v>818</x:v>
      </x:c>
      <x:c r="H29" s="44" t="s">
        <x:v>818</x:v>
      </x:c>
      <x:c r="I29" s="80" t="s">
        <x:v>818</x:v>
      </x:c>
      <x:c r="J29" s="44" t="s">
        <x:v>818</x:v>
      </x:c>
      <x:c r="K29" s="80" t="s">
        <x:v>818</x:v>
      </x:c>
      <x:c r="L29" s="44" t="s">
        <x:v>818</x:v>
      </x:c>
      <x:c r="M29" s="80" t="s">
        <x:v>818</x:v>
      </x:c>
      <x:c r="N29" s="44" t="s">
        <x:v>818</x:v>
      </x:c>
      <x:c r="O29" s="80" t="s">
        <x:v>818</x:v>
      </x:c>
      <x:c r="P29" s="44" t="s">
        <x:v>818</x:v>
      </x:c>
      <x:c r="Q29" s="80" t="s">
        <x:v>818</x:v>
      </x:c>
      <x:c r="R29" s="44" t="s">
        <x:v>818</x:v>
      </x:c>
      <x:c r="U29" s="189" t="str">
        <x:f t="shared" ref="U29:U36" si="1">IF(COUNT(E29:R29)&lt;&gt;0,1,"")</x:f>
        <x:v/>
      </x:c>
    </x:row>
    <x:row r="30" spans="2:21">
      <x:c r="B30" s="1" t="s">
        <x:v>186</x:v>
      </x:c>
      <x:c r="C30" s="60" t="s">
        <x:v>1904</x:v>
      </x:c>
      <x:c r="D30" s="60" t="s">
        <x:v>1143</x:v>
      </x:c>
      <x:c r="E30" s="80">
        <x:v>0</x:v>
      </x:c>
      <x:c r="F30" s="44">
        <x:v>0</x:v>
      </x:c>
      <x:c r="G30" s="80" t="s">
        <x:v>818</x:v>
      </x:c>
      <x:c r="H30" s="44" t="s">
        <x:v>818</x:v>
      </x:c>
      <x:c r="I30" s="80" t="s">
        <x:v>818</x:v>
      </x:c>
      <x:c r="J30" s="44" t="s">
        <x:v>818</x:v>
      </x:c>
      <x:c r="K30" s="80">
        <x:v>0</x:v>
      </x:c>
      <x:c r="L30" s="44">
        <x:v>0</x:v>
      </x:c>
      <x:c r="M30" s="80">
        <x:v>0</x:v>
      </x:c>
      <x:c r="N30" s="44">
        <x:v>0</x:v>
      </x:c>
      <x:c r="O30" s="80" t="s">
        <x:v>818</x:v>
      </x:c>
      <x:c r="P30" s="44" t="s">
        <x:v>818</x:v>
      </x:c>
      <x:c r="Q30" s="80" t="s">
        <x:v>818</x:v>
      </x:c>
      <x:c r="R30" s="44" t="s">
        <x:v>818</x:v>
      </x:c>
      <x:c r="U30" s="189">
        <x:f t="shared" si="1"/>
        <x:v>1</x:v>
      </x:c>
    </x:row>
    <x:row r="31" spans="2:21">
      <x:c r="B31" s="1" t="s">
        <x:v>117</x:v>
      </x:c>
      <x:c r="C31" s="60" t="s">
        <x:v>2202</x:v>
      </x:c>
      <x:c r="D31" s="60" t="s">
        <x:v>421</x:v>
      </x:c>
      <x:c r="E31" s="80">
        <x:v>130</x:v>
      </x:c>
      <x:c r="F31" s="44">
        <x:v>0.20000000000000001</x:v>
      </x:c>
      <x:c r="G31" s="80">
        <x:v>22</x:v>
      </x:c>
      <x:c r="H31" s="44">
        <x:v>0.040000000000000002</x:v>
      </x:c>
      <x:c r="I31" s="80" t="s">
        <x:v>818</x:v>
      </x:c>
      <x:c r="J31" s="44" t="s">
        <x:v>818</x:v>
      </x:c>
      <x:c r="K31" s="80">
        <x:v>700</x:v>
      </x:c>
      <x:c r="L31" s="44">
        <x:v>1.1679999999999999</x:v>
      </x:c>
      <x:c r="M31" s="80">
        <x:v>700</x:v>
      </x:c>
      <x:c r="N31" s="44">
        <x:v>1.1990000000000001</x:v>
      </x:c>
      <x:c r="O31" s="80" t="s">
        <x:v>818</x:v>
      </x:c>
      <x:c r="P31" s="44" t="s">
        <x:v>818</x:v>
      </x:c>
      <x:c r="Q31" s="80" t="s">
        <x:v>818</x:v>
      </x:c>
      <x:c r="R31" s="44" t="s">
        <x:v>818</x:v>
      </x:c>
      <x:c r="U31" s="189">
        <x:f t="shared" si="1"/>
        <x:v>1</x:v>
      </x:c>
    </x:row>
    <x:row r="32" spans="2:21">
      <x:c r="B32" s="1" t="s">
        <x:v>2557</x:v>
      </x:c>
      <x:c r="C32" s="60" t="s">
        <x:v>422</x:v>
      </x:c>
      <x:c r="D32" s="60" t="s">
        <x:v>2538</x:v>
      </x:c>
      <x:c r="E32" s="80">
        <x:v>61407.999997000006</x:v>
      </x:c>
      <x:c r="F32" s="44">
        <x:v>94.346000000000004</x:v>
      </x:c>
      <x:c r="G32" s="80">
        <x:v>51888.999996999999</x:v>
      </x:c>
      <x:c r="H32" s="44">
        <x:v>94.103999999999999</x:v>
      </x:c>
      <x:c r="I32" s="80">
        <x:v>51424.849307999997</x:v>
      </x:c>
      <x:c r="J32" s="44">
        <x:v>95.207999999999998</x:v>
      </x:c>
      <x:c r="K32" s="80">
        <x:v>56203.650708000001</x:v>
      </x:c>
      <x:c r="L32" s="44">
        <x:v>93.774000000000001</x:v>
      </x:c>
      <x:c r="M32" s="80">
        <x:v>54356.467503</x:v>
      </x:c>
      <x:c r="N32" s="44">
        <x:v>93.082999999999998</x:v>
      </x:c>
      <x:c r="O32" s="80" t="s">
        <x:v>818</x:v>
      </x:c>
      <x:c r="P32" s="44" t="s">
        <x:v>818</x:v>
      </x:c>
      <x:c r="Q32" s="80" t="s">
        <x:v>818</x:v>
      </x:c>
      <x:c r="R32" s="44" t="s">
        <x:v>818</x:v>
      </x:c>
      <x:c r="U32" s="189">
        <x:f t="shared" si="1"/>
        <x:v>1</x:v>
      </x:c>
    </x:row>
    <x:row r="33" spans="2:21">
      <x:c r="B33" s="1" t="s">
        <x:v>498</x:v>
      </x:c>
      <x:c r="C33" s="60" t="s">
        <x:v>423</x:v>
      </x:c>
      <x:c r="D33" s="60" t="s">
        <x:v>2539</x:v>
      </x:c>
      <x:c r="E33" s="80" t="s">
        <x:v>818</x:v>
      </x:c>
      <x:c r="F33" s="44" t="s">
        <x:v>818</x:v>
      </x:c>
      <x:c r="G33" s="80" t="s">
        <x:v>818</x:v>
      </x:c>
      <x:c r="H33" s="44" t="s">
        <x:v>818</x:v>
      </x:c>
      <x:c r="I33" s="80" t="s">
        <x:v>818</x:v>
      </x:c>
      <x:c r="J33" s="44" t="s">
        <x:v>818</x:v>
      </x:c>
      <x:c r="K33" s="80" t="s">
        <x:v>818</x:v>
      </x:c>
      <x:c r="L33" s="44" t="s">
        <x:v>818</x:v>
      </x:c>
      <x:c r="M33" s="80" t="s">
        <x:v>818</x:v>
      </x:c>
      <x:c r="N33" s="44" t="s">
        <x:v>818</x:v>
      </x:c>
      <x:c r="O33" s="80" t="s">
        <x:v>818</x:v>
      </x:c>
      <x:c r="P33" s="44" t="s">
        <x:v>818</x:v>
      </x:c>
      <x:c r="Q33" s="80" t="s">
        <x:v>818</x:v>
      </x:c>
      <x:c r="R33" s="44" t="s">
        <x:v>818</x:v>
      </x:c>
      <x:c r="U33" s="189" t="str">
        <x:f t="shared" si="1"/>
        <x:v/>
      </x:c>
    </x:row>
    <x:row r="34" spans="2:21">
      <x:c r="B34" s="1" t="s">
        <x:v>2215</x:v>
      </x:c>
      <x:c r="C34" s="60" t="s">
        <x:v>418</x:v>
      </x:c>
      <x:c r="D34" s="60" t="s">
        <x:v>2536</x:v>
      </x:c>
      <x:c r="E34" s="80" t="s">
        <x:v>818</x:v>
      </x:c>
      <x:c r="F34" s="44" t="s">
        <x:v>818</x:v>
      </x:c>
      <x:c r="G34" s="80" t="s">
        <x:v>818</x:v>
      </x:c>
      <x:c r="H34" s="44" t="s">
        <x:v>818</x:v>
      </x:c>
      <x:c r="I34" s="80" t="s">
        <x:v>818</x:v>
      </x:c>
      <x:c r="J34" s="44" t="s">
        <x:v>818</x:v>
      </x:c>
      <x:c r="K34" s="80" t="s">
        <x:v>818</x:v>
      </x:c>
      <x:c r="L34" s="44" t="s">
        <x:v>818</x:v>
      </x:c>
      <x:c r="M34" s="80" t="s">
        <x:v>818</x:v>
      </x:c>
      <x:c r="N34" s="44" t="s">
        <x:v>818</x:v>
      </x:c>
      <x:c r="O34" s="80" t="s">
        <x:v>818</x:v>
      </x:c>
      <x:c r="P34" s="44" t="s">
        <x:v>818</x:v>
      </x:c>
      <x:c r="Q34" s="80" t="s">
        <x:v>818</x:v>
      </x:c>
      <x:c r="R34" s="44" t="s">
        <x:v>818</x:v>
      </x:c>
      <x:c r="U34" s="189" t="str">
        <x:f t="shared" si="1"/>
        <x:v/>
      </x:c>
    </x:row>
    <x:row r="35" spans="2:21">
      <x:c r="B35" s="1" t="s">
        <x:v>263</x:v>
      </x:c>
      <x:c r="C35" s="60" t="s">
        <x:v>2531</x:v>
      </x:c>
      <x:c r="D35" s="60" t="s">
        <x:v>1651</x:v>
      </x:c>
      <x:c r="E35" s="80">
        <x:v>3846</x:v>
      </x:c>
      <x:c r="F35" s="44">
        <x:v>5.9089999999999998</x:v>
      </x:c>
      <x:c r="G35" s="80">
        <x:v>3535</x:v>
      </x:c>
      <x:c r="H35" s="44">
        <x:v>6.4109999999999996</x:v>
      </x:c>
      <x:c r="I35" s="80">
        <x:v>3303</x:v>
      </x:c>
      <x:c r="J35" s="44">
        <x:v>6.1150000000000002</x:v>
      </x:c>
      <x:c r="K35" s="80">
        <x:v>3887</x:v>
      </x:c>
      <x:c r="L35" s="44">
        <x:v>6.4850000000000003</x:v>
      </x:c>
      <x:c r="M35" s="80">
        <x:v>4423</x:v>
      </x:c>
      <x:c r="N35" s="44">
        <x:v>7.5739999999999998</x:v>
      </x:c>
      <x:c r="O35" s="80" t="s">
        <x:v>818</x:v>
      </x:c>
      <x:c r="P35" s="44" t="s">
        <x:v>818</x:v>
      </x:c>
      <x:c r="Q35" s="80" t="s">
        <x:v>818</x:v>
      </x:c>
      <x:c r="R35" s="44" t="s">
        <x:v>818</x:v>
      </x:c>
      <x:c r="U35" s="189">
        <x:f t="shared" si="1"/>
        <x:v>1</x:v>
      </x:c>
    </x:row>
    <x:row r="36" spans="2:21">
      <x:c r="B36" s="1" t="s">
        <x:v>497</x:v>
      </x:c>
      <x:c r="C36" s="60" t="s">
        <x:v>2192</x:v>
      </x:c>
      <x:c r="D36" s="60" t="s">
        <x:v>424</x:v>
      </x:c>
      <x:c r="E36" s="80">
        <x:v>324</x:v>
      </x:c>
      <x:c r="F36" s="44">
        <x:v>0.498</x:v>
      </x:c>
      <x:c r="G36" s="80">
        <x:v>378</x:v>
      </x:c>
      <x:c r="H36" s="44">
        <x:v>0.68600000000000005</x:v>
      </x:c>
      <x:c r="I36" s="80">
        <x:v>371</x:v>
      </x:c>
      <x:c r="J36" s="44">
        <x:v>0.68700000000000006</x:v>
      </x:c>
      <x:c r="K36" s="80">
        <x:v>242</x:v>
      </x:c>
      <x:c r="L36" s="44">
        <x:v>0.40400000000000003</x:v>
      </x:c>
      <x:c r="M36" s="80">
        <x:v>244</x:v>
      </x:c>
      <x:c r="N36" s="44">
        <x:v>0.41799999999999998</x:v>
      </x:c>
      <x:c r="O36" s="80" t="s">
        <x:v>818</x:v>
      </x:c>
      <x:c r="P36" s="44" t="s">
        <x:v>818</x:v>
      </x:c>
      <x:c r="Q36" s="80" t="s">
        <x:v>818</x:v>
      </x:c>
      <x:c r="R36" s="44" t="s">
        <x:v>818</x:v>
      </x:c>
      <x:c r="U36" s="189">
        <x:f t="shared" si="1"/>
        <x:v>1</x:v>
      </x:c>
    </x:row>
    <x:row r="37" spans="2:21">
      <x:c r="B37" s="83" t="s">
        <x:v>2553</x:v>
      </x:c>
      <x:c r="C37" s="60" t="s">
        <x:v>419</x:v>
      </x:c>
      <x:c r="D37" s="60" t="s">
        <x:v>2542</x:v>
      </x:c>
      <x:c r="E37" s="82">
        <x:v>65707.999997000006</x:v>
      </x:c>
      <x:c r="F37" s="103">
        <x:v>100.953</x:v>
      </x:c>
      <x:c r="G37" s="82">
        <x:v>55823.999996999999</x:v>
      </x:c>
      <x:c r="H37" s="103">
        <x:v>101.23999999999999</x:v>
      </x:c>
      <x:c r="I37" s="82">
        <x:v>55098.849307999997</x:v>
      </x:c>
      <x:c r="J37" s="103">
        <x:v>102.01000000000001</x:v>
      </x:c>
      <x:c r="K37" s="82">
        <x:v>61032.650708000001</x:v>
      </x:c>
      <x:c r="L37" s="103">
        <x:v>101.831</x:v>
      </x:c>
      <x:c r="M37" s="82">
        <x:v>59723.467503</x:v>
      </x:c>
      <x:c r="N37" s="103">
        <x:v>102.273</x:v>
      </x:c>
      <x:c r="O37" s="82" t="s">
        <x:v>818</x:v>
      </x:c>
      <x:c r="P37" s="103" t="s">
        <x:v>818</x:v>
      </x:c>
      <x:c r="Q37" s="82" t="s">
        <x:v>818</x:v>
      </x:c>
      <x:c r="R37" s="103" t="s">
        <x:v>818</x:v>
      </x:c>
      <x:c r="U37" s="188">
        <x:v>1</x:v>
      </x:c>
    </x:row>
    <x:row r="38" spans="3:21">
      <x:c r="C38" s="60"/>
      <x:c r="D38" s="60"/>
      <x:c r="E38" s="80"/>
      <x:c r="F38" s="86"/>
      <x:c r="G38" s="80"/>
      <x:c r="H38" s="86"/>
      <x:c r="I38" s="80"/>
      <x:c r="J38" s="22"/>
      <x:c r="K38" s="80"/>
      <x:c r="L38" s="22"/>
      <x:c r="M38" s="80"/>
      <x:c r="N38" s="22"/>
      <x:c r="O38" s="80"/>
      <x:c r="P38" s="22"/>
      <x:c r="Q38" s="80"/>
      <x:c r="R38" s="22"/>
      <x:c r="U38" s="188">
        <x:v>1</x:v>
      </x:c>
    </x:row>
    <x:row r="39" spans="2:21">
      <x:c r="B39" s="1" t="s">
        <x:v>496</x:v>
      </x:c>
      <x:c r="C39" s="60" t="s">
        <x:v>420</x:v>
      </x:c>
      <x:c r="D39" s="60" t="s">
        <x:v>2551</x:v>
      </x:c>
      <x:c r="E39" s="80" t="s">
        <x:v>818</x:v>
      </x:c>
      <x:c r="F39" s="44" t="s">
        <x:v>818</x:v>
      </x:c>
      <x:c r="G39" s="80" t="s">
        <x:v>818</x:v>
      </x:c>
      <x:c r="H39" s="44" t="s">
        <x:v>818</x:v>
      </x:c>
      <x:c r="I39" s="80" t="s">
        <x:v>818</x:v>
      </x:c>
      <x:c r="J39" s="44" t="s">
        <x:v>818</x:v>
      </x:c>
      <x:c r="K39" s="80" t="s">
        <x:v>818</x:v>
      </x:c>
      <x:c r="L39" s="44" t="s">
        <x:v>818</x:v>
      </x:c>
      <x:c r="M39" s="80" t="s">
        <x:v>818</x:v>
      </x:c>
      <x:c r="N39" s="44" t="s">
        <x:v>818</x:v>
      </x:c>
      <x:c r="O39" s="80" t="s">
        <x:v>818</x:v>
      </x:c>
      <x:c r="P39" s="44" t="s">
        <x:v>818</x:v>
      </x:c>
      <x:c r="Q39" s="80" t="s">
        <x:v>818</x:v>
      </x:c>
      <x:c r="R39" s="44" t="s">
        <x:v>818</x:v>
      </x:c>
      <x:c r="U39" s="189" t="str">
        <x:f>IF(COUNT(E39:R39)&lt;&gt;0,1,"")</x:f>
        <x:v/>
      </x:c>
    </x:row>
    <x:row r="40" spans="2:21">
      <x:c r="B40" s="1" t="s">
        <x:v>499</x:v>
      </x:c>
      <x:c r="C40" s="60" t="s">
        <x:v>2204</x:v>
      </x:c>
      <x:c r="D40" s="60" t="s">
        <x:v>425</x:v>
      </x:c>
      <x:c r="E40" s="80">
        <x:v>-875</x:v>
      </x:c>
      <x:c r="F40" s="44">
        <x:v>-1.3440000000000001</x:v>
      </x:c>
      <x:c r="G40" s="80">
        <x:v>-839</x:v>
      </x:c>
      <x:c r="H40" s="44">
        <x:v>-1.522</x:v>
      </x:c>
      <x:c r="I40" s="80">
        <x:v>-835</x:v>
      </x:c>
      <x:c r="J40" s="44">
        <x:v>-1.546</x:v>
      </x:c>
      <x:c r="K40" s="80">
        <x:v>-838</x:v>
      </x:c>
      <x:c r="L40" s="44">
        <x:v>-1.3979999999999999</x:v>
      </x:c>
      <x:c r="M40" s="80">
        <x:v>-824</x:v>
      </x:c>
      <x:c r="N40" s="44">
        <x:v>-1.411</x:v>
      </x:c>
      <x:c r="O40" s="80" t="s">
        <x:v>818</x:v>
      </x:c>
      <x:c r="P40" s="44" t="s">
        <x:v>818</x:v>
      </x:c>
      <x:c r="Q40" s="80" t="s">
        <x:v>818</x:v>
      </x:c>
      <x:c r="R40" s="44" t="s">
        <x:v>818</x:v>
      </x:c>
      <x:c r="U40" s="189">
        <x:f>IF(COUNT(E40:R40)&lt;&gt;0,1,"")</x:f>
        <x:v>1</x:v>
      </x:c>
    </x:row>
    <x:row r="41" spans="2:21">
      <x:c r="B41" s="1" t="s">
        <x:v>417</x:v>
      </x:c>
      <x:c r="C41" s="60" t="s">
        <x:v>1144</x:v>
      </x:c>
      <x:c r="D41" s="60" t="s">
        <x:v>2205</x:v>
      </x:c>
      <x:c r="E41" s="151">
        <x:v>255</x:v>
      </x:c>
      <x:c r="F41" s="159">
        <x:v>0.39200000000000002</x:v>
      </x:c>
      <x:c r="G41" s="151">
        <x:v>155</x:v>
      </x:c>
      <x:c r="H41" s="159">
        <x:v>0.28100000000000003</x:v>
      </x:c>
      <x:c r="I41" s="151">
        <x:v>-250.84930800000001</x:v>
      </x:c>
      <x:c r="J41" s="159">
        <x:v>-0.46400000000000002</x:v>
      </x:c>
      <x:c r="K41" s="151">
        <x:v>-259.65070900000001</x:v>
      </x:c>
      <x:c r="L41" s="159">
        <x:v>-0.433</x:v>
      </x:c>
      <x:c r="M41" s="151">
        <x:v>-503.46750400000002</x:v>
      </x:c>
      <x:c r="N41" s="159">
        <x:v>-0.86199999999999999</x:v>
      </x:c>
      <x:c r="O41" s="151" t="s">
        <x:v>818</x:v>
      </x:c>
      <x:c r="P41" s="159" t="s">
        <x:v>818</x:v>
      </x:c>
      <x:c r="Q41" s="151" t="s">
        <x:v>818</x:v>
      </x:c>
      <x:c r="R41" s="159" t="s">
        <x:v>818</x:v>
      </x:c>
      <x:c r="U41" s="189">
        <x:f>IF(COUNT(E41:R41)&lt;&gt;0,1,"")</x:f>
        <x:v>1</x:v>
      </x:c>
    </x:row>
    <x:row r="42" spans="2:21">
      <x:c r="B42" s="83" t="s">
        <x:v>2540</x:v>
      </x:c>
      <x:c r="C42" s="60"/>
      <x:c r="D42" s="60"/>
      <x:c r="E42" s="142">
        <x:f t="shared" ref="E42:R42" si="2">IFERROR(IF(COUNT(E37:E41)=0,"NA",SUM(E37:E41)),"NA")</x:f>
        <x:v>65087.999997000006</x:v>
      </x:c>
      <x:c r="F42" s="191">
        <x:f t="shared" si="2"/>
        <x:v>100.001</x:v>
      </x:c>
      <x:c r="G42" s="142">
        <x:f t="shared" si="2"/>
        <x:v>55139.999996999999</x:v>
      </x:c>
      <x:c r="H42" s="191">
        <x:f t="shared" si="2"/>
        <x:v>99.998999999999995</x:v>
      </x:c>
      <x:c r="I42" s="142">
        <x:f t="shared" si="2"/>
        <x:v>54013</x:v>
      </x:c>
      <x:c r="J42" s="191">
        <x:f t="shared" si="2"/>
        <x:v>100</x:v>
      </x:c>
      <x:c r="K42" s="142">
        <x:f t="shared" si="2"/>
        <x:v>59934.999999</x:v>
      </x:c>
      <x:c r="L42" s="191">
        <x:f t="shared" si="2"/>
        <x:v>100</x:v>
      </x:c>
      <x:c r="M42" s="142">
        <x:f t="shared" si="2"/>
        <x:v>58395.999999</x:v>
      </x:c>
      <x:c r="N42" s="191">
        <x:f t="shared" si="2"/>
        <x:v>100</x:v>
      </x:c>
      <x:c r="O42" s="142" t="str">
        <x:f t="shared" si="2"/>
        <x:v>NA</x:v>
      </x:c>
      <x:c r="P42" s="191" t="str">
        <x:f t="shared" si="2"/>
        <x:v>NA</x:v>
      </x:c>
      <x:c r="Q42" s="142" t="str">
        <x:f t="shared" si="2"/>
        <x:v>NA</x:v>
      </x:c>
      <x:c r="R42" s="191" t="str">
        <x:f t="shared" si="2"/>
        <x:v>NA</x:v>
      </x:c>
      <x:c r="U42" s="188">
        <x:v>1</x:v>
      </x:c>
    </x:row>
    <x:row r="43" spans="3:21">
      <x:c r="C43" s="60"/>
      <x:c r="D43" s="60"/>
      <x:c r="E43" s="15"/>
      <x:c r="F43" s="22"/>
      <x:c r="G43" s="22"/>
      <x:c r="H43" s="22"/>
      <x:c r="I43" s="22"/>
      <x:c r="J43" s="22"/>
      <x:c r="K43" s="22"/>
      <x:c r="L43" s="22"/>
      <x:c r="M43" s="22"/>
      <x:c r="N43" s="22"/>
      <x:c r="O43" s="22"/>
      <x:c r="P43" s="22"/>
      <x:c r="Q43" s="22"/>
      <x:c r="R43" s="22"/>
      <x:c r="U43" s="188">
        <x:v>1</x:v>
      </x:c>
    </x:row>
    <x:row r="44" spans="2:21">
      <x:c r="B44" s="85" t="s">
        <x:v>395</x:v>
      </x:c>
      <x:c r="C44" s="60"/>
      <x:c r="D44" s="60"/>
      <x:c r="E44" s="15"/>
      <x:c r="F44" s="22"/>
      <x:c r="G44" s="22"/>
      <x:c r="H44" s="22"/>
      <x:c r="I44" s="22"/>
      <x:c r="J44" s="22"/>
      <x:c r="K44" s="22"/>
      <x:c r="L44" s="22"/>
      <x:c r="M44" s="22"/>
      <x:c r="N44" s="22"/>
      <x:c r="O44" s="22"/>
      <x:c r="P44" s="22"/>
      <x:c r="Q44" s="22"/>
      <x:c r="R44" s="22"/>
      <x:c r="U44" s="188">
        <x:v>1</x:v>
      </x:c>
    </x:row>
    <x:row r="45" spans="2:21">
      <x:c r="B45" s="3" t="s">
        <x:v>138</x:v>
      </x:c>
      <x:c r="C45" s="60" t="s">
        <x:v>2206</x:v>
      </x:c>
      <x:c r="D45" s="60"/>
      <x:c r="E45" s="80">
        <x:v>15300</x:v>
      </x:c>
      <x:c r="F45" s="80"/>
      <x:c r="G45" s="80" t="s">
        <x:v>818</x:v>
      </x:c>
      <x:c r="H45" s="80"/>
      <x:c r="I45" s="80" t="s">
        <x:v>818</x:v>
      </x:c>
      <x:c r="J45" s="80"/>
      <x:c r="K45" s="80" t="s">
        <x:v>818</x:v>
      </x:c>
      <x:c r="L45" s="80"/>
      <x:c r="M45" s="80">
        <x:v>10000</x:v>
      </x:c>
      <x:c r="N45" s="80"/>
      <x:c r="O45" s="80" t="s">
        <x:v>818</x:v>
      </x:c>
      <x:c r="P45" s="22"/>
      <x:c r="Q45" s="80" t="s">
        <x:v>818</x:v>
      </x:c>
      <x:c r="R45" s="22"/>
      <x:c r="U45" s="189">
        <x:f>IF(COUNT(E45:R45)&lt;&gt;0,1,"")</x:f>
        <x:v>1</x:v>
      </x:c>
    </x:row>
    <x:row r="46" spans="2:21">
      <x:c r="B46" s="3" t="s">
        <x:v>500</x:v>
      </x:c>
      <x:c r="C46" s="60" t="s">
        <x:v>2218</x:v>
      </x:c>
      <x:c r="D46" s="60"/>
      <x:c r="E46" s="80" t="s">
        <x:v>818</x:v>
      </x:c>
      <x:c r="F46" s="80"/>
      <x:c r="G46" s="80" t="s">
        <x:v>818</x:v>
      </x:c>
      <x:c r="H46" s="80"/>
      <x:c r="I46" s="80" t="s">
        <x:v>818</x:v>
      </x:c>
      <x:c r="J46" s="80"/>
      <x:c r="K46" s="80" t="s">
        <x:v>818</x:v>
      </x:c>
      <x:c r="L46" s="80"/>
      <x:c r="M46" s="80" t="s">
        <x:v>818</x:v>
      </x:c>
      <x:c r="N46" s="80"/>
      <x:c r="O46" s="80" t="s">
        <x:v>818</x:v>
      </x:c>
      <x:c r="P46" s="22"/>
      <x:c r="Q46" s="80" t="s">
        <x:v>818</x:v>
      </x:c>
      <x:c r="R46" s="22"/>
      <x:c r="U46" s="189" t="str">
        <x:f>IF(COUNT(E46:R46)&lt;&gt;0,1,"")</x:f>
        <x:v/>
      </x:c>
    </x:row>
    <x:row r="47" spans="2:21">
      <x:c r="B47" s="3" t="s">
        <x:v>248</x:v>
      </x:c>
      <x:c r="C47" s="60" t="s">
        <x:v>2209</x:v>
      </x:c>
      <x:c r="D47" s="60"/>
      <x:c r="E47" s="80" t="s">
        <x:v>818</x:v>
      </x:c>
      <x:c r="F47" s="80"/>
      <x:c r="G47" s="80" t="s">
        <x:v>818</x:v>
      </x:c>
      <x:c r="H47" s="80"/>
      <x:c r="I47" s="80" t="s">
        <x:v>818</x:v>
      </x:c>
      <x:c r="J47" s="80"/>
      <x:c r="K47" s="80" t="s">
        <x:v>818</x:v>
      </x:c>
      <x:c r="L47" s="80"/>
      <x:c r="M47" s="80" t="s">
        <x:v>818</x:v>
      </x:c>
      <x:c r="N47" s="80"/>
      <x:c r="O47" s="80" t="s">
        <x:v>818</x:v>
      </x:c>
      <x:c r="P47" s="22"/>
      <x:c r="Q47" s="80" t="s">
        <x:v>818</x:v>
      </x:c>
      <x:c r="R47" s="22"/>
      <x:c r="U47" s="189" t="str">
        <x:f>IF(COUNT(E47:R47)&lt;&gt;0,1,"")</x:f>
        <x:v/>
      </x:c>
    </x:row>
    <x:row r="48" spans="2:21">
      <x:c r="B48" s="3" t="s">
        <x:v>501</x:v>
      </x:c>
      <x:c r="C48" s="60" t="s">
        <x:v>2554</x:v>
      </x:c>
      <x:c r="D48" s="60"/>
      <x:c r="E48" s="80" t="s">
        <x:v>818</x:v>
      </x:c>
      <x:c r="F48" s="80"/>
      <x:c r="G48" s="80" t="s">
        <x:v>818</x:v>
      </x:c>
      <x:c r="H48" s="80"/>
      <x:c r="I48" s="80" t="s">
        <x:v>818</x:v>
      </x:c>
      <x:c r="J48" s="80"/>
      <x:c r="K48" s="80" t="s">
        <x:v>818</x:v>
      </x:c>
      <x:c r="L48" s="80"/>
      <x:c r="M48" s="80" t="s">
        <x:v>818</x:v>
      </x:c>
      <x:c r="N48" s="80"/>
      <x:c r="O48" s="80" t="s">
        <x:v>818</x:v>
      </x:c>
      <x:c r="P48" s="22"/>
      <x:c r="Q48" s="80" t="s">
        <x:v>818</x:v>
      </x:c>
      <x:c r="R48" s="22"/>
      <x:c r="U48" s="189" t="str">
        <x:f>IF(COUNT(E48:R48)&lt;&gt;0,1,"")</x:f>
        <x:v/>
      </x:c>
    </x:row>
    <x:row r="49" spans="2:21">
      <x:c r="B49" s="3" t="s">
        <x:v>105</x:v>
      </x:c>
      <x:c r="C49" s="60" t="s">
        <x:v>401</x:v>
      </x:c>
      <x:c r="D49" s="60"/>
      <x:c r="E49" s="151" t="s">
        <x:v>818</x:v>
      </x:c>
      <x:c r="F49" s="80"/>
      <x:c r="G49" s="151" t="s">
        <x:v>818</x:v>
      </x:c>
      <x:c r="H49" s="80"/>
      <x:c r="I49" s="151" t="s">
        <x:v>818</x:v>
      </x:c>
      <x:c r="J49" s="80"/>
      <x:c r="K49" s="151" t="s">
        <x:v>818</x:v>
      </x:c>
      <x:c r="L49" s="80"/>
      <x:c r="M49" s="151" t="s">
        <x:v>818</x:v>
      </x:c>
      <x:c r="N49" s="80"/>
      <x:c r="O49" s="151" t="s">
        <x:v>818</x:v>
      </x:c>
      <x:c r="P49" s="22"/>
      <x:c r="Q49" s="151" t="s">
        <x:v>818</x:v>
      </x:c>
      <x:c r="R49" s="22"/>
      <x:c r="U49" s="189" t="str">
        <x:f>IF(COUNT(E49:R49)&lt;&gt;0,1,"")</x:f>
        <x:v/>
      </x:c>
    </x:row>
    <x:row r="50" spans="2:21">
      <x:c r="B50" s="83" t="s">
        <x:v>2544</x:v>
      </x:c>
      <x:c r="C50" s="60" t="s">
        <x:v>389</x:v>
      </x:c>
      <x:c r="D50" s="60"/>
      <x:c r="E50" s="142">
        <x:v>15300</x:v>
      </x:c>
      <x:c r="F50" s="80"/>
      <x:c r="G50" s="142" t="s">
        <x:v>818</x:v>
      </x:c>
      <x:c r="H50" s="80"/>
      <x:c r="I50" s="142" t="s">
        <x:v>818</x:v>
      </x:c>
      <x:c r="J50" s="80"/>
      <x:c r="K50" s="142" t="s">
        <x:v>818</x:v>
      </x:c>
      <x:c r="L50" s="80"/>
      <x:c r="M50" s="142">
        <x:v>10000</x:v>
      </x:c>
      <x:c r="N50" s="80"/>
      <x:c r="O50" s="142" t="s">
        <x:v>818</x:v>
      </x:c>
      <x:c r="P50" s="22"/>
      <x:c r="Q50" s="142" t="s">
        <x:v>818</x:v>
      </x:c>
      <x:c r="R50" s="22"/>
      <x:c r="U50" s="188">
        <x:v>1</x:v>
      </x:c>
    </x:row>
    <x:row r="51" spans="2:21">
      <x:c r="B51" s="3"/>
      <x:c r="C51" s="60"/>
      <x:c r="D51" s="60"/>
      <x:c r="E51" s="15"/>
      <x:c r="F51" s="22"/>
      <x:c r="G51" s="22"/>
      <x:c r="H51" s="22"/>
      <x:c r="I51" s="22"/>
      <x:c r="J51" s="22"/>
      <x:c r="K51" s="22"/>
      <x:c r="L51" s="22"/>
      <x:c r="M51" s="22"/>
      <x:c r="N51" s="22"/>
      <x:c r="O51" s="22"/>
      <x:c r="P51" s="22"/>
      <x:c r="Q51" s="22"/>
      <x:c r="R51" s="22"/>
      <x:c r="U51" s="188">
        <x:v>1</x:v>
      </x:c>
    </x:row>
    <x:row r="52" spans="2:21">
      <x:c r="B52" s="85" t="s">
        <x:v>414</x:v>
      </x:c>
      <x:c r="C52" s="60"/>
      <x:c r="D52" s="60"/>
      <x:c r="E52" s="15"/>
      <x:c r="F52" s="22"/>
      <x:c r="G52" s="22"/>
      <x:c r="H52" s="22"/>
      <x:c r="I52" s="22"/>
      <x:c r="J52" s="22"/>
      <x:c r="K52" s="22"/>
      <x:c r="L52" s="22"/>
      <x:c r="M52" s="22"/>
      <x:c r="N52" s="22"/>
      <x:c r="O52" s="22"/>
      <x:c r="P52" s="22"/>
      <x:c r="Q52" s="22"/>
      <x:c r="R52" s="22"/>
      <x:c r="U52" s="188">
        <x:v>1</x:v>
      </x:c>
    </x:row>
    <x:row r="53" spans="2:21">
      <x:c r="B53" s="3" t="s">
        <x:v>502</x:v>
      </x:c>
      <x:c r="C53" s="60" t="s">
        <x:v>619</x:v>
      </x:c>
      <x:c r="D53" s="60"/>
      <x:c r="E53" s="80">
        <x:v>13788</x:v>
      </x:c>
      <x:c r="F53" s="86"/>
      <x:c r="G53" s="80">
        <x:v>7250</x:v>
      </x:c>
      <x:c r="H53" s="86"/>
      <x:c r="I53" s="80">
        <x:v>8738</x:v>
      </x:c>
      <x:c r="J53" s="86"/>
      <x:c r="K53" s="80">
        <x:v>13441</x:v>
      </x:c>
      <x:c r="L53" s="86"/>
      <x:c r="M53" s="80">
        <x:v>14591</x:v>
      </x:c>
      <x:c r="N53" s="86"/>
      <x:c r="O53" s="80">
        <x:v>14417</x:v>
      </x:c>
      <x:c r="P53" s="226"/>
      <x:c r="Q53" s="80">
        <x:v>14417</x:v>
      </x:c>
      <x:c r="R53" s="226"/>
      <x:c r="U53" s="189">
        <x:f t="shared" ref="U53:U79" si="3">IF(COUNT(E53:R53)&lt;&gt;0,1,"")</x:f>
        <x:v>1</x:v>
      </x:c>
    </x:row>
    <x:row r="54" spans="2:21">
      <x:c r="B54" s="3" t="s">
        <x:v>1287</x:v>
      </x:c>
      <x:c r="C54" s="60" t="s">
        <x:v>1286</x:v>
      </x:c>
      <x:c r="D54" s="60"/>
      <x:c r="E54" s="80">
        <x:v>51300</x:v>
      </x:c>
      <x:c r="F54" s="86"/>
      <x:c r="G54" s="80">
        <x:v>47890</x:v>
      </x:c>
      <x:c r="H54" s="86"/>
      <x:c r="I54" s="80">
        <x:v>45275</x:v>
      </x:c>
      <x:c r="J54" s="86"/>
      <x:c r="K54" s="80">
        <x:v>46494</x:v>
      </x:c>
      <x:c r="L54" s="86"/>
      <x:c r="M54" s="80">
        <x:v>43805</x:v>
      </x:c>
      <x:c r="N54" s="86"/>
      <x:c r="O54" s="80">
        <x:v>50190</x:v>
      </x:c>
      <x:c r="P54" s="226"/>
      <x:c r="Q54" s="80">
        <x:v>50190</x:v>
      </x:c>
      <x:c r="R54" s="226"/>
      <x:c r="U54" s="189">
        <x:f t="shared" si="3"/>
        <x:v>1</x:v>
      </x:c>
    </x:row>
    <x:row r="55" spans="2:21">
      <x:c r="B55" s="3" t="s">
        <x:v>387</x:v>
      </x:c>
      <x:c r="C55" s="60" t="s">
        <x:v>1147</x:v>
      </x:c>
      <x:c r="D55" s="60" t="s">
        <x:v>2219</x:v>
      </x:c>
      <x:c r="E55" s="80">
        <x:v>65707.999997000006</x:v>
      </x:c>
      <x:c r="F55" s="44">
        <x:v>100.953</x:v>
      </x:c>
      <x:c r="G55" s="80">
        <x:v>55823.999996999999</x:v>
      </x:c>
      <x:c r="H55" s="44">
        <x:v>101.23999999999999</x:v>
      </x:c>
      <x:c r="I55" s="80">
        <x:v>55098.849307999997</x:v>
      </x:c>
      <x:c r="J55" s="44">
        <x:v>102.01000000000001</x:v>
      </x:c>
      <x:c r="K55" s="80">
        <x:v>61032.650708000001</x:v>
      </x:c>
      <x:c r="L55" s="44">
        <x:v>101.831</x:v>
      </x:c>
      <x:c r="M55" s="80">
        <x:v>59723.467503</x:v>
      </x:c>
      <x:c r="N55" s="44">
        <x:v>102.273</x:v>
      </x:c>
      <x:c r="O55" s="80" t="s">
        <x:v>818</x:v>
      </x:c>
      <x:c r="P55" s="44" t="s">
        <x:v>818</x:v>
      </x:c>
      <x:c r="Q55" s="80" t="s">
        <x:v>818</x:v>
      </x:c>
      <x:c r="R55" s="44" t="s">
        <x:v>818</x:v>
      </x:c>
      <x:c r="U55" s="189">
        <x:f t="shared" si="3"/>
        <x:v>1</x:v>
      </x:c>
    </x:row>
    <x:row r="56" spans="2:21">
      <x:c r="B56" s="3" t="s">
        <x:v>2193</x:v>
      </x:c>
      <x:c r="C56" s="60" t="s">
        <x:v>399</x:v>
      </x:c>
      <x:c r="D56" s="60" t="s">
        <x:v>2541</x:v>
      </x:c>
      <x:c r="E56" s="80" t="s">
        <x:v>818</x:v>
      </x:c>
      <x:c r="F56" s="44" t="s">
        <x:v>818</x:v>
      </x:c>
      <x:c r="G56" s="80" t="s">
        <x:v>818</x:v>
      </x:c>
      <x:c r="H56" s="44" t="s">
        <x:v>818</x:v>
      </x:c>
      <x:c r="I56" s="80" t="s">
        <x:v>818</x:v>
      </x:c>
      <x:c r="J56" s="44" t="s">
        <x:v>818</x:v>
      </x:c>
      <x:c r="K56" s="80" t="s">
        <x:v>818</x:v>
      </x:c>
      <x:c r="L56" s="44" t="s">
        <x:v>818</x:v>
      </x:c>
      <x:c r="M56" s="80" t="s">
        <x:v>818</x:v>
      </x:c>
      <x:c r="N56" s="44" t="s">
        <x:v>818</x:v>
      </x:c>
      <x:c r="O56" s="80" t="s">
        <x:v>818</x:v>
      </x:c>
      <x:c r="P56" s="44" t="s">
        <x:v>818</x:v>
      </x:c>
      <x:c r="Q56" s="80" t="s">
        <x:v>818</x:v>
      </x:c>
      <x:c r="R56" s="44" t="s">
        <x:v>818</x:v>
      </x:c>
      <x:c r="U56" s="189" t="str">
        <x:f t="shared" si="3"/>
        <x:v/>
      </x:c>
    </x:row>
    <x:row r="57" spans="2:21">
      <x:c r="B57" s="3" t="s">
        <x:v>2195</x:v>
      </x:c>
      <x:c r="C57" s="60" t="s">
        <x:v>2226</x:v>
      </x:c>
      <x:c r="D57" s="60" t="s">
        <x:v>412</x:v>
      </x:c>
      <x:c r="E57" s="80" t="s">
        <x:v>818</x:v>
      </x:c>
      <x:c r="F57" s="44" t="s">
        <x:v>818</x:v>
      </x:c>
      <x:c r="G57" s="80" t="s">
        <x:v>818</x:v>
      </x:c>
      <x:c r="H57" s="44" t="s">
        <x:v>818</x:v>
      </x:c>
      <x:c r="I57" s="80" t="s">
        <x:v>818</x:v>
      </x:c>
      <x:c r="J57" s="44" t="s">
        <x:v>818</x:v>
      </x:c>
      <x:c r="K57" s="80" t="s">
        <x:v>818</x:v>
      </x:c>
      <x:c r="L57" s="44" t="s">
        <x:v>818</x:v>
      </x:c>
      <x:c r="M57" s="80" t="s">
        <x:v>818</x:v>
      </x:c>
      <x:c r="N57" s="44" t="s">
        <x:v>818</x:v>
      </x:c>
      <x:c r="O57" s="80" t="s">
        <x:v>818</x:v>
      </x:c>
      <x:c r="P57" s="44" t="s">
        <x:v>818</x:v>
      </x:c>
      <x:c r="Q57" s="80" t="s">
        <x:v>818</x:v>
      </x:c>
      <x:c r="R57" s="44" t="s">
        <x:v>818</x:v>
      </x:c>
      <x:c r="U57" s="189" t="str">
        <x:f t="shared" si="3"/>
        <x:v/>
      </x:c>
    </x:row>
    <x:row r="58" spans="2:21">
      <x:c r="B58" s="3" t="s">
        <x:v>1145</x:v>
      </x:c>
      <x:c r="C58" s="60" t="s">
        <x:v>1148</x:v>
      </x:c>
      <x:c r="D58" s="60" t="s">
        <x:v>2235</x:v>
      </x:c>
      <x:c r="E58" s="80" t="s">
        <x:v>818</x:v>
      </x:c>
      <x:c r="F58" s="44" t="s">
        <x:v>818</x:v>
      </x:c>
      <x:c r="G58" s="80" t="s">
        <x:v>818</x:v>
      </x:c>
      <x:c r="H58" s="44" t="s">
        <x:v>818</x:v>
      </x:c>
      <x:c r="I58" s="80" t="s">
        <x:v>818</x:v>
      </x:c>
      <x:c r="J58" s="44" t="s">
        <x:v>818</x:v>
      </x:c>
      <x:c r="K58" s="80" t="s">
        <x:v>818</x:v>
      </x:c>
      <x:c r="L58" s="44" t="s">
        <x:v>818</x:v>
      </x:c>
      <x:c r="M58" s="80" t="s">
        <x:v>818</x:v>
      </x:c>
      <x:c r="N58" s="44" t="s">
        <x:v>818</x:v>
      </x:c>
      <x:c r="O58" s="80" t="s">
        <x:v>818</x:v>
      </x:c>
      <x:c r="P58" s="44" t="s">
        <x:v>818</x:v>
      </x:c>
      <x:c r="Q58" s="80" t="s">
        <x:v>818</x:v>
      </x:c>
      <x:c r="R58" s="44" t="s">
        <x:v>818</x:v>
      </x:c>
      <x:c r="U58" s="189" t="str">
        <x:f t="shared" si="3"/>
        <x:v/>
      </x:c>
    </x:row>
    <x:row r="59" spans="2:21">
      <x:c r="B59" s="3" t="s">
        <x:v>2222</x:v>
      </x:c>
      <x:c r="C59" s="60" t="s">
        <x:v>2244</x:v>
      </x:c>
      <x:c r="D59" s="60" t="s">
        <x:v>406</x:v>
      </x:c>
      <x:c r="E59" s="80" t="s">
        <x:v>818</x:v>
      </x:c>
      <x:c r="F59" s="44" t="s">
        <x:v>818</x:v>
      </x:c>
      <x:c r="G59" s="80" t="s">
        <x:v>818</x:v>
      </x:c>
      <x:c r="H59" s="44" t="s">
        <x:v>818</x:v>
      </x:c>
      <x:c r="I59" s="80" t="s">
        <x:v>818</x:v>
      </x:c>
      <x:c r="J59" s="44" t="s">
        <x:v>818</x:v>
      </x:c>
      <x:c r="K59" s="80" t="s">
        <x:v>818</x:v>
      </x:c>
      <x:c r="L59" s="44" t="s">
        <x:v>818</x:v>
      </x:c>
      <x:c r="M59" s="80" t="s">
        <x:v>818</x:v>
      </x:c>
      <x:c r="N59" s="44" t="s">
        <x:v>818</x:v>
      </x:c>
      <x:c r="O59" s="80" t="s">
        <x:v>818</x:v>
      </x:c>
      <x:c r="P59" s="44" t="s">
        <x:v>818</x:v>
      </x:c>
      <x:c r="Q59" s="80" t="s">
        <x:v>818</x:v>
      </x:c>
      <x:c r="R59" s="44" t="s">
        <x:v>818</x:v>
      </x:c>
      <x:c r="U59" s="189" t="str">
        <x:f t="shared" si="3"/>
        <x:v/>
      </x:c>
    </x:row>
    <x:row r="60" spans="2:21">
      <x:c r="B60" s="3" t="s">
        <x:v>1627</x:v>
      </x:c>
      <x:c r="C60" s="60" t="s">
        <x:v>1146</x:v>
      </x:c>
      <x:c r="D60" s="60" t="s">
        <x:v>2223</x:v>
      </x:c>
      <x:c r="E60" s="80" t="s">
        <x:v>818</x:v>
      </x:c>
      <x:c r="F60" s="44" t="s">
        <x:v>818</x:v>
      </x:c>
      <x:c r="G60" s="80" t="s">
        <x:v>818</x:v>
      </x:c>
      <x:c r="H60" s="44" t="s">
        <x:v>818</x:v>
      </x:c>
      <x:c r="I60" s="80" t="s">
        <x:v>818</x:v>
      </x:c>
      <x:c r="J60" s="44" t="s">
        <x:v>818</x:v>
      </x:c>
      <x:c r="K60" s="80" t="s">
        <x:v>818</x:v>
      </x:c>
      <x:c r="L60" s="44" t="s">
        <x:v>818</x:v>
      </x:c>
      <x:c r="M60" s="80" t="s">
        <x:v>818</x:v>
      </x:c>
      <x:c r="N60" s="44" t="s">
        <x:v>818</x:v>
      </x:c>
      <x:c r="O60" s="80" t="s">
        <x:v>818</x:v>
      </x:c>
      <x:c r="P60" s="44" t="s">
        <x:v>818</x:v>
      </x:c>
      <x:c r="Q60" s="80" t="s">
        <x:v>818</x:v>
      </x:c>
      <x:c r="R60" s="44" t="s">
        <x:v>818</x:v>
      </x:c>
      <x:c r="U60" s="189" t="str">
        <x:f t="shared" si="3"/>
        <x:v/>
      </x:c>
    </x:row>
    <x:row r="61" spans="2:21">
      <x:c r="B61" s="3" t="s">
        <x:v>2448</x:v>
      </x:c>
      <x:c r="C61" s="60" t="s">
        <x:v>1279</x:v>
      </x:c>
      <x:c r="D61" s="60" t="s">
        <x:v>2239</x:v>
      </x:c>
      <x:c r="E61" s="80">
        <x:v>130</x:v>
      </x:c>
      <x:c r="F61" s="44">
        <x:v>0.20000000000000001</x:v>
      </x:c>
      <x:c r="G61" s="80">
        <x:v>22</x:v>
      </x:c>
      <x:c r="H61" s="44">
        <x:v>0.040000000000000002</x:v>
      </x:c>
      <x:c r="I61" s="80" t="s">
        <x:v>818</x:v>
      </x:c>
      <x:c r="J61" s="44" t="s">
        <x:v>818</x:v>
      </x:c>
      <x:c r="K61" s="80">
        <x:v>1</x:v>
      </x:c>
      <x:c r="L61" s="44">
        <x:v>0.0020000000000000001</x:v>
      </x:c>
      <x:c r="M61" s="80">
        <x:v>30</x:v>
      </x:c>
      <x:c r="N61" s="44">
        <x:v>0.051000000000000001</x:v>
      </x:c>
      <x:c r="O61" s="80">
        <x:v>6424</x:v>
      </x:c>
      <x:c r="P61" s="44">
        <x:v>9.9429999999999996</x:v>
      </x:c>
      <x:c r="Q61" s="80">
        <x:v>6424</x:v>
      </x:c>
      <x:c r="R61" s="44">
        <x:v>9.9429999999999996</x:v>
      </x:c>
      <x:c r="U61" s="189">
        <x:f t="shared" si="3"/>
        <x:v>1</x:v>
      </x:c>
    </x:row>
    <x:row r="62" spans="2:21">
      <x:c r="B62" s="3" t="s">
        <x:v>119</x:v>
      </x:c>
      <x:c r="C62" s="60" t="s">
        <x:v>95</x:v>
      </x:c>
      <x:c r="D62" s="60" t="s">
        <x:v>398</x:v>
      </x:c>
      <x:c r="E62" s="80">
        <x:v>8021</x:v>
      </x:c>
      <x:c r="F62" s="44">
        <x:v>12.323</x:v>
      </x:c>
      <x:c r="G62" s="80">
        <x:v>7739</x:v>
      </x:c>
      <x:c r="H62" s="44">
        <x:v>14.035</x:v>
      </x:c>
      <x:c r="I62" s="80">
        <x:v>5634</x:v>
      </x:c>
      <x:c r="J62" s="44">
        <x:v>10.430999999999999</x:v>
      </x:c>
      <x:c r="K62" s="80">
        <x:v>7245</x:v>
      </x:c>
      <x:c r="L62" s="44">
        <x:v>12.087999999999999</x:v>
      </x:c>
      <x:c r="M62" s="80">
        <x:v>5827</x:v>
      </x:c>
      <x:c r="N62" s="44">
        <x:v>9.9779999999999998</x:v>
      </x:c>
      <x:c r="O62" s="80">
        <x:v>800</x:v>
      </x:c>
      <x:c r="P62" s="44">
        <x:v>1.238</x:v>
      </x:c>
      <x:c r="Q62" s="80">
        <x:v>800</x:v>
      </x:c>
      <x:c r="R62" s="44">
        <x:v>1.238</x:v>
      </x:c>
      <x:c r="U62" s="189">
        <x:f t="shared" si="3"/>
        <x:v>1</x:v>
      </x:c>
    </x:row>
    <x:row r="63" spans="2:21">
      <x:c r="B63" s="3" t="s">
        <x:v>162</x:v>
      </x:c>
      <x:c r="C63" s="60" t="s">
        <x:v>1636</x:v>
      </x:c>
      <x:c r="D63" s="60" t="s">
        <x:v>503</x:v>
      </x:c>
      <x:c r="E63" s="80">
        <x:v>56937</x:v>
      </x:c>
      <x:c r="F63" s="44">
        <x:v>87.477000000000004</x:v>
      </x:c>
      <x:c r="G63" s="80">
        <x:v>47379</x:v>
      </x:c>
      <x:c r="H63" s="44">
        <x:v>85.924999999999997</x:v>
      </x:c>
      <x:c r="I63" s="80">
        <x:v>48379</x:v>
      </x:c>
      <x:c r="J63" s="44">
        <x:v>89.569000000000003</x:v>
      </x:c>
      <x:c r="K63" s="80">
        <x:v>52689</x:v>
      </x:c>
      <x:c r="L63" s="44">
        <x:v>87.909999999999997</x:v>
      </x:c>
      <x:c r="M63" s="80">
        <x:v>52539</x:v>
      </x:c>
      <x:c r="N63" s="44">
        <x:v>89.969999999999999</x:v>
      </x:c>
      <x:c r="O63" s="80">
        <x:v>57383</x:v>
      </x:c>
      <x:c r="P63" s="44">
        <x:v>88.819000000000003</x:v>
      </x:c>
      <x:c r="Q63" s="80">
        <x:v>57383</x:v>
      </x:c>
      <x:c r="R63" s="44">
        <x:v>88.819000000000003</x:v>
      </x:c>
      <x:c r="U63" s="189">
        <x:f t="shared" si="3"/>
        <x:v>1</x:v>
      </x:c>
    </x:row>
    <x:row r="64" spans="2:21">
      <x:c r="B64" s="3" t="s">
        <x:v>2236</x:v>
      </x:c>
      <x:c r="C64" s="60" t="s">
        <x:v>2237</x:v>
      </x:c>
      <x:c r="D64" s="60" t="s">
        <x:v>390</x:v>
      </x:c>
      <x:c r="E64" s="80">
        <x:v>130</x:v>
      </x:c>
      <x:c r="F64" s="44">
        <x:v>0.20000000000000001</x:v>
      </x:c>
      <x:c r="G64" s="80">
        <x:v>22</x:v>
      </x:c>
      <x:c r="H64" s="44">
        <x:v>0.040000000000000002</x:v>
      </x:c>
      <x:c r="I64" s="80" t="s">
        <x:v>818</x:v>
      </x:c>
      <x:c r="J64" s="44" t="s">
        <x:v>818</x:v>
      </x:c>
      <x:c r="K64" s="80">
        <x:v>700</x:v>
      </x:c>
      <x:c r="L64" s="44">
        <x:v>1.1679999999999999</x:v>
      </x:c>
      <x:c r="M64" s="80">
        <x:v>700</x:v>
      </x:c>
      <x:c r="N64" s="44">
        <x:v>1.1990000000000001</x:v>
      </x:c>
      <x:c r="O64" s="80" t="s">
        <x:v>818</x:v>
      </x:c>
      <x:c r="P64" s="44" t="s">
        <x:v>818</x:v>
      </x:c>
      <x:c r="Q64" s="80" t="s">
        <x:v>818</x:v>
      </x:c>
      <x:c r="R64" s="44" t="s">
        <x:v>818</x:v>
      </x:c>
      <x:c r="U64" s="189">
        <x:f t="shared" si="3"/>
        <x:v>1</x:v>
      </x:c>
    </x:row>
    <x:row r="65" spans="2:21">
      <x:c r="B65" s="3" t="s">
        <x:v>2243</x:v>
      </x:c>
      <x:c r="C65" s="60" t="s">
        <x:v>2234</x:v>
      </x:c>
      <x:c r="D65" s="60" t="s">
        <x:v>388</x:v>
      </x:c>
      <x:c r="E65" s="80">
        <x:v>3846</x:v>
      </x:c>
      <x:c r="F65" s="44">
        <x:v>5.9089999999999998</x:v>
      </x:c>
      <x:c r="G65" s="80">
        <x:v>3535</x:v>
      </x:c>
      <x:c r="H65" s="44">
        <x:v>6.4109999999999996</x:v>
      </x:c>
      <x:c r="I65" s="80">
        <x:v>3303</x:v>
      </x:c>
      <x:c r="J65" s="44">
        <x:v>6.1150000000000002</x:v>
      </x:c>
      <x:c r="K65" s="80">
        <x:v>3887</x:v>
      </x:c>
      <x:c r="L65" s="44">
        <x:v>6.4850000000000003</x:v>
      </x:c>
      <x:c r="M65" s="80">
        <x:v>4423</x:v>
      </x:c>
      <x:c r="N65" s="44">
        <x:v>7.5739999999999998</x:v>
      </x:c>
      <x:c r="O65" s="80" t="s">
        <x:v>818</x:v>
      </x:c>
      <x:c r="P65" s="44" t="s">
        <x:v>818</x:v>
      </x:c>
      <x:c r="Q65" s="80" t="s">
        <x:v>818</x:v>
      </x:c>
      <x:c r="R65" s="44" t="s">
        <x:v>818</x:v>
      </x:c>
      <x:c r="U65" s="189">
        <x:f t="shared" si="3"/>
        <x:v>1</x:v>
      </x:c>
    </x:row>
    <x:row r="66" spans="2:21">
      <x:c r="B66" s="3" t="s">
        <x:v>2532</x:v>
      </x:c>
      <x:c r="C66" s="60" t="s">
        <x:v>409</x:v>
      </x:c>
      <x:c r="D66" s="60" t="s">
        <x:v>2555</x:v>
      </x:c>
      <x:c r="E66" s="80" t="s">
        <x:v>818</x:v>
      </x:c>
      <x:c r="F66" s="44" t="s">
        <x:v>818</x:v>
      </x:c>
      <x:c r="G66" s="80" t="s">
        <x:v>818</x:v>
      </x:c>
      <x:c r="H66" s="44" t="s">
        <x:v>818</x:v>
      </x:c>
      <x:c r="I66" s="80" t="s">
        <x:v>818</x:v>
      </x:c>
      <x:c r="J66" s="44" t="s">
        <x:v>818</x:v>
      </x:c>
      <x:c r="K66" s="80" t="s">
        <x:v>818</x:v>
      </x:c>
      <x:c r="L66" s="44" t="s">
        <x:v>818</x:v>
      </x:c>
      <x:c r="M66" s="80" t="s">
        <x:v>818</x:v>
      </x:c>
      <x:c r="N66" s="44" t="s">
        <x:v>818</x:v>
      </x:c>
      <x:c r="O66" s="80" t="s">
        <x:v>818</x:v>
      </x:c>
      <x:c r="P66" s="44" t="s">
        <x:v>818</x:v>
      </x:c>
      <x:c r="Q66" s="80" t="s">
        <x:v>818</x:v>
      </x:c>
      <x:c r="R66" s="44" t="s">
        <x:v>818</x:v>
      </x:c>
      <x:c r="U66" s="189" t="str">
        <x:f t="shared" si="3"/>
        <x:v/>
      </x:c>
    </x:row>
    <x:row r="67" spans="2:21">
      <x:c r="B67" s="3" t="s">
        <x:v>504</x:v>
      </x:c>
      <x:c r="C67" s="60" t="s">
        <x:v>1656</x:v>
      </x:c>
      <x:c r="D67" s="60" t="s">
        <x:v>505</x:v>
      </x:c>
      <x:c r="E67" s="80" t="s">
        <x:v>818</x:v>
      </x:c>
      <x:c r="F67" s="44" t="s">
        <x:v>818</x:v>
      </x:c>
      <x:c r="G67" s="80" t="s">
        <x:v>818</x:v>
      </x:c>
      <x:c r="H67" s="44" t="s">
        <x:v>818</x:v>
      </x:c>
      <x:c r="I67" s="80" t="s">
        <x:v>818</x:v>
      </x:c>
      <x:c r="J67" s="44" t="s">
        <x:v>818</x:v>
      </x:c>
      <x:c r="K67" s="80" t="s">
        <x:v>818</x:v>
      </x:c>
      <x:c r="L67" s="44" t="s">
        <x:v>818</x:v>
      </x:c>
      <x:c r="M67" s="80" t="s">
        <x:v>818</x:v>
      </x:c>
      <x:c r="N67" s="44" t="s">
        <x:v>818</x:v>
      </x:c>
      <x:c r="O67" s="80" t="s">
        <x:v>818</x:v>
      </x:c>
      <x:c r="P67" s="44" t="s">
        <x:v>818</x:v>
      </x:c>
      <x:c r="Q67" s="80" t="s">
        <x:v>818</x:v>
      </x:c>
      <x:c r="R67" s="44" t="s">
        <x:v>818</x:v>
      </x:c>
      <x:c r="U67" s="189" t="str">
        <x:f t="shared" si="3"/>
        <x:v/>
      </x:c>
    </x:row>
    <x:row r="68" spans="2:21">
      <x:c r="B68" s="3" t="s">
        <x:v>1629</x:v>
      </x:c>
      <x:c r="C68" s="60" t="s">
        <x:v>402</x:v>
      </x:c>
      <x:c r="D68" s="60" t="s">
        <x:v>2556</x:v>
      </x:c>
      <x:c r="E68" s="80">
        <x:v>3846</x:v>
      </x:c>
      <x:c r="F68" s="44">
        <x:v>5.9089999999999998</x:v>
      </x:c>
      <x:c r="G68" s="80">
        <x:v>3535</x:v>
      </x:c>
      <x:c r="H68" s="44">
        <x:v>6.4109999999999996</x:v>
      </x:c>
      <x:c r="I68" s="80">
        <x:v>3303</x:v>
      </x:c>
      <x:c r="J68" s="44">
        <x:v>6.1150000000000002</x:v>
      </x:c>
      <x:c r="K68" s="80">
        <x:v>3887</x:v>
      </x:c>
      <x:c r="L68" s="44">
        <x:v>6.4850000000000003</x:v>
      </x:c>
      <x:c r="M68" s="80">
        <x:v>4423</x:v>
      </x:c>
      <x:c r="N68" s="44">
        <x:v>7.5739999999999998</x:v>
      </x:c>
      <x:c r="O68" s="80" t="s">
        <x:v>818</x:v>
      </x:c>
      <x:c r="P68" s="44" t="s">
        <x:v>818</x:v>
      </x:c>
      <x:c r="Q68" s="80" t="s">
        <x:v>818</x:v>
      </x:c>
      <x:c r="R68" s="44" t="s">
        <x:v>818</x:v>
      </x:c>
      <x:c r="U68" s="189">
        <x:f t="shared" si="3"/>
        <x:v>1</x:v>
      </x:c>
    </x:row>
    <x:row r="69" spans="2:21">
      <x:c r="B69" s="3" t="s">
        <x:v>2238</x:v>
      </x:c>
      <x:c r="C69" s="60" t="s">
        <x:v>397</x:v>
      </x:c>
      <x:c r="D69" s="60" t="s">
        <x:v>2547</x:v>
      </x:c>
      <x:c r="E69" s="80">
        <x:v>61861.999997000006</x:v>
      </x:c>
      <x:c r="F69" s="44">
        <x:v>95.043999999999997</x:v>
      </x:c>
      <x:c r="G69" s="80">
        <x:v>52288.999996999999</x:v>
      </x:c>
      <x:c r="H69" s="44">
        <x:v>94.829999999999998</x:v>
      </x:c>
      <x:c r="I69" s="80">
        <x:v>51795.849307999997</x:v>
      </x:c>
      <x:c r="J69" s="44">
        <x:v>95.894999999999996</x:v>
      </x:c>
      <x:c r="K69" s="80">
        <x:v>57145.650708000001</x:v>
      </x:c>
      <x:c r="L69" s="44">
        <x:v>95.346000000000004</x:v>
      </x:c>
      <x:c r="M69" s="80">
        <x:v>55300.467503</x:v>
      </x:c>
      <x:c r="N69" s="44">
        <x:v>94.698999999999998</x:v>
      </x:c>
      <x:c r="O69" s="80" t="s">
        <x:v>818</x:v>
      </x:c>
      <x:c r="P69" s="44" t="s">
        <x:v>818</x:v>
      </x:c>
      <x:c r="Q69" s="80" t="s">
        <x:v>818</x:v>
      </x:c>
      <x:c r="R69" s="44" t="s">
        <x:v>818</x:v>
      </x:c>
      <x:c r="U69" s="189">
        <x:f t="shared" si="3"/>
        <x:v>1</x:v>
      </x:c>
    </x:row>
    <x:row r="70" spans="2:21">
      <x:c r="B70" s="3" t="s">
        <x:v>165</x:v>
      </x:c>
      <x:c r="C70" s="60" t="s">
        <x:v>1637</x:v>
      </x:c>
      <x:c r="D70" s="60" t="s">
        <x:v>489</x:v>
      </x:c>
      <x:c r="E70" s="80">
        <x:v>61407.999997000006</x:v>
      </x:c>
      <x:c r="F70" s="44">
        <x:v>94.346000000000004</x:v>
      </x:c>
      <x:c r="G70" s="80">
        <x:v>51888.999996999999</x:v>
      </x:c>
      <x:c r="H70" s="44">
        <x:v>94.103999999999999</x:v>
      </x:c>
      <x:c r="I70" s="80">
        <x:v>51424.849307999997</x:v>
      </x:c>
      <x:c r="J70" s="44">
        <x:v>95.207999999999998</x:v>
      </x:c>
      <x:c r="K70" s="80">
        <x:v>56203.650708000001</x:v>
      </x:c>
      <x:c r="L70" s="44">
        <x:v>93.774000000000001</x:v>
      </x:c>
      <x:c r="M70" s="80">
        <x:v>54356.467503</x:v>
      </x:c>
      <x:c r="N70" s="44">
        <x:v>93.082999999999998</x:v>
      </x:c>
      <x:c r="O70" s="80" t="s">
        <x:v>818</x:v>
      </x:c>
      <x:c r="P70" s="44" t="s">
        <x:v>818</x:v>
      </x:c>
      <x:c r="Q70" s="80" t="s">
        <x:v>818</x:v>
      </x:c>
      <x:c r="R70" s="44" t="s">
        <x:v>818</x:v>
      </x:c>
      <x:c r="U70" s="189">
        <x:f t="shared" si="3"/>
        <x:v>1</x:v>
      </x:c>
    </x:row>
    <x:row r="71" spans="2:21">
      <x:c r="B71" s="3" t="s">
        <x:v>391</x:v>
      </x:c>
      <x:c r="C71" s="60" t="s">
        <x:v>403</x:v>
      </x:c>
      <x:c r="D71" s="60" t="s">
        <x:v>2545</x:v>
      </x:c>
      <x:c r="E71" s="80" t="s">
        <x:v>818</x:v>
      </x:c>
      <x:c r="F71" s="44" t="s">
        <x:v>818</x:v>
      </x:c>
      <x:c r="G71" s="80" t="s">
        <x:v>818</x:v>
      </x:c>
      <x:c r="H71" s="44" t="s">
        <x:v>818</x:v>
      </x:c>
      <x:c r="I71" s="80" t="s">
        <x:v>818</x:v>
      </x:c>
      <x:c r="J71" s="44" t="s">
        <x:v>818</x:v>
      </x:c>
      <x:c r="K71" s="80" t="s">
        <x:v>818</x:v>
      </x:c>
      <x:c r="L71" s="44" t="s">
        <x:v>818</x:v>
      </x:c>
      <x:c r="M71" s="80" t="s">
        <x:v>818</x:v>
      </x:c>
      <x:c r="N71" s="44" t="s">
        <x:v>818</x:v>
      </x:c>
      <x:c r="O71" s="80" t="s">
        <x:v>818</x:v>
      </x:c>
      <x:c r="P71" s="44" t="s">
        <x:v>818</x:v>
      </x:c>
      <x:c r="Q71" s="80" t="s">
        <x:v>818</x:v>
      </x:c>
      <x:c r="R71" s="44" t="s">
        <x:v>818</x:v>
      </x:c>
      <x:c r="U71" s="189" t="str">
        <x:f t="shared" si="3"/>
        <x:v/>
      </x:c>
    </x:row>
    <x:row r="72" spans="2:21">
      <x:c r="B72" s="3" t="s">
        <x:v>392</x:v>
      </x:c>
      <x:c r="C72" s="60" t="s">
        <x:v>2546</x:v>
      </x:c>
      <x:c r="D72" s="60" t="s">
        <x:v>1628</x:v>
      </x:c>
      <x:c r="E72" s="80" t="s">
        <x:v>818</x:v>
      </x:c>
      <x:c r="F72" s="44" t="s">
        <x:v>818</x:v>
      </x:c>
      <x:c r="G72" s="80" t="s">
        <x:v>818</x:v>
      </x:c>
      <x:c r="H72" s="44" t="s">
        <x:v>818</x:v>
      </x:c>
      <x:c r="I72" s="80" t="s">
        <x:v>818</x:v>
      </x:c>
      <x:c r="J72" s="44" t="s">
        <x:v>818</x:v>
      </x:c>
      <x:c r="K72" s="80" t="s">
        <x:v>818</x:v>
      </x:c>
      <x:c r="L72" s="44" t="s">
        <x:v>818</x:v>
      </x:c>
      <x:c r="M72" s="80" t="s">
        <x:v>818</x:v>
      </x:c>
      <x:c r="N72" s="44" t="s">
        <x:v>818</x:v>
      </x:c>
      <x:c r="O72" s="80" t="s">
        <x:v>818</x:v>
      </x:c>
      <x:c r="P72" s="44" t="s">
        <x:v>818</x:v>
      </x:c>
      <x:c r="Q72" s="80" t="s">
        <x:v>818</x:v>
      </x:c>
      <x:c r="R72" s="44" t="s">
        <x:v>818</x:v>
      </x:c>
      <x:c r="U72" s="189" t="str">
        <x:f t="shared" si="3"/>
        <x:v/>
      </x:c>
    </x:row>
    <x:row r="73" spans="2:21">
      <x:c r="B73" s="3" t="s">
        <x:v>1639</x:v>
      </x:c>
      <x:c r="C73" s="60" t="s">
        <x:v>1630</x:v>
      </x:c>
      <x:c r="D73" s="60" t="s">
        <x:v>488</x:v>
      </x:c>
      <x:c r="E73" s="80" t="s">
        <x:v>818</x:v>
      </x:c>
      <x:c r="F73" s="44" t="s">
        <x:v>818</x:v>
      </x:c>
      <x:c r="G73" s="80" t="s">
        <x:v>818</x:v>
      </x:c>
      <x:c r="H73" s="44" t="s">
        <x:v>818</x:v>
      </x:c>
      <x:c r="I73" s="80" t="s">
        <x:v>818</x:v>
      </x:c>
      <x:c r="J73" s="44" t="s">
        <x:v>818</x:v>
      </x:c>
      <x:c r="K73" s="80" t="s">
        <x:v>818</x:v>
      </x:c>
      <x:c r="L73" s="44" t="s">
        <x:v>818</x:v>
      </x:c>
      <x:c r="M73" s="80" t="s">
        <x:v>818</x:v>
      </x:c>
      <x:c r="N73" s="44" t="s">
        <x:v>818</x:v>
      </x:c>
      <x:c r="O73" s="80" t="s">
        <x:v>818</x:v>
      </x:c>
      <x:c r="P73" s="44" t="s">
        <x:v>818</x:v>
      </x:c>
      <x:c r="Q73" s="80" t="s">
        <x:v>818</x:v>
      </x:c>
      <x:c r="R73" s="44" t="s">
        <x:v>818</x:v>
      </x:c>
      <x:c r="U73" s="189" t="str">
        <x:f t="shared" si="3"/>
        <x:v/>
      </x:c>
    </x:row>
    <x:row r="74" spans="2:21">
      <x:c r="B74" s="3" t="s">
        <x:v>405</x:v>
      </x:c>
      <x:c r="C74" s="60" t="s">
        <x:v>404</x:v>
      </x:c>
      <x:c r="D74" s="60" t="s">
        <x:v>2526</x:v>
      </x:c>
      <x:c r="E74" s="80" t="s">
        <x:v>818</x:v>
      </x:c>
      <x:c r="F74" s="44" t="s">
        <x:v>818</x:v>
      </x:c>
      <x:c r="G74" s="80" t="s">
        <x:v>818</x:v>
      </x:c>
      <x:c r="H74" s="44" t="s">
        <x:v>818</x:v>
      </x:c>
      <x:c r="I74" s="80" t="s">
        <x:v>818</x:v>
      </x:c>
      <x:c r="J74" s="44" t="s">
        <x:v>818</x:v>
      </x:c>
      <x:c r="K74" s="80" t="s">
        <x:v>818</x:v>
      </x:c>
      <x:c r="L74" s="44" t="s">
        <x:v>818</x:v>
      </x:c>
      <x:c r="M74" s="80" t="s">
        <x:v>818</x:v>
      </x:c>
      <x:c r="N74" s="44" t="s">
        <x:v>818</x:v>
      </x:c>
      <x:c r="O74" s="80" t="s">
        <x:v>818</x:v>
      </x:c>
      <x:c r="P74" s="44" t="s">
        <x:v>818</x:v>
      </x:c>
      <x:c r="Q74" s="80" t="s">
        <x:v>818</x:v>
      </x:c>
      <x:c r="R74" s="44" t="s">
        <x:v>818</x:v>
      </x:c>
      <x:c r="U74" s="189" t="str">
        <x:f t="shared" si="3"/>
        <x:v/>
      </x:c>
    </x:row>
    <x:row r="75" spans="2:21">
      <x:c r="B75" s="3" t="s">
        <x:v>415</x:v>
      </x:c>
      <x:c r="C75" s="60" t="s">
        <x:v>407</x:v>
      </x:c>
      <x:c r="D75" s="60" t="s">
        <x:v>2527</x:v>
      </x:c>
      <x:c r="E75" s="80" t="s">
        <x:v>818</x:v>
      </x:c>
      <x:c r="F75" s="44" t="s">
        <x:v>818</x:v>
      </x:c>
      <x:c r="G75" s="80" t="s">
        <x:v>818</x:v>
      </x:c>
      <x:c r="H75" s="44" t="s">
        <x:v>818</x:v>
      </x:c>
      <x:c r="I75" s="80" t="s">
        <x:v>818</x:v>
      </x:c>
      <x:c r="J75" s="44" t="s">
        <x:v>818</x:v>
      </x:c>
      <x:c r="K75" s="80" t="s">
        <x:v>818</x:v>
      </x:c>
      <x:c r="L75" s="44" t="s">
        <x:v>818</x:v>
      </x:c>
      <x:c r="M75" s="80" t="s">
        <x:v>818</x:v>
      </x:c>
      <x:c r="N75" s="44" t="s">
        <x:v>818</x:v>
      </x:c>
      <x:c r="O75" s="80" t="s">
        <x:v>818</x:v>
      </x:c>
      <x:c r="P75" s="44" t="s">
        <x:v>818</x:v>
      </x:c>
      <x:c r="Q75" s="80" t="s">
        <x:v>818</x:v>
      </x:c>
      <x:c r="R75" s="44" t="s">
        <x:v>818</x:v>
      </x:c>
      <x:c r="U75" s="189" t="str">
        <x:f t="shared" si="3"/>
        <x:v/>
      </x:c>
    </x:row>
    <x:row r="76" spans="2:21">
      <x:c r="B76" s="3" t="s">
        <x:v>2227</x:v>
      </x:c>
      <x:c r="C76" s="60" t="s">
        <x:v>393</x:v>
      </x:c>
      <x:c r="D76" s="60" t="s">
        <x:v>2528</x:v>
      </x:c>
      <x:c r="E76" s="80">
        <x:v>52391.523127</x:v>
      </x:c>
      <x:c r="F76" s="44">
        <x:v>80.492999999999995</x:v>
      </x:c>
      <x:c r="G76" s="80">
        <x:v>42609.431565999999</x:v>
      </x:c>
      <x:c r="H76" s="44">
        <x:v>77.275000000000006</x:v>
      </x:c>
      <x:c r="I76" s="80">
        <x:v>46894.911533999999</x:v>
      </x:c>
      <x:c r="J76" s="44">
        <x:v>86.822000000000003</x:v>
      </x:c>
      <x:c r="K76" s="80">
        <x:v>51799.177327999998</x:v>
      </x:c>
      <x:c r="L76" s="44">
        <x:v>86.426000000000002</x:v>
      </x:c>
      <x:c r="M76" s="80">
        <x:v>49705.041503</x:v>
      </x:c>
      <x:c r="N76" s="44">
        <x:v>85.117000000000004</x:v>
      </x:c>
      <x:c r="O76" s="80" t="s">
        <x:v>818</x:v>
      </x:c>
      <x:c r="P76" s="44" t="s">
        <x:v>818</x:v>
      </x:c>
      <x:c r="Q76" s="80" t="s">
        <x:v>818</x:v>
      </x:c>
      <x:c r="R76" s="44" t="s">
        <x:v>818</x:v>
      </x:c>
      <x:c r="U76" s="189">
        <x:f t="shared" si="3"/>
        <x:v>1</x:v>
      </x:c>
    </x:row>
    <x:row r="77" spans="2:21">
      <x:c r="B77" s="3" t="s">
        <x:v>394</x:v>
      </x:c>
      <x:c r="C77" s="60" t="s">
        <x:v>396</x:v>
      </x:c>
      <x:c r="D77" s="60" t="s">
        <x:v>2529</x:v>
      </x:c>
      <x:c r="E77" s="80" t="s">
        <x:v>818</x:v>
      </x:c>
      <x:c r="F77" s="44" t="s">
        <x:v>818</x:v>
      </x:c>
      <x:c r="G77" s="80" t="s">
        <x:v>818</x:v>
      </x:c>
      <x:c r="H77" s="44" t="s">
        <x:v>818</x:v>
      </x:c>
      <x:c r="I77" s="80" t="s">
        <x:v>818</x:v>
      </x:c>
      <x:c r="J77" s="44" t="s">
        <x:v>818</x:v>
      </x:c>
      <x:c r="K77" s="80" t="s">
        <x:v>818</x:v>
      </x:c>
      <x:c r="L77" s="44" t="s">
        <x:v>818</x:v>
      </x:c>
      <x:c r="M77" s="80" t="s">
        <x:v>818</x:v>
      </x:c>
      <x:c r="N77" s="44" t="s">
        <x:v>818</x:v>
      </x:c>
      <x:c r="O77" s="80" t="s">
        <x:v>818</x:v>
      </x:c>
      <x:c r="P77" s="44" t="s">
        <x:v>818</x:v>
      </x:c>
      <x:c r="Q77" s="80" t="s">
        <x:v>818</x:v>
      </x:c>
      <x:c r="R77" s="44" t="s">
        <x:v>818</x:v>
      </x:c>
      <x:c r="U77" s="189" t="str">
        <x:f t="shared" si="3"/>
        <x:v/>
      </x:c>
    </x:row>
    <x:row r="78" spans="2:21">
      <x:c r="B78" s="3" t="s">
        <x:v>163</x:v>
      </x:c>
      <x:c r="C78" s="60" t="s">
        <x:v>1643</x:v>
      </x:c>
      <x:c r="D78" s="60" t="s">
        <x:v>1661</x:v>
      </x:c>
      <x:c r="E78" s="80">
        <x:v>426</x:v>
      </x:c>
      <x:c r="F78" s="44">
        <x:v>0.65400000000000003</x:v>
      </x:c>
      <x:c r="G78" s="80">
        <x:v>311</x:v>
      </x:c>
      <x:c r="H78" s="44">
        <x:v>0.56399999999999995</x:v>
      </x:c>
      <x:c r="I78" s="80">
        <x:v>-73</x:v>
      </x:c>
      <x:c r="J78" s="44" t="s">
        <x:v>821</x:v>
      </x:c>
      <x:c r="K78" s="80">
        <x:v>-60</x:v>
      </x:c>
      <x:c r="L78" s="44" t="s">
        <x:v>821</x:v>
      </x:c>
      <x:c r="M78" s="80">
        <x:v>-176</x:v>
      </x:c>
      <x:c r="N78" s="44" t="s">
        <x:v>821</x:v>
      </x:c>
      <x:c r="O78" s="80" t="s">
        <x:v>818</x:v>
      </x:c>
      <x:c r="P78" s="44" t="s">
        <x:v>818</x:v>
      </x:c>
      <x:c r="Q78" s="80" t="s">
        <x:v>818</x:v>
      </x:c>
      <x:c r="R78" s="44" t="s">
        <x:v>818</x:v>
      </x:c>
      <x:c r="U78" s="189">
        <x:f t="shared" si="3"/>
        <x:v>1</x:v>
      </x:c>
    </x:row>
    <x:row r="79" spans="2:21">
      <x:c r="B79" s="3" t="s">
        <x:v>400</x:v>
      </x:c>
      <x:c r="C79" s="60" t="s">
        <x:v>2530</x:v>
      </x:c>
      <x:c r="D79" s="60" t="s">
        <x:v>1662</x:v>
      </x:c>
      <x:c r="E79" s="80">
        <x:v>0</x:v>
      </x:c>
      <x:c r="F79" s="44">
        <x:v>0</x:v>
      </x:c>
      <x:c r="G79" s="80" t="s">
        <x:v>818</x:v>
      </x:c>
      <x:c r="H79" s="44" t="s">
        <x:v>818</x:v>
      </x:c>
      <x:c r="I79" s="80" t="s">
        <x:v>818</x:v>
      </x:c>
      <x:c r="J79" s="44" t="s">
        <x:v>818</x:v>
      </x:c>
      <x:c r="K79" s="80">
        <x:v>700</x:v>
      </x:c>
      <x:c r="L79" s="44">
        <x:v>1.1679999999999999</x:v>
      </x:c>
      <x:c r="M79" s="80">
        <x:v>700</x:v>
      </x:c>
      <x:c r="N79" s="44">
        <x:v>1.1990000000000001</x:v>
      </x:c>
      <x:c r="O79" s="80" t="s">
        <x:v>818</x:v>
      </x:c>
      <x:c r="P79" s="44" t="s">
        <x:v>818</x:v>
      </x:c>
      <x:c r="Q79" s="80" t="s">
        <x:v>818</x:v>
      </x:c>
      <x:c r="R79" s="44" t="s">
        <x:v>818</x:v>
      </x:c>
      <x:c r="U79" s="189">
        <x:f t="shared" si="3"/>
        <x:v>1</x:v>
      </x:c>
    </x:row>
    <x:row r="80" spans="2:21">
      <x:c r="B80" s="3"/>
      <x:c r="C80" s="60"/>
      <x:c r="D80" s="60"/>
      <x:c r="E80" s="22"/>
      <x:c r="F80" s="22"/>
      <x:c r="G80" s="22"/>
      <x:c r="H80" s="22"/>
      <x:c r="I80" s="22"/>
      <x:c r="J80" s="22"/>
      <x:c r="K80" s="22"/>
      <x:c r="L80" s="22"/>
      <x:c r="M80" s="22"/>
      <x:c r="N80" s="22"/>
      <x:c r="O80" s="22"/>
      <x:c r="P80" s="22"/>
      <x:c r="Q80" s="22"/>
      <x:c r="U80" s="188">
        <x:v>1</x:v>
      </x:c>
    </x:row>
    <x:row r="81" spans="2:21">
      <x:c r="B81" s="87" t="s">
        <x:v>2224</x:v>
      </x:c>
      <x:c r="C81" s="60"/>
      <x:c r="D81" s="60"/>
      <x:c r="E81" s="22"/>
      <x:c r="F81" s="22"/>
      <x:c r="G81" s="22"/>
      <x:c r="H81" s="22"/>
      <x:c r="I81" s="22"/>
      <x:c r="J81" s="22"/>
      <x:c r="K81" s="22"/>
      <x:c r="L81" s="22"/>
      <x:c r="M81" s="22"/>
      <x:c r="N81" s="22"/>
      <x:c r="O81" s="22"/>
      <x:c r="P81" s="22"/>
      <x:c r="Q81" s="22"/>
      <x:c r="U81" s="188">
        <x:v>1</x:v>
      </x:c>
    </x:row>
    <x:row r="82" spans="2:21">
      <x:c r="B82" s="3" t="s">
        <x:v>2533</x:v>
      </x:c>
      <x:c r="C82" s="60" t="s">
        <x:v>410</x:v>
      </x:c>
      <x:c r="D82" s="60"/>
      <x:c r="E82" s="44">
        <x:v>5.0529999999999999</x:v>
      </x:c>
      <x:c r="F82" s="44"/>
      <x:c r="G82" s="44">
        <x:v>4.3259999999999996</x:v>
      </x:c>
      <x:c r="H82" s="44"/>
      <x:c r="I82" s="44">
        <x:v>4.4930000000000003</x:v>
      </x:c>
      <x:c r="J82" s="44"/>
      <x:c r="K82" s="44">
        <x:v>4.2720000000000002</x:v>
      </x:c>
      <x:c r="L82" s="44"/>
      <x:c r="M82" s="44">
        <x:v>4.1139999999999999</x:v>
      </x:c>
      <x:c r="N82" s="44"/>
      <x:c r="O82" s="44">
        <x:v>3.5720000000000001</x:v>
      </x:c>
      <x:c r="P82" s="225"/>
      <x:c r="Q82" s="44">
        <x:v>3.5720000000000001</x:v>
      </x:c>
      <x:c r="R82" s="92"/>
      <x:c r="U82" s="189">
        <x:f>IF(COUNT(E82:R82)&lt;&gt;0,1,"")</x:f>
        <x:v>1</x:v>
      </x:c>
    </x:row>
    <x:row r="83" spans="2:21">
      <x:c r="B83" s="3" t="s">
        <x:v>142</x:v>
      </x:c>
      <x:c r="C83" s="60" t="s">
        <x:v>240</x:v>
      </x:c>
      <x:c r="D83" s="60"/>
      <x:c r="E83" s="44">
        <x:v>5.7309999999999999</x:v>
      </x:c>
      <x:c r="F83" s="44"/>
      <x:c r="G83" s="44">
        <x:v>4.8760000000000003</x:v>
      </x:c>
      <x:c r="H83" s="44"/>
      <x:c r="I83" s="44">
        <x:v>5.0129999999999999</x:v>
      </x:c>
      <x:c r="J83" s="44"/>
      <x:c r="K83" s="44">
        <x:v>4.7050000000000001</x:v>
      </x:c>
      <x:c r="L83" s="44"/>
      <x:c r="M83" s="44">
        <x:v>4.532</x:v>
      </x:c>
      <x:c r="N83" s="44"/>
      <x:c r="O83" s="44">
        <x:v>3.851</x:v>
      </x:c>
      <x:c r="P83" s="225"/>
      <x:c r="Q83" s="44">
        <x:v>3.851</x:v>
      </x:c>
      <x:c r="R83" s="92"/>
      <x:c r="U83" s="189">
        <x:f t="shared" ref="U83:U113" si="4">IF(COUNT(E83:R83)&lt;&gt;0,1,"")</x:f>
        <x:v>1</x:v>
      </x:c>
    </x:row>
    <x:row r="84" spans="2:21">
      <x:c r="B84" s="3" t="s">
        <x:v>491</x:v>
      </x:c>
      <x:c r="C84" s="60" t="s">
        <x:v>1668</x:v>
      </x:c>
      <x:c r="D84" s="60"/>
      <x:c r="E84" s="44">
        <x:v>6.3419999999999996</x:v>
      </x:c>
      <x:c r="F84" s="44"/>
      <x:c r="G84" s="44">
        <x:v>5.1609999999999996</x:v>
      </x:c>
      <x:c r="H84" s="44"/>
      <x:c r="I84" s="44">
        <x:v>5.0590000000000002</x:v>
      </x:c>
      <x:c r="J84" s="44"/>
      <x:c r="K84" s="44">
        <x:v>4.6879999999999997</x:v>
      </x:c>
      <x:c r="L84" s="44"/>
      <x:c r="M84" s="44">
        <x:v>4.4420000000000002</x:v>
      </x:c>
      <x:c r="N84" s="44"/>
      <x:c r="O84" s="44">
        <x:v>3.923</x:v>
      </x:c>
      <x:c r="P84" s="225"/>
      <x:c r="Q84" s="44">
        <x:v>3.923</x:v>
      </x:c>
      <x:c r="R84" s="92"/>
      <x:c r="U84" s="189">
        <x:f t="shared" si="4"/>
        <x:v>1</x:v>
      </x:c>
    </x:row>
    <x:row r="85" spans="2:21">
      <x:c r="B85" s="3" t="s">
        <x:v>183</x:v>
      </x:c>
      <x:c r="C85" s="60" t="s">
        <x:v>139</x:v>
      </x:c>
      <x:c r="D85" s="60"/>
      <x:c r="E85" s="44">
        <x:v>7.4480000000000004</x:v>
      </x:c>
      <x:c r="F85" s="44"/>
      <x:c r="G85" s="44">
        <x:v>5.9630000000000001</x:v>
      </x:c>
      <x:c r="H85" s="44"/>
      <x:c r="I85" s="44">
        <x:v>5.7279999999999998</x:v>
      </x:c>
      <x:c r="J85" s="44"/>
      <x:c r="K85" s="44">
        <x:v>5.2140000000000004</x:v>
      </x:c>
      <x:c r="L85" s="44"/>
      <x:c r="M85" s="44">
        <x:v>4.9329999999999998</x:v>
      </x:c>
      <x:c r="N85" s="44"/>
      <x:c r="O85" s="44">
        <x:v>4.2610000000000001</x:v>
      </x:c>
      <x:c r="P85" s="225"/>
      <x:c r="Q85" s="44">
        <x:v>4.2610000000000001</x:v>
      </x:c>
      <x:c r="R85" s="92"/>
      <x:c r="U85" s="189">
        <x:f t="shared" si="4"/>
        <x:v>1</x:v>
      </x:c>
    </x:row>
    <x:row r="86" spans="2:21">
      <x:c r="B86" s="3" t="s">
        <x:v>2534</x:v>
      </x:c>
      <x:c r="C86" s="60" t="s">
        <x:v>408</x:v>
      </x:c>
      <x:c r="D86" s="60"/>
      <x:c r="E86" s="44">
        <x:v>3.9830000000000001</x:v>
      </x:c>
      <x:c r="F86" s="44"/>
      <x:c r="G86" s="44">
        <x:v>3.7570000000000001</x:v>
      </x:c>
      <x:c r="H86" s="44"/>
      <x:c r="I86" s="44">
        <x:v>3.766</x:v>
      </x:c>
      <x:c r="J86" s="44"/>
      <x:c r="K86" s="44">
        <x:v>3.3140000000000001</x:v>
      </x:c>
      <x:c r="L86" s="44"/>
      <x:c r="M86" s="44">
        <x:v>3.0859999999999999</x:v>
      </x:c>
      <x:c r="N86" s="44"/>
      <x:c r="O86" s="44">
        <x:v>2.7749999999999999</x:v>
      </x:c>
      <x:c r="P86" s="225"/>
      <x:c r="Q86" s="44">
        <x:v>2.7749999999999999</x:v>
      </x:c>
      <x:c r="R86" s="92"/>
      <x:c r="U86" s="189">
        <x:f t="shared" si="4"/>
        <x:v>1</x:v>
      </x:c>
    </x:row>
    <x:row r="87" spans="2:21">
      <x:c r="B87" s="3" t="s">
        <x:v>269</x:v>
      </x:c>
      <x:c r="C87" s="60" t="s">
        <x:v>174</x:v>
      </x:c>
      <x:c r="D87" s="60"/>
      <x:c r="E87" s="44">
        <x:v>4.5170000000000003</x:v>
      </x:c>
      <x:c r="F87" s="44"/>
      <x:c r="G87" s="44">
        <x:v>4.2350000000000003</x:v>
      </x:c>
      <x:c r="H87" s="44"/>
      <x:c r="I87" s="44">
        <x:v>4.202</x:v>
      </x:c>
      <x:c r="J87" s="44"/>
      <x:c r="K87" s="44">
        <x:v>3.6499999999999999</x:v>
      </x:c>
      <x:c r="L87" s="44"/>
      <x:c r="M87" s="44">
        <x:v>3.399</x:v>
      </x:c>
      <x:c r="N87" s="44"/>
      <x:c r="O87" s="44">
        <x:v>2.9910000000000001</x:v>
      </x:c>
      <x:c r="P87" s="225"/>
      <x:c r="Q87" s="44">
        <x:v>2.9910000000000001</x:v>
      </x:c>
      <x:c r="R87" s="92"/>
      <x:c r="U87" s="189">
        <x:f t="shared" si="4"/>
        <x:v>1</x:v>
      </x:c>
    </x:row>
    <x:row r="88" spans="2:21">
      <x:c r="B88" s="3" t="s">
        <x:v>1659</x:v>
      </x:c>
      <x:c r="C88" s="60" t="s">
        <x:v>1663</x:v>
      </x:c>
      <x:c r="D88" s="60"/>
      <x:c r="E88" s="44">
        <x:v>4.9989999999999997</x:v>
      </x:c>
      <x:c r="F88" s="44"/>
      <x:c r="G88" s="44">
        <x:v>4.4820000000000002</x:v>
      </x:c>
      <x:c r="H88" s="44"/>
      <x:c r="I88" s="44">
        <x:v>4.2409999999999997</x:v>
      </x:c>
      <x:c r="J88" s="44"/>
      <x:c r="K88" s="44">
        <x:v>3.6360000000000001</x:v>
      </x:c>
      <x:c r="L88" s="44"/>
      <x:c r="M88" s="44">
        <x:v>3.3319999999999999</x:v>
      </x:c>
      <x:c r="N88" s="44"/>
      <x:c r="O88" s="44">
        <x:v>3.0470000000000002</x:v>
      </x:c>
      <x:c r="P88" s="225"/>
      <x:c r="Q88" s="44">
        <x:v>3.0470000000000002</x:v>
      </x:c>
      <x:c r="R88" s="92"/>
      <x:c r="U88" s="189">
        <x:f t="shared" si="4"/>
        <x:v>1</x:v>
      </x:c>
    </x:row>
    <x:row r="89" spans="2:21">
      <x:c r="B89" s="3" t="s">
        <x:v>180</x:v>
      </x:c>
      <x:c r="C89" s="60" t="s">
        <x:v>140</x:v>
      </x:c>
      <x:c r="D89" s="60"/>
      <x:c r="E89" s="44">
        <x:v>5.8700000000000001</x:v>
      </x:c>
      <x:c r="F89" s="44"/>
      <x:c r="G89" s="44">
        <x:v>5.1790000000000003</x:v>
      </x:c>
      <x:c r="H89" s="44"/>
      <x:c r="I89" s="44">
        <x:v>4.8019999999999996</x:v>
      </x:c>
      <x:c r="J89" s="44"/>
      <x:c r="K89" s="44">
        <x:v>4.0449999999999999</x:v>
      </x:c>
      <x:c r="L89" s="44"/>
      <x:c r="M89" s="44">
        <x:v>3.7000000000000002</x:v>
      </x:c>
      <x:c r="N89" s="44"/>
      <x:c r="O89" s="44">
        <x:v>3.3100000000000001</x:v>
      </x:c>
      <x:c r="P89" s="225"/>
      <x:c r="Q89" s="44">
        <x:v>3.3100000000000001</x:v>
      </x:c>
      <x:c r="R89" s="92"/>
      <x:c r="U89" s="189">
        <x:f t="shared" si="4"/>
        <x:v>1</x:v>
      </x:c>
    </x:row>
    <x:row r="90" spans="2:21">
      <x:c r="B90" s="3" t="s">
        <x:v>1672</x:v>
      </x:c>
      <x:c r="C90" s="60" t="s">
        <x:v>411</x:v>
      </x:c>
      <x:c r="D90" s="60"/>
      <x:c r="E90" s="44" t="s">
        <x:v>821</x:v>
      </x:c>
      <x:c r="F90" s="44"/>
      <x:c r="G90" s="44" t="s">
        <x:v>821</x:v>
      </x:c>
      <x:c r="H90" s="44"/>
      <x:c r="I90" s="44" t="s">
        <x:v>821</x:v>
      </x:c>
      <x:c r="J90" s="44"/>
      <x:c r="K90" s="44" t="s">
        <x:v>821</x:v>
      </x:c>
      <x:c r="L90" s="44"/>
      <x:c r="M90" s="44" t="s">
        <x:v>821</x:v>
      </x:c>
      <x:c r="N90" s="44"/>
      <x:c r="O90" s="44" t="s">
        <x:v>818</x:v>
      </x:c>
      <x:c r="P90" s="225"/>
      <x:c r="Q90" s="44" t="s">
        <x:v>818</x:v>
      </x:c>
      <x:c r="R90" s="92"/>
      <x:c r="U90" s="189" t="str">
        <x:f t="shared" si="4"/>
        <x:v/>
      </x:c>
    </x:row>
    <x:row r="91" spans="2:21">
      <x:c r="B91" s="3" t="s">
        <x:v>131</x:v>
      </x:c>
      <x:c r="C91" s="60" t="s">
        <x:v>175</x:v>
      </x:c>
      <x:c r="D91" s="60"/>
      <x:c r="E91" s="44">
        <x:v>5.7859999999999996</x:v>
      </x:c>
      <x:c r="F91" s="44"/>
      <x:c r="G91" s="44">
        <x:v>4.9359999999999999</x:v>
      </x:c>
      <x:c r="H91" s="44"/>
      <x:c r="I91" s="44">
        <x:v>5.1139999999999999</x:v>
      </x:c>
      <x:c r="J91" s="44"/>
      <x:c r="K91" s="44">
        <x:v>4.7910000000000004</x:v>
      </x:c>
      <x:c r="L91" s="44"/>
      <x:c r="M91" s="44">
        <x:v>4.6349999999999998</x:v>
      </x:c>
      <x:c r="N91" s="44"/>
      <x:c r="O91" s="44" t="s">
        <x:v>818</x:v>
      </x:c>
      <x:c r="P91" s="225"/>
      <x:c r="Q91" s="44" t="s">
        <x:v>818</x:v>
      </x:c>
      <x:c r="R91" s="92"/>
      <x:c r="U91" s="189">
        <x:f t="shared" si="4"/>
        <x:v>1</x:v>
      </x:c>
    </x:row>
    <x:row r="92" spans="2:21">
      <x:c r="B92" s="3" t="s">
        <x:v>164</x:v>
      </x:c>
      <x:c r="C92" s="60" t="s">
        <x:v>2537</x:v>
      </x:c>
      <x:c r="D92" s="60"/>
      <x:c r="E92" s="44" t="s">
        <x:v>821</x:v>
      </x:c>
      <x:c r="F92" s="44"/>
      <x:c r="G92" s="44" t="s">
        <x:v>821</x:v>
      </x:c>
      <x:c r="H92" s="44"/>
      <x:c r="I92" s="44" t="s">
        <x:v>821</x:v>
      </x:c>
      <x:c r="J92" s="44"/>
      <x:c r="K92" s="44" t="s">
        <x:v>821</x:v>
      </x:c>
      <x:c r="L92" s="44"/>
      <x:c r="M92" s="44" t="s">
        <x:v>821</x:v>
      </x:c>
      <x:c r="N92" s="44"/>
      <x:c r="O92" s="44" t="s">
        <x:v>818</x:v>
      </x:c>
      <x:c r="P92" s="225"/>
      <x:c r="Q92" s="44" t="s">
        <x:v>818</x:v>
      </x:c>
      <x:c r="R92" s="92"/>
      <x:c r="U92" s="189" t="str">
        <x:f t="shared" si="4"/>
        <x:v/>
      </x:c>
    </x:row>
    <x:row r="93" spans="2:21">
      <x:c r="B93" s="3" t="s">
        <x:v>428</x:v>
      </x:c>
      <x:c r="C93" s="60" t="s">
        <x:v>143</x:v>
      </x:c>
      <x:c r="D93" s="60"/>
      <x:c r="E93" s="44">
        <x:v>7.5190000000000001</x:v>
      </x:c>
      <x:c r="F93" s="44"/>
      <x:c r="G93" s="44">
        <x:v>6.0369999999999999</x:v>
      </x:c>
      <x:c r="H93" s="44"/>
      <x:c r="I93" s="44">
        <x:v>5.8440000000000003</x:v>
      </x:c>
      <x:c r="J93" s="44"/>
      <x:c r="K93" s="44">
        <x:v>5.3099999999999996</x:v>
      </x:c>
      <x:c r="L93" s="44"/>
      <x:c r="M93" s="44">
        <x:v>5.0449999999999999</x:v>
      </x:c>
      <x:c r="N93" s="44"/>
      <x:c r="O93" s="44" t="s">
        <x:v>818</x:v>
      </x:c>
      <x:c r="P93" s="225"/>
      <x:c r="Q93" s="44" t="s">
        <x:v>818</x:v>
      </x:c>
      <x:c r="R93" s="92"/>
      <x:c r="U93" s="189">
        <x:f t="shared" si="4"/>
        <x:v>1</x:v>
      </x:c>
    </x:row>
    <x:row r="94" spans="2:21">
      <x:c r="B94" s="3" t="s">
        <x:v>490</x:v>
      </x:c>
      <x:c r="C94" s="60" t="s">
        <x:v>1665</x:v>
      </x:c>
      <x:c r="D94" s="60"/>
      <x:c r="E94" s="44">
        <x:v>0.29899999999999999</x:v>
      </x:c>
      <x:c r="F94" s="44"/>
      <x:c r="G94" s="44">
        <x:v>0.27700000000000002</x:v>
      </x:c>
      <x:c r="H94" s="44"/>
      <x:c r="I94" s="44">
        <x:v>0.27500000000000002</x:v>
      </x:c>
      <x:c r="J94" s="44"/>
      <x:c r="K94" s="44">
        <x:v>0.27700000000000002</x:v>
      </x:c>
      <x:c r="L94" s="44"/>
      <x:c r="M94" s="44">
        <x:v>0.312</x:v>
      </x:c>
      <x:c r="N94" s="44"/>
      <x:c r="O94" s="44" t="s">
        <x:v>818</x:v>
      </x:c>
      <x:c r="P94" s="225"/>
      <x:c r="Q94" s="44" t="s">
        <x:v>818</x:v>
      </x:c>
      <x:c r="R94" s="92"/>
      <x:c r="U94" s="189">
        <x:f t="shared" si="4"/>
        <x:v>1</x:v>
      </x:c>
    </x:row>
    <x:row r="95" spans="2:21">
      <x:c r="B95" s="3" t="s">
        <x:v>211</x:v>
      </x:c>
      <x:c r="C95" s="60" t="s">
        <x:v>999</x:v>
      </x:c>
      <x:c r="D95" s="60"/>
      <x:c r="E95" s="44">
        <x:v>0.33900000000000002</x:v>
      </x:c>
      <x:c r="F95" s="44"/>
      <x:c r="G95" s="44">
        <x:v>0.313</x:v>
      </x:c>
      <x:c r="H95" s="44"/>
      <x:c r="I95" s="44">
        <x:v>0.307</x:v>
      </x:c>
      <x:c r="J95" s="44"/>
      <x:c r="K95" s="44">
        <x:v>0.30499999999999999</x:v>
      </x:c>
      <x:c r="L95" s="44"/>
      <x:c r="M95" s="44">
        <x:v>0.34300000000000003</x:v>
      </x:c>
      <x:c r="N95" s="44"/>
      <x:c r="O95" s="44" t="s">
        <x:v>818</x:v>
      </x:c>
      <x:c r="P95" s="225"/>
      <x:c r="Q95" s="44" t="s">
        <x:v>818</x:v>
      </x:c>
      <x:c r="R95" s="92"/>
      <x:c r="U95" s="189">
        <x:f t="shared" si="4"/>
        <x:v>1</x:v>
      </x:c>
    </x:row>
    <x:row r="96" spans="2:21">
      <x:c r="B96" s="3" t="s">
        <x:v>258</x:v>
      </x:c>
      <x:c r="C96" s="60" t="s">
        <x:v>166</x:v>
      </x:c>
      <x:c r="D96" s="60"/>
      <x:c r="E96" s="44">
        <x:v>0.375</x:v>
      </x:c>
      <x:c r="F96" s="44"/>
      <x:c r="G96" s="44">
        <x:v>0.33100000000000002</x:v>
      </x:c>
      <x:c r="H96" s="44"/>
      <x:c r="I96" s="44">
        <x:v>0.309</x:v>
      </x:c>
      <x:c r="J96" s="44"/>
      <x:c r="K96" s="44">
        <x:v>0.30399999999999999</x:v>
      </x:c>
      <x:c r="L96" s="44"/>
      <x:c r="M96" s="44">
        <x:v>0.33600000000000002</x:v>
      </x:c>
      <x:c r="N96" s="44"/>
      <x:c r="O96" s="44" t="s">
        <x:v>818</x:v>
      </x:c>
      <x:c r="P96" s="225"/>
      <x:c r="Q96" s="44" t="s">
        <x:v>818</x:v>
      </x:c>
      <x:c r="R96" s="92"/>
      <x:c r="U96" s="189">
        <x:f t="shared" si="4"/>
        <x:v>1</x:v>
      </x:c>
    </x:row>
    <x:row r="97" spans="2:21">
      <x:c r="B97" s="3" t="s">
        <x:v>40</x:v>
      </x:c>
      <x:c r="C97" s="60" t="s">
        <x:v>196</x:v>
      </x:c>
      <x:c r="D97" s="60"/>
      <x:c r="E97" s="44">
        <x:v>0.44</x:v>
      </x:c>
      <x:c r="F97" s="44"/>
      <x:c r="G97" s="44">
        <x:v>0.38200000000000001</x:v>
      </x:c>
      <x:c r="H97" s="44"/>
      <x:c r="I97" s="44">
        <x:v>0.34999999999999998</x:v>
      </x:c>
      <x:c r="J97" s="44"/>
      <x:c r="K97" s="44">
        <x:v>0.33800000000000002</x:v>
      </x:c>
      <x:c r="L97" s="44"/>
      <x:c r="M97" s="44">
        <x:v>0.374</x:v>
      </x:c>
      <x:c r="N97" s="44"/>
      <x:c r="O97" s="44" t="s">
        <x:v>818</x:v>
      </x:c>
      <x:c r="P97" s="225"/>
      <x:c r="Q97" s="44" t="s">
        <x:v>818</x:v>
      </x:c>
      <x:c r="R97" s="92"/>
      <x:c r="U97" s="189">
        <x:f t="shared" si="4"/>
        <x:v>1</x:v>
      </x:c>
    </x:row>
    <x:row r="98" spans="2:21">
      <x:c r="B98" s="1" t="s">
        <x:v>492</x:v>
      </x:c>
      <x:c r="C98" s="60" t="s">
        <x:v>1675</x:v>
      </x:c>
      <x:c r="D98" s="60"/>
      <x:c r="E98" s="44" t="s">
        <x:v>818</x:v>
      </x:c>
      <x:c r="F98" s="44"/>
      <x:c r="G98" s="44" t="s">
        <x:v>818</x:v>
      </x:c>
      <x:c r="H98" s="44"/>
      <x:c r="I98" s="44" t="s">
        <x:v>818</x:v>
      </x:c>
      <x:c r="J98" s="44"/>
      <x:c r="K98" s="44" t="s">
        <x:v>818</x:v>
      </x:c>
      <x:c r="L98" s="44"/>
      <x:c r="M98" s="44" t="s">
        <x:v>818</x:v>
      </x:c>
      <x:c r="N98" s="44"/>
      <x:c r="O98" s="44" t="s">
        <x:v>818</x:v>
      </x:c>
      <x:c r="P98" s="225"/>
      <x:c r="Q98" s="44" t="s">
        <x:v>818</x:v>
      </x:c>
      <x:c r="R98" s="92"/>
      <x:c r="U98" s="189" t="str">
        <x:f t="shared" si="4"/>
        <x:v/>
      </x:c>
    </x:row>
    <x:row r="99" spans="2:21">
      <x:c r="B99" s="1" t="s">
        <x:v>98</x:v>
      </x:c>
      <x:c r="C99" s="60" t="s">
        <x:v>120</x:v>
      </x:c>
      <x:c r="D99" s="60"/>
      <x:c r="E99" s="44" t="s">
        <x:v>818</x:v>
      </x:c>
      <x:c r="F99" s="44"/>
      <x:c r="G99" s="44" t="s">
        <x:v>818</x:v>
      </x:c>
      <x:c r="H99" s="44"/>
      <x:c r="I99" s="44" t="s">
        <x:v>818</x:v>
      </x:c>
      <x:c r="J99" s="44"/>
      <x:c r="K99" s="44" t="s">
        <x:v>818</x:v>
      </x:c>
      <x:c r="L99" s="44"/>
      <x:c r="M99" s="44" t="s">
        <x:v>818</x:v>
      </x:c>
      <x:c r="N99" s="44"/>
      <x:c r="O99" s="44" t="s">
        <x:v>818</x:v>
      </x:c>
      <x:c r="P99" s="225"/>
      <x:c r="Q99" s="44" t="s">
        <x:v>818</x:v>
      </x:c>
      <x:c r="R99" s="92"/>
      <x:c r="U99" s="189" t="str">
        <x:f t="shared" si="4"/>
        <x:v/>
      </x:c>
    </x:row>
    <x:row r="100" spans="2:21">
      <x:c r="B100" s="1" t="s">
        <x:v>264</x:v>
      </x:c>
      <x:c r="C100" s="60" t="s">
        <x:v>493</x:v>
      </x:c>
      <x:c r="D100" s="60"/>
      <x:c r="E100" s="44" t="s">
        <x:v>818</x:v>
      </x:c>
      <x:c r="F100" s="44"/>
      <x:c r="G100" s="44" t="s">
        <x:v>818</x:v>
      </x:c>
      <x:c r="H100" s="44"/>
      <x:c r="I100" s="44" t="s">
        <x:v>818</x:v>
      </x:c>
      <x:c r="J100" s="44"/>
      <x:c r="K100" s="44" t="s">
        <x:v>818</x:v>
      </x:c>
      <x:c r="L100" s="44"/>
      <x:c r="M100" s="44" t="s">
        <x:v>818</x:v>
      </x:c>
      <x:c r="N100" s="44"/>
      <x:c r="O100" s="44" t="s">
        <x:v>818</x:v>
      </x:c>
      <x:c r="P100" s="225"/>
      <x:c r="Q100" s="44" t="s">
        <x:v>818</x:v>
      </x:c>
      <x:c r="R100" s="92"/>
      <x:c r="U100" s="189" t="str">
        <x:f t="shared" si="4"/>
        <x:v/>
      </x:c>
    </x:row>
    <x:row r="101" spans="2:21">
      <x:c r="B101" s="1" t="s">
        <x:v>436</x:v>
      </x:c>
      <x:c r="C101" s="60" t="s">
        <x:v>99</x:v>
      </x:c>
      <x:c r="D101" s="60"/>
      <x:c r="E101" s="44" t="s">
        <x:v>818</x:v>
      </x:c>
      <x:c r="F101" s="44"/>
      <x:c r="G101" s="44" t="s">
        <x:v>818</x:v>
      </x:c>
      <x:c r="H101" s="44"/>
      <x:c r="I101" s="44" t="s">
        <x:v>818</x:v>
      </x:c>
      <x:c r="J101" s="44"/>
      <x:c r="K101" s="44" t="s">
        <x:v>818</x:v>
      </x:c>
      <x:c r="L101" s="44"/>
      <x:c r="M101" s="44" t="s">
        <x:v>818</x:v>
      </x:c>
      <x:c r="N101" s="44"/>
      <x:c r="O101" s="44" t="s">
        <x:v>818</x:v>
      </x:c>
      <x:c r="P101" s="225"/>
      <x:c r="Q101" s="44" t="s">
        <x:v>818</x:v>
      </x:c>
      <x:c r="R101" s="92"/>
      <x:c r="U101" s="189" t="str">
        <x:f t="shared" si="4"/>
        <x:v/>
      </x:c>
    </x:row>
    <x:row r="102" spans="2:21">
      <x:c r="B102" s="1" t="s">
        <x:v>1690</x:v>
      </x:c>
      <x:c r="C102" s="60" t="s">
        <x:v>2535</x:v>
      </x:c>
      <x:c r="D102" s="60"/>
      <x:c r="E102" s="44" t="s">
        <x:v>818</x:v>
      </x:c>
      <x:c r="F102" s="44"/>
      <x:c r="G102" s="44" t="s">
        <x:v>818</x:v>
      </x:c>
      <x:c r="H102" s="44"/>
      <x:c r="I102" s="44" t="s">
        <x:v>818</x:v>
      </x:c>
      <x:c r="J102" s="44"/>
      <x:c r="K102" s="44" t="s">
        <x:v>818</x:v>
      </x:c>
      <x:c r="L102" s="44"/>
      <x:c r="M102" s="44" t="s">
        <x:v>818</x:v>
      </x:c>
      <x:c r="N102" s="44"/>
      <x:c r="O102" s="44" t="s">
        <x:v>818</x:v>
      </x:c>
      <x:c r="P102" s="225"/>
      <x:c r="Q102" s="44" t="s">
        <x:v>818</x:v>
      </x:c>
      <x:c r="R102" s="92"/>
      <x:c r="U102" s="189" t="str">
        <x:f t="shared" si="4"/>
        <x:v/>
      </x:c>
    </x:row>
    <x:row r="103" spans="2:21">
      <x:c r="B103" s="1" t="s">
        <x:v>100</x:v>
      </x:c>
      <x:c r="C103" s="60" t="s">
        <x:v>241</x:v>
      </x:c>
      <x:c r="D103" s="60"/>
      <x:c r="E103" s="44" t="s">
        <x:v>818</x:v>
      </x:c>
      <x:c r="F103" s="44"/>
      <x:c r="G103" s="44" t="s">
        <x:v>818</x:v>
      </x:c>
      <x:c r="H103" s="44"/>
      <x:c r="I103" s="44" t="s">
        <x:v>818</x:v>
      </x:c>
      <x:c r="J103" s="44"/>
      <x:c r="K103" s="44" t="s">
        <x:v>818</x:v>
      </x:c>
      <x:c r="L103" s="44"/>
      <x:c r="M103" s="44" t="s">
        <x:v>818</x:v>
      </x:c>
      <x:c r="N103" s="44"/>
      <x:c r="O103" s="44" t="s">
        <x:v>818</x:v>
      </x:c>
      <x:c r="P103" s="225"/>
      <x:c r="Q103" s="44" t="s">
        <x:v>818</x:v>
      </x:c>
      <x:c r="R103" s="92"/>
      <x:c r="U103" s="189" t="str">
        <x:f t="shared" si="4"/>
        <x:v/>
      </x:c>
    </x:row>
    <x:row r="104" spans="2:21">
      <x:c r="B104" s="1" t="s">
        <x:v>253</x:v>
      </x:c>
      <x:c r="C104" s="60" t="s">
        <x:v>1660</x:v>
      </x:c>
      <x:c r="D104" s="60"/>
      <x:c r="E104" s="44" t="s">
        <x:v>818</x:v>
      </x:c>
      <x:c r="F104" s="44"/>
      <x:c r="G104" s="44" t="s">
        <x:v>818</x:v>
      </x:c>
      <x:c r="H104" s="44"/>
      <x:c r="I104" s="44" t="s">
        <x:v>818</x:v>
      </x:c>
      <x:c r="J104" s="44"/>
      <x:c r="K104" s="44" t="s">
        <x:v>818</x:v>
      </x:c>
      <x:c r="L104" s="44"/>
      <x:c r="M104" s="44" t="s">
        <x:v>818</x:v>
      </x:c>
      <x:c r="N104" s="44"/>
      <x:c r="O104" s="44" t="s">
        <x:v>818</x:v>
      </x:c>
      <x:c r="P104" s="225"/>
      <x:c r="Q104" s="44" t="s">
        <x:v>818</x:v>
      </x:c>
      <x:c r="R104" s="92"/>
      <x:c r="U104" s="189" t="str">
        <x:f t="shared" si="4"/>
        <x:v/>
      </x:c>
    </x:row>
    <x:row r="105" spans="2:21">
      <x:c r="B105" s="1" t="s">
        <x:v>429</x:v>
      </x:c>
      <x:c r="C105" s="60" t="s">
        <x:v>90</x:v>
      </x:c>
      <x:c r="D105" s="60"/>
      <x:c r="E105" s="44" t="s">
        <x:v>818</x:v>
      </x:c>
      <x:c r="F105" s="44"/>
      <x:c r="G105" s="44" t="s">
        <x:v>818</x:v>
      </x:c>
      <x:c r="H105" s="44"/>
      <x:c r="I105" s="44" t="s">
        <x:v>818</x:v>
      </x:c>
      <x:c r="J105" s="44"/>
      <x:c r="K105" s="44" t="s">
        <x:v>818</x:v>
      </x:c>
      <x:c r="L105" s="44"/>
      <x:c r="M105" s="44" t="s">
        <x:v>818</x:v>
      </x:c>
      <x:c r="N105" s="44"/>
      <x:c r="O105" s="44" t="s">
        <x:v>818</x:v>
      </x:c>
      <x:c r="P105" s="225"/>
      <x:c r="Q105" s="44" t="s">
        <x:v>818</x:v>
      </x:c>
      <x:c r="R105" s="92"/>
      <x:c r="U105" s="189" t="str">
        <x:f t="shared" si="4"/>
        <x:v/>
      </x:c>
    </x:row>
    <x:row r="106" spans="2:21">
      <x:c r="B106" s="1" t="s">
        <x:v>2558</x:v>
      </x:c>
      <x:c r="C106" s="60" t="s">
        <x:v>413</x:v>
      </x:c>
      <x:c r="D106" s="60"/>
      <x:c r="E106" s="44" t="s">
        <x:v>818</x:v>
      </x:c>
      <x:c r="F106" s="44"/>
      <x:c r="G106" s="44" t="s">
        <x:v>818</x:v>
      </x:c>
      <x:c r="H106" s="44"/>
      <x:c r="I106" s="44" t="s">
        <x:v>818</x:v>
      </x:c>
      <x:c r="J106" s="44"/>
      <x:c r="K106" s="44" t="s">
        <x:v>818</x:v>
      </x:c>
      <x:c r="L106" s="44"/>
      <x:c r="M106" s="44" t="s">
        <x:v>818</x:v>
      </x:c>
      <x:c r="N106" s="44"/>
      <x:c r="O106" s="44" t="s">
        <x:v>818</x:v>
      </x:c>
      <x:c r="P106" s="225"/>
      <x:c r="Q106" s="44" t="s">
        <x:v>818</x:v>
      </x:c>
      <x:c r="R106" s="92"/>
      <x:c r="U106" s="189" t="str">
        <x:f t="shared" si="4"/>
        <x:v/>
      </x:c>
    </x:row>
    <x:row r="107" spans="2:21">
      <x:c r="B107" s="1" t="s">
        <x:v>121</x:v>
      </x:c>
      <x:c r="C107" s="60" t="s">
        <x:v>167</x:v>
      </x:c>
      <x:c r="D107" s="60"/>
      <x:c r="E107" s="44" t="s">
        <x:v>818</x:v>
      </x:c>
      <x:c r="F107" s="44"/>
      <x:c r="G107" s="44" t="s">
        <x:v>818</x:v>
      </x:c>
      <x:c r="H107" s="44"/>
      <x:c r="I107" s="44" t="s">
        <x:v>818</x:v>
      </x:c>
      <x:c r="J107" s="44"/>
      <x:c r="K107" s="44" t="s">
        <x:v>818</x:v>
      </x:c>
      <x:c r="L107" s="44"/>
      <x:c r="M107" s="44" t="s">
        <x:v>818</x:v>
      </x:c>
      <x:c r="N107" s="44"/>
      <x:c r="O107" s="44" t="s">
        <x:v>818</x:v>
      </x:c>
      <x:c r="P107" s="225"/>
      <x:c r="Q107" s="44" t="s">
        <x:v>818</x:v>
      </x:c>
      <x:c r="R107" s="92"/>
      <x:c r="U107" s="189" t="str">
        <x:f t="shared" si="4"/>
        <x:v/>
      </x:c>
    </x:row>
    <x:row r="108" spans="2:21">
      <x:c r="B108" s="1" t="s">
        <x:v>168</x:v>
      </x:c>
      <x:c r="C108" s="60" t="s">
        <x:v>1666</x:v>
      </x:c>
      <x:c r="D108" s="60"/>
      <x:c r="E108" s="44" t="s">
        <x:v>818</x:v>
      </x:c>
      <x:c r="F108" s="44"/>
      <x:c r="G108" s="44" t="s">
        <x:v>818</x:v>
      </x:c>
      <x:c r="H108" s="44"/>
      <x:c r="I108" s="44" t="s">
        <x:v>818</x:v>
      </x:c>
      <x:c r="J108" s="44"/>
      <x:c r="K108" s="44" t="s">
        <x:v>818</x:v>
      </x:c>
      <x:c r="L108" s="44"/>
      <x:c r="M108" s="44" t="s">
        <x:v>818</x:v>
      </x:c>
      <x:c r="N108" s="44"/>
      <x:c r="O108" s="44" t="s">
        <x:v>818</x:v>
      </x:c>
      <x:c r="P108" s="225"/>
      <x:c r="Q108" s="44" t="s">
        <x:v>818</x:v>
      </x:c>
      <x:c r="R108" s="92"/>
      <x:c r="U108" s="189" t="str">
        <x:f t="shared" si="4"/>
        <x:v/>
      </x:c>
    </x:row>
    <x:row r="109" spans="2:21">
      <x:c r="B109" s="1" t="s">
        <x:v>206</x:v>
      </x:c>
      <x:c r="C109" s="60" t="s">
        <x:v>122</x:v>
      </x:c>
      <x:c r="D109" s="60"/>
      <x:c r="E109" s="44" t="s">
        <x:v>818</x:v>
      </x:c>
      <x:c r="F109" s="44"/>
      <x:c r="G109" s="44" t="s">
        <x:v>818</x:v>
      </x:c>
      <x:c r="H109" s="44"/>
      <x:c r="I109" s="44" t="s">
        <x:v>818</x:v>
      </x:c>
      <x:c r="J109" s="44"/>
      <x:c r="K109" s="44" t="s">
        <x:v>818</x:v>
      </x:c>
      <x:c r="L109" s="44"/>
      <x:c r="M109" s="44" t="s">
        <x:v>818</x:v>
      </x:c>
      <x:c r="N109" s="44"/>
      <x:c r="O109" s="44" t="s">
        <x:v>818</x:v>
      </x:c>
      <x:c r="P109" s="225"/>
      <x:c r="Q109" s="44" t="s">
        <x:v>818</x:v>
      </x:c>
      <x:c r="R109" s="92"/>
      <x:c r="U109" s="189" t="str">
        <x:f t="shared" si="4"/>
        <x:v/>
      </x:c>
    </x:row>
    <x:row r="110" spans="2:21">
      <x:c r="B110" s="1" t="s">
        <x:v>1676</x:v>
      </x:c>
      <x:c r="C110" s="60" t="s">
        <x:v>2589</x:v>
      </x:c>
      <x:c r="D110" s="60"/>
      <x:c r="E110" s="44" t="s">
        <x:v>818</x:v>
      </x:c>
      <x:c r="F110" s="44"/>
      <x:c r="G110" s="44" t="s">
        <x:v>818</x:v>
      </x:c>
      <x:c r="H110" s="44"/>
      <x:c r="I110" s="44" t="s">
        <x:v>818</x:v>
      </x:c>
      <x:c r="J110" s="44"/>
      <x:c r="K110" s="44" t="s">
        <x:v>818</x:v>
      </x:c>
      <x:c r="L110" s="44"/>
      <x:c r="M110" s="44" t="s">
        <x:v>818</x:v>
      </x:c>
      <x:c r="N110" s="44"/>
      <x:c r="O110" s="44" t="s">
        <x:v>818</x:v>
      </x:c>
      <x:c r="P110" s="225"/>
      <x:c r="Q110" s="44" t="s">
        <x:v>818</x:v>
      </x:c>
      <x:c r="R110" s="92"/>
      <x:c r="U110" s="189" t="str">
        <x:f t="shared" si="4"/>
        <x:v/>
      </x:c>
    </x:row>
    <x:row r="111" spans="2:21">
      <x:c r="B111" s="1" t="s">
        <x:v>158</x:v>
      </x:c>
      <x:c r="C111" s="60" t="s">
        <x:v>260</x:v>
      </x:c>
      <x:c r="D111" s="60"/>
      <x:c r="E111" s="44" t="s">
        <x:v>818</x:v>
      </x:c>
      <x:c r="F111" s="44"/>
      <x:c r="G111" s="44" t="s">
        <x:v>818</x:v>
      </x:c>
      <x:c r="H111" s="44"/>
      <x:c r="I111" s="44" t="s">
        <x:v>818</x:v>
      </x:c>
      <x:c r="J111" s="44"/>
      <x:c r="K111" s="44" t="s">
        <x:v>818</x:v>
      </x:c>
      <x:c r="L111" s="44"/>
      <x:c r="M111" s="44" t="s">
        <x:v>818</x:v>
      </x:c>
      <x:c r="N111" s="44"/>
      <x:c r="O111" s="44" t="s">
        <x:v>818</x:v>
      </x:c>
      <x:c r="P111" s="225"/>
      <x:c r="Q111" s="44" t="s">
        <x:v>818</x:v>
      </x:c>
      <x:c r="R111" s="92"/>
      <x:c r="U111" s="189" t="str">
        <x:f t="shared" si="4"/>
        <x:v/>
      </x:c>
    </x:row>
    <x:row r="112" spans="2:21">
      <x:c r="B112" s="1" t="s">
        <x:v>169</x:v>
      </x:c>
      <x:c r="C112" s="60" t="s">
        <x:v>1667</x:v>
      </x:c>
      <x:c r="D112" s="60"/>
      <x:c r="E112" s="44" t="s">
        <x:v>818</x:v>
      </x:c>
      <x:c r="F112" s="44"/>
      <x:c r="G112" s="44" t="s">
        <x:v>818</x:v>
      </x:c>
      <x:c r="H112" s="44"/>
      <x:c r="I112" s="44" t="s">
        <x:v>818</x:v>
      </x:c>
      <x:c r="J112" s="44"/>
      <x:c r="K112" s="44" t="s">
        <x:v>818</x:v>
      </x:c>
      <x:c r="L112" s="44"/>
      <x:c r="M112" s="44" t="s">
        <x:v>818</x:v>
      </x:c>
      <x:c r="N112" s="44"/>
      <x:c r="O112" s="44" t="s">
        <x:v>818</x:v>
      </x:c>
      <x:c r="P112" s="225"/>
      <x:c r="Q112" s="44" t="s">
        <x:v>818</x:v>
      </x:c>
      <x:c r="R112" s="92"/>
      <x:c r="U112" s="189" t="str">
        <x:f t="shared" si="4"/>
        <x:v/>
      </x:c>
    </x:row>
    <x:row r="113" spans="2:21">
      <x:c r="B113" s="1" t="s">
        <x:v>204</x:v>
      </x:c>
      <x:c r="C113" s="60" t="s">
        <x:v>92</x:v>
      </x:c>
      <x:c r="D113" s="60"/>
      <x:c r="E113" s="44" t="s">
        <x:v>818</x:v>
      </x:c>
      <x:c r="F113" s="44"/>
      <x:c r="G113" s="44" t="s">
        <x:v>818</x:v>
      </x:c>
      <x:c r="H113" s="44"/>
      <x:c r="I113" s="44" t="s">
        <x:v>818</x:v>
      </x:c>
      <x:c r="J113" s="44"/>
      <x:c r="K113" s="44" t="s">
        <x:v>818</x:v>
      </x:c>
      <x:c r="L113" s="44"/>
      <x:c r="M113" s="44" t="s">
        <x:v>818</x:v>
      </x:c>
      <x:c r="N113" s="44"/>
      <x:c r="O113" s="44" t="s">
        <x:v>818</x:v>
      </x:c>
      <x:c r="P113" s="225"/>
      <x:c r="Q113" s="44" t="s">
        <x:v>818</x:v>
      </x:c>
      <x:c r="R113" s="92"/>
      <x:c r="U113" s="189" t="str">
        <x:f t="shared" si="4"/>
        <x:v/>
      </x:c>
    </x:row>
    <x:row r="114" spans="3:21">
      <x:c r="C114" s="60"/>
      <x:c r="D114" s="60"/>
      <x:c r="E114" s="15"/>
      <x:c r="F114" s="15"/>
      <x:c r="G114" s="15"/>
      <x:c r="H114" s="15"/>
      <x:c r="I114" s="15"/>
      <x:c r="J114" s="15"/>
      <x:c r="K114" s="15"/>
      <x:c r="L114" s="15"/>
      <x:c r="M114" s="15"/>
      <x:c r="N114" s="15"/>
      <x:c r="O114" s="15"/>
      <x:c r="P114" s="15"/>
      <x:c r="Q114" s="15"/>
      <x:c r="U114" s="188">
        <x:v>1</x:v>
      </x:c>
    </x:row>
    <x:row r="115" spans="2:21">
      <x:c r="B115" s="85" t="s">
        <x:v>2574</x:v>
      </x:c>
      <x:c r="C115" s="60"/>
      <x:c r="D115" s="60"/>
      <x:c r="E115" s="15"/>
      <x:c r="F115" s="15"/>
      <x:c r="G115" s="15"/>
      <x:c r="H115" s="15"/>
      <x:c r="I115" s="15"/>
      <x:c r="J115" s="15"/>
      <x:c r="K115" s="15"/>
      <x:c r="L115" s="15"/>
      <x:c r="M115" s="15"/>
      <x:c r="N115" s="15"/>
      <x:c r="O115" s="15"/>
      <x:c r="P115" s="15"/>
      <x:c r="Q115" s="15"/>
      <x:c r="U115" s="188">
        <x:v>1</x:v>
      </x:c>
    </x:row>
    <x:row r="116" spans="2:21">
      <x:c r="B116" s="1" t="s">
        <x:v>176</x:v>
      </x:c>
      <x:c r="C116" s="60" t="s">
        <x:v>2228</x:v>
      </x:c>
      <x:c r="D116" s="60"/>
      <x:c r="E116" s="80">
        <x:v>6998.9762470000005</x:v>
      </x:c>
      <x:c r="F116" s="80"/>
      <x:c r="G116" s="80">
        <x:v>6679.9511840000005</x:v>
      </x:c>
      <x:c r="H116" s="80"/>
      <x:c r="I116" s="80">
        <x:v>4658.3457079999998</x:v>
      </x:c>
      <x:c r="J116" s="80"/>
      <x:c r="K116" s="80">
        <x:v>6309.61391</x:v>
      </x:c>
      <x:c r="L116" s="80"/>
      <x:c r="M116" s="80">
        <x:v>4944.640641</x:v>
      </x:c>
      <x:c r="N116" s="80"/>
      <x:c r="O116" s="80" t="s">
        <x:v>818</x:v>
      </x:c>
      <x:c r="P116" s="15"/>
      <x:c r="Q116" s="80" t="s">
        <x:v>818</x:v>
      </x:c>
      <x:c r="U116" s="189">
        <x:f t="shared" ref="U116:U122" si="5">IF(COUNT(E116:R116)&lt;&gt;0,1,"")</x:f>
        <x:v>1</x:v>
      </x:c>
    </x:row>
    <x:row r="117" spans="2:21">
      <x:c r="B117" s="1" t="s">
        <x:v>170</x:v>
      </x:c>
      <x:c r="C117" s="60" t="s">
        <x:v>2233</x:v>
      </x:c>
      <x:c r="D117" s="60"/>
      <x:c r="E117" s="80">
        <x:v>7288.7396189999999</x:v>
      </x:c>
      <x:c r="F117" s="80"/>
      <x:c r="G117" s="80">
        <x:v>4787.0514910000002</x:v>
      </x:c>
      <x:c r="H117" s="80"/>
      <x:c r="I117" s="80">
        <x:v>6238.8908550000006</x:v>
      </x:c>
      <x:c r="J117" s="80"/>
      <x:c r="K117" s="80">
        <x:v>4997.0335779999996</x:v>
      </x:c>
      <x:c r="L117" s="80"/>
      <x:c r="M117" s="80">
        <x:v>6174.1876990000001</x:v>
      </x:c>
      <x:c r="N117" s="80"/>
      <x:c r="O117" s="80" t="s">
        <x:v>818</x:v>
      </x:c>
      <x:c r="P117" s="15"/>
      <x:c r="Q117" s="80" t="s">
        <x:v>818</x:v>
      </x:c>
      <x:c r="U117" s="189">
        <x:f t="shared" si="5"/>
        <x:v>1</x:v>
      </x:c>
    </x:row>
    <x:row r="118" spans="2:21">
      <x:c r="B118" s="1" t="s">
        <x:v>171</x:v>
      </x:c>
      <x:c r="C118" s="60" t="s">
        <x:v>2225</x:v>
      </x:c>
      <x:c r="D118" s="60"/>
      <x:c r="E118" s="80">
        <x:v>5762.5202130000007</x:v>
      </x:c>
      <x:c r="F118" s="80"/>
      <x:c r="G118" s="80">
        <x:v>6310.653069</x:v>
      </x:c>
      <x:c r="H118" s="80"/>
      <x:c r="I118" s="80">
        <x:v>4776.9110909999999</x:v>
      </x:c>
      <x:c r="J118" s="80"/>
      <x:c r="K118" s="80">
        <x:v>5521.2803219999996</x:v>
      </x:c>
      <x:c r="L118" s="80"/>
      <x:c r="M118" s="80">
        <x:v>6228.0722319999995</x:v>
      </x:c>
      <x:c r="N118" s="80"/>
      <x:c r="O118" s="80" t="s">
        <x:v>818</x:v>
      </x:c>
      <x:c r="P118" s="15"/>
      <x:c r="Q118" s="80" t="s">
        <x:v>818</x:v>
      </x:c>
      <x:c r="U118" s="189">
        <x:f t="shared" si="5"/>
        <x:v>1</x:v>
      </x:c>
    </x:row>
    <x:row r="119" spans="2:21">
      <x:c r="B119" s="1" t="s">
        <x:v>177</x:v>
      </x:c>
      <x:c r="C119" s="60" t="s">
        <x:v>2242</x:v>
      </x:c>
      <x:c r="D119" s="60"/>
      <x:c r="E119" s="80">
        <x:v>6456.1660940000002</x:v>
      </x:c>
      <x:c r="F119" s="80"/>
      <x:c r="G119" s="80">
        <x:v>3964.5238730000001</x:v>
      </x:c>
      <x:c r="H119" s="80"/>
      <x:c r="I119" s="80">
        <x:v>4605.4322320000001</x:v>
      </x:c>
      <x:c r="J119" s="80"/>
      <x:c r="K119" s="80">
        <x:v>5790.2758430000004</x:v>
      </x:c>
      <x:c r="L119" s="80"/>
      <x:c r="M119" s="80">
        <x:v>3784.6536150000002</x:v>
      </x:c>
      <x:c r="N119" s="80"/>
      <x:c r="O119" s="80" t="s">
        <x:v>818</x:v>
      </x:c>
      <x:c r="P119" s="15"/>
      <x:c r="Q119" s="80" t="s">
        <x:v>818</x:v>
      </x:c>
      <x:c r="U119" s="189">
        <x:f t="shared" si="5"/>
        <x:v>1</x:v>
      </x:c>
    </x:row>
    <x:row r="120" spans="2:21">
      <x:c r="B120" s="1" t="s">
        <x:v>173</x:v>
      </x:c>
      <x:c r="C120" s="60" t="s">
        <x:v>2229</x:v>
      </x:c>
      <x:c r="D120" s="60"/>
      <x:c r="E120" s="80">
        <x:v>4249.2012320000003</x:v>
      </x:c>
      <x:c r="F120" s="80"/>
      <x:c r="G120" s="80">
        <x:v>4659.6732649999994</x:v>
      </x:c>
      <x:c r="H120" s="80"/>
      <x:c r="I120" s="80">
        <x:v>4610.3316279999999</x:v>
      </x:c>
      <x:c r="J120" s="80"/>
      <x:c r="K120" s="80">
        <x:v>3886.6907530000003</x:v>
      </x:c>
      <x:c r="L120" s="80"/>
      <x:c r="M120" s="80">
        <x:v>4826.0946690000001</x:v>
      </x:c>
      <x:c r="N120" s="80"/>
      <x:c r="O120" s="80" t="s">
        <x:v>818</x:v>
      </x:c>
      <x:c r="P120" s="15"/>
      <x:c r="Q120" s="80" t="s">
        <x:v>818</x:v>
      </x:c>
      <x:c r="U120" s="189">
        <x:f t="shared" si="5"/>
        <x:v>1</x:v>
      </x:c>
    </x:row>
    <x:row r="121" spans="2:21">
      <x:c r="B121" s="1" t="s">
        <x:v>102</x:v>
      </x:c>
      <x:c r="C121" s="60" t="s">
        <x:v>2562</x:v>
      </x:c>
      <x:c r="D121" s="60"/>
      <x:c r="E121" s="80">
        <x:v>30755.603405000002</x:v>
      </x:c>
      <x:c r="F121" s="80"/>
      <x:c r="G121" s="80">
        <x:v>26401.852881999999</x:v>
      </x:c>
      <x:c r="H121" s="80"/>
      <x:c r="I121" s="80">
        <x:v>24889.911513999999</x:v>
      </x:c>
      <x:c r="J121" s="80"/>
      <x:c r="K121" s="80">
        <x:v>26504.894405999999</x:v>
      </x:c>
      <x:c r="L121" s="80"/>
      <x:c r="M121" s="80">
        <x:v>25957.648856</x:v>
      </x:c>
      <x:c r="N121" s="80"/>
      <x:c r="O121" s="80" t="s">
        <x:v>818</x:v>
      </x:c>
      <x:c r="P121" s="15"/>
      <x:c r="Q121" s="80" t="s">
        <x:v>818</x:v>
      </x:c>
      <x:c r="U121" s="189">
        <x:f t="shared" si="5"/>
        <x:v>1</x:v>
      </x:c>
    </x:row>
    <x:row r="122" spans="2:21">
      <x:c r="B122" s="1" t="s">
        <x:v>103</x:v>
      </x:c>
      <x:c r="C122" s="60" t="s">
        <x:v>2586</x:v>
      </x:c>
      <x:c r="D122" s="60"/>
      <x:c r="E122" s="80">
        <x:v>30782.396594000002</x:v>
      </x:c>
      <x:c r="F122" s="80"/>
      <x:c r="G122" s="80">
        <x:v>25279.147118000001</x:v>
      </x:c>
      <x:c r="H122" s="80"/>
      <x:c r="I122" s="80">
        <x:v>26050.088486000001</x:v>
      </x:c>
      <x:c r="J122" s="80"/>
      <x:c r="K122" s="80">
        <x:v>30041.105594000001</x:v>
      </x:c>
      <x:c r="L122" s="80"/>
      <x:c r="M122" s="80">
        <x:v>29015.351143</x:v>
      </x:c>
      <x:c r="N122" s="80"/>
      <x:c r="O122" s="80" t="s">
        <x:v>818</x:v>
      </x:c>
      <x:c r="P122" s="15"/>
      <x:c r="Q122" s="80" t="s">
        <x:v>818</x:v>
      </x:c>
      <x:c r="U122" s="189">
        <x:f t="shared" si="5"/>
        <x:v>1</x:v>
      </x:c>
    </x:row>
    <x:row r="123" spans="3:21">
      <x:c r="C123" s="60"/>
      <x:c r="D123" s="60"/>
      <x:c r="E123" s="80"/>
      <x:c r="F123" s="80"/>
      <x:c r="G123" s="80"/>
      <x:c r="H123" s="80"/>
      <x:c r="I123" s="80"/>
      <x:c r="J123" s="80"/>
      <x:c r="K123" s="80"/>
      <x:c r="L123" s="80"/>
      <x:c r="M123" s="80"/>
      <x:c r="N123" s="80"/>
      <x:c r="O123" s="80"/>
      <x:c r="P123" s="15"/>
      <x:c r="Q123" s="80"/>
      <x:c r="U123" s="188">
        <x:v>1</x:v>
      </x:c>
    </x:row>
    <x:row r="124" spans="2:21">
      <x:c r="B124" s="1" t="s">
        <x:v>104</x:v>
      </x:c>
      <x:c r="C124" s="60" t="s">
        <x:v>1677</x:v>
      </x:c>
      <x:c r="D124" s="60"/>
      <x:c r="E124" s="15" t="s">
        <x:v>818</x:v>
      </x:c>
      <x:c r="F124" s="15"/>
      <x:c r="G124" s="15" t="s">
        <x:v>818</x:v>
      </x:c>
      <x:c r="H124" s="15"/>
      <x:c r="I124" s="15" t="s">
        <x:v>818</x:v>
      </x:c>
      <x:c r="J124" s="15"/>
      <x:c r="K124" s="15" t="s">
        <x:v>818</x:v>
      </x:c>
      <x:c r="L124" s="15"/>
      <x:c r="M124" s="15">
        <x:v>246</x:v>
      </x:c>
      <x:c r="N124" s="15"/>
      <x:c r="O124" s="15" t="s">
        <x:v>818</x:v>
      </x:c>
      <x:c r="P124" s="15"/>
      <x:c r="Q124" s="15" t="s">
        <x:v>818</x:v>
      </x:c>
      <x:c r="U124" s="189">
        <x:f t="shared" ref="U124:U131" si="6">IF(COUNT(E124:R124)&lt;&gt;0,1,"")</x:f>
        <x:v>1</x:v>
      </x:c>
    </x:row>
    <x:row r="125" spans="2:21">
      <x:c r="B125" s="1" t="s">
        <x:v>1681</x:v>
      </x:c>
      <x:c r="C125" s="60" t="s">
        <x:v>2230</x:v>
      </x:c>
      <x:c r="D125" s="60"/>
      <x:c r="E125" s="44">
        <x:v>97</x:v>
      </x:c>
      <x:c r="F125" s="44"/>
      <x:c r="G125" s="44">
        <x:v>36</x:v>
      </x:c>
      <x:c r="H125" s="44"/>
      <x:c r="I125" s="44">
        <x:v>75</x:v>
      </x:c>
      <x:c r="J125" s="44"/>
      <x:c r="K125" s="44">
        <x:v>121</x:v>
      </x:c>
      <x:c r="L125" s="44"/>
      <x:c r="M125" s="44">
        <x:v>198</x:v>
      </x:c>
      <x:c r="N125" s="44"/>
      <x:c r="O125" s="44" t="s">
        <x:v>818</x:v>
      </x:c>
      <x:c r="P125" s="15"/>
      <x:c r="Q125" s="44" t="s">
        <x:v>818</x:v>
      </x:c>
      <x:c r="U125" s="189">
        <x:f t="shared" si="6"/>
        <x:v>1</x:v>
      </x:c>
    </x:row>
    <x:row r="126" spans="2:21">
      <x:c r="B126" s="1" t="s">
        <x:v>1671</x:v>
      </x:c>
      <x:c r="C126" s="60" t="s">
        <x:v>2231</x:v>
      </x:c>
      <x:c r="D126" s="60"/>
      <x:c r="E126" s="44">
        <x:v>75.56962</x:v>
      </x:c>
      <x:c r="F126" s="44"/>
      <x:c r="G126" s="44">
        <x:v>20.322581</x:v>
      </x:c>
      <x:c r="H126" s="44"/>
      <x:c r="I126" s="44">
        <x:v>62.880828999999999</x:v>
      </x:c>
      <x:c r="J126" s="44"/>
      <x:c r="K126" s="44">
        <x:v>109.77931</x:v>
      </x:c>
      <x:c r="L126" s="44"/>
      <x:c r="M126" s="44">
        <x:v>181.51776100000001</x:v>
      </x:c>
      <x:c r="N126" s="44"/>
      <x:c r="O126" s="44" t="s">
        <x:v>818</x:v>
      </x:c>
      <x:c r="P126" s="15"/>
      <x:c r="Q126" s="44" t="s">
        <x:v>818</x:v>
      </x:c>
      <x:c r="U126" s="189">
        <x:f t="shared" si="6"/>
        <x:v>1</x:v>
      </x:c>
    </x:row>
    <x:row r="127" spans="2:21">
      <x:c r="B127" s="1" t="s">
        <x:v>1664</x:v>
      </x:c>
      <x:c r="C127" s="60" t="s">
        <x:v>2232</x:v>
      </x:c>
      <x:c r="D127" s="60"/>
      <x:c r="E127" s="44">
        <x:v>52.059072</x:v>
      </x:c>
      <x:c r="F127" s="44"/>
      <x:c r="G127" s="44">
        <x:v>12.193548000000002</x:v>
      </x:c>
      <x:c r="H127" s="44"/>
      <x:c r="I127" s="44">
        <x:v>45.886010000000006</x:v>
      </x:c>
      <x:c r="J127" s="44"/>
      <x:c r="K127" s="44">
        <x:v>78.413793000000013</x:v>
      </x:c>
      <x:c r="L127" s="44"/>
      <x:c r="M127" s="44">
        <x:v>167.687836</x:v>
      </x:c>
      <x:c r="N127" s="44"/>
      <x:c r="O127" s="44" t="s">
        <x:v>818</x:v>
      </x:c>
      <x:c r="P127" s="15"/>
      <x:c r="Q127" s="44" t="s">
        <x:v>818</x:v>
      </x:c>
      <x:c r="U127" s="189">
        <x:f t="shared" si="6"/>
        <x:v>1</x:v>
      </x:c>
    </x:row>
    <x:row r="128" spans="2:21">
      <x:c r="B128" s="1" t="s">
        <x:v>1670</x:v>
      </x:c>
      <x:c r="C128" s="60" t="s">
        <x:v>2240</x:v>
      </x:c>
      <x:c r="D128" s="60"/>
      <x:c r="E128" s="44">
        <x:v>27.708861000000002</x:v>
      </x:c>
      <x:c r="F128" s="44"/>
      <x:c r="G128" s="44">
        <x:v>6.0967740000000008</x:v>
      </x:c>
      <x:c r="H128" s="44"/>
      <x:c r="I128" s="44">
        <x:v>20.393781999999998</x:v>
      </x:c>
      <x:c r="J128" s="44"/>
      <x:c r="K128" s="44">
        <x:v>69.701149000000001</x:v>
      </x:c>
      <x:c r="L128" s="44"/>
      <x:c r="M128" s="44">
        <x:v>145.21420900000001</x:v>
      </x:c>
      <x:c r="N128" s="44"/>
      <x:c r="O128" s="44" t="s">
        <x:v>818</x:v>
      </x:c>
      <x:c r="P128" s="15"/>
      <x:c r="Q128" s="44" t="s">
        <x:v>818</x:v>
      </x:c>
      <x:c r="U128" s="189">
        <x:f t="shared" si="6"/>
        <x:v>1</x:v>
      </x:c>
    </x:row>
    <x:row r="129" spans="2:21">
      <x:c r="B129" s="1" t="s">
        <x:v>1678</x:v>
      </x:c>
      <x:c r="C129" s="60" t="s">
        <x:v>2241</x:v>
      </x:c>
      <x:c r="D129" s="60"/>
      <x:c r="E129" s="44">
        <x:v>13.434599</x:v>
      </x:c>
      <x:c r="F129" s="44"/>
      <x:c r="G129" s="44">
        <x:v>5.4193549999999995</x:v>
      </x:c>
      <x:c r="H129" s="44"/>
      <x:c r="I129" s="44">
        <x:v>18.694300999999999</x:v>
      </x:c>
      <x:c r="J129" s="44"/>
      <x:c r="K129" s="44">
        <x:v>53.147126</x:v>
      </x:c>
      <x:c r="L129" s="44"/>
      <x:c r="M129" s="44">
        <x:v>133.977395</x:v>
      </x:c>
      <x:c r="N129" s="44"/>
      <x:c r="O129" s="44" t="s">
        <x:v>818</x:v>
      </x:c>
      <x:c r="P129" s="15"/>
      <x:c r="Q129" s="44" t="s">
        <x:v>818</x:v>
      </x:c>
      <x:c r="U129" s="189">
        <x:f t="shared" si="6"/>
        <x:v>1</x:v>
      </x:c>
    </x:row>
    <x:row r="130" spans="2:21">
      <x:c r="B130" s="1" t="s">
        <x:v>684</x:v>
      </x:c>
      <x:c r="C130" s="60" t="s">
        <x:v>416</x:v>
      </x:c>
      <x:c r="D130" s="60"/>
      <x:c r="E130" s="44">
        <x:v>265.77215200000001</x:v>
      </x:c>
      <x:c r="F130" s="44"/>
      <x:c r="G130" s="44">
        <x:v>80.032257999999999</x:v>
      </x:c>
      <x:c r="H130" s="44"/>
      <x:c r="I130" s="44">
        <x:v>222.85492199999999</x:v>
      </x:c>
      <x:c r="J130" s="44"/>
      <x:c r="K130" s="44">
        <x:v>432.04137800000001</x:v>
      </x:c>
      <x:c r="L130" s="44"/>
      <x:c r="M130" s="44">
        <x:v>826.397201</x:v>
      </x:c>
      <x:c r="N130" s="44"/>
      <x:c r="O130" s="44" t="s">
        <x:v>818</x:v>
      </x:c>
      <x:c r="P130" s="15"/>
      <x:c r="Q130" s="44" t="s">
        <x:v>818</x:v>
      </x:c>
      <x:c r="U130" s="189">
        <x:f t="shared" si="6"/>
        <x:v>1</x:v>
      </x:c>
    </x:row>
    <x:row r="131" spans="2:21">
      <x:c r="B131" s="1" t="s">
        <x:v>242</x:v>
      </x:c>
      <x:c r="C131" s="60" t="s">
        <x:v>2582</x:v>
      </x:c>
      <x:c r="D131" s="60"/>
      <x:c r="E131" s="44">
        <x:v>30.227848000000002</x:v>
      </x:c>
      <x:c r="F131" s="44"/>
      <x:c r="G131" s="44">
        <x:v>18.967741999999998</x:v>
      </x:c>
      <x:c r="H131" s="44"/>
      <x:c r="I131" s="44">
        <x:v>16.145078000000002</x:v>
      </x:c>
      <x:c r="J131" s="44"/>
      <x:c r="K131" s="44">
        <x:v>67.958622000000005</x:v>
      </x:c>
      <x:c r="L131" s="44"/>
      <x:c r="M131" s="44">
        <x:v>174.602799</x:v>
      </x:c>
      <x:c r="N131" s="44"/>
      <x:c r="O131" s="44" t="s">
        <x:v>818</x:v>
      </x:c>
      <x:c r="P131" s="15"/>
      <x:c r="Q131" s="44" t="s">
        <x:v>818</x:v>
      </x:c>
      <x:c r="U131" s="189">
        <x:f t="shared" si="6"/>
        <x:v>1</x:v>
      </x:c>
    </x:row>
    <x:row r="132" spans="3:21">
      <x:c r="C132" s="60"/>
      <x:c r="D132" s="60"/>
      <x:c r="E132" s="15"/>
      <x:c r="F132" s="15"/>
      <x:c r="G132" s="15"/>
      <x:c r="H132" s="15"/>
      <x:c r="I132" s="15"/>
      <x:c r="J132" s="15"/>
      <x:c r="K132" s="15"/>
      <x:c r="L132" s="15"/>
      <x:c r="M132" s="15"/>
      <x:c r="N132" s="15"/>
      <x:c r="O132" s="15"/>
      <x:c r="P132" s="15"/>
      <x:c r="Q132" s="15"/>
      <x:c r="U132" s="188">
        <x:v>1</x:v>
      </x:c>
    </x:row>
    <x:row r="133" spans="2:21">
      <x:c r="B133" s="1" t="s">
        <x:v>689</x:v>
      </x:c>
      <x:c r="C133" s="60" t="s">
        <x:v>1969</x:v>
      </x:c>
      <x:c r="D133" s="60"/>
      <x:c r="E133" s="80">
        <x:v>1468</x:v>
      </x:c>
      <x:c r="F133" s="80"/>
      <x:c r="G133" s="80">
        <x:v>1047</x:v>
      </x:c>
      <x:c r="H133" s="80"/>
      <x:c r="I133" s="80">
        <x:v>960</x:v>
      </x:c>
      <x:c r="J133" s="80"/>
      <x:c r="K133" s="80">
        <x:v>948</x:v>
      </x:c>
      <x:c r="L133" s="80"/>
      <x:c r="M133" s="80">
        <x:v>906</x:v>
      </x:c>
      <x:c r="N133" s="80"/>
      <x:c r="O133" s="80">
        <x:v>800</x:v>
      </x:c>
      <x:c r="P133" s="15"/>
      <x:c r="Q133" s="80">
        <x:v>800</x:v>
      </x:c>
      <x:c r="U133" s="189">
        <x:f t="shared" ref="U133:U139" si="7">IF(COUNT(E133:R133)&lt;&gt;0,1,"")</x:f>
        <x:v>1</x:v>
      </x:c>
    </x:row>
    <x:row r="134" spans="2:21">
      <x:c r="B134" s="1" t="s">
        <x:v>670</x:v>
      </x:c>
      <x:c r="C134" s="60" t="s">
        <x:v>1975</x:v>
      </x:c>
      <x:c r="D134" s="60"/>
      <x:c r="E134" s="80">
        <x:v>1186</x:v>
      </x:c>
      <x:c r="F134" s="80"/>
      <x:c r="G134" s="80">
        <x:v>845</x:v>
      </x:c>
      <x:c r="H134" s="80"/>
      <x:c r="I134" s="80">
        <x:v>788</x:v>
      </x:c>
      <x:c r="J134" s="80"/>
      <x:c r="K134" s="80">
        <x:v>761</x:v>
      </x:c>
      <x:c r="L134" s="80"/>
      <x:c r="M134" s="80">
        <x:v>787</x:v>
      </x:c>
      <x:c r="N134" s="80"/>
      <x:c r="O134" s="80" t="s">
        <x:v>818</x:v>
      </x:c>
      <x:c r="P134" s="15"/>
      <x:c r="Q134" s="80" t="s">
        <x:v>818</x:v>
      </x:c>
      <x:c r="U134" s="189">
        <x:f t="shared" si="7"/>
        <x:v>1</x:v>
      </x:c>
    </x:row>
    <x:row r="135" spans="2:21">
      <x:c r="B135" s="1" t="s">
        <x:v>685</x:v>
      </x:c>
      <x:c r="C135" s="60" t="s">
        <x:v>1958</x:v>
      </x:c>
      <x:c r="D135" s="60"/>
      <x:c r="E135" s="80">
        <x:v>885</x:v>
      </x:c>
      <x:c r="F135" s="80"/>
      <x:c r="G135" s="80">
        <x:v>685</x:v>
      </x:c>
      <x:c r="H135" s="80"/>
      <x:c r="I135" s="80">
        <x:v>555</x:v>
      </x:c>
      <x:c r="J135" s="80"/>
      <x:c r="K135" s="80">
        <x:v>616</x:v>
      </x:c>
      <x:c r="L135" s="80"/>
      <x:c r="M135" s="80">
        <x:v>630</x:v>
      </x:c>
      <x:c r="N135" s="80"/>
      <x:c r="O135" s="80" t="s">
        <x:v>818</x:v>
      </x:c>
      <x:c r="P135" s="15"/>
      <x:c r="Q135" s="80" t="s">
        <x:v>818</x:v>
      </x:c>
      <x:c r="U135" s="189">
        <x:f t="shared" si="7"/>
        <x:v>1</x:v>
      </x:c>
    </x:row>
    <x:row r="136" spans="2:21">
      <x:c r="B136" s="1" t="s">
        <x:v>678</x:v>
      </x:c>
      <x:c r="C136" s="60" t="s">
        <x:v>1962</x:v>
      </x:c>
      <x:c r="D136" s="60"/>
      <x:c r="E136" s="80">
        <x:v>683</x:v>
      </x:c>
      <x:c r="F136" s="80"/>
      <x:c r="G136" s="80">
        <x:v>424</x:v>
      </x:c>
      <x:c r="H136" s="80"/>
      <x:c r="I136" s="80">
        <x:v>430</x:v>
      </x:c>
      <x:c r="J136" s="80"/>
      <x:c r="K136" s="80">
        <x:v>452</x:v>
      </x:c>
      <x:c r="L136" s="80"/>
      <x:c r="M136" s="80">
        <x:v>447</x:v>
      </x:c>
      <x:c r="N136" s="80"/>
      <x:c r="O136" s="80" t="s">
        <x:v>818</x:v>
      </x:c>
      <x:c r="P136" s="15"/>
      <x:c r="Q136" s="80" t="s">
        <x:v>818</x:v>
      </x:c>
      <x:c r="U136" s="189">
        <x:f t="shared" si="7"/>
        <x:v>1</x:v>
      </x:c>
    </x:row>
    <x:row r="137" spans="2:21">
      <x:c r="B137" s="1" t="s">
        <x:v>686</x:v>
      </x:c>
      <x:c r="C137" s="60" t="s">
        <x:v>1984</x:v>
      </x:c>
      <x:c r="D137" s="60"/>
      <x:c r="E137" s="80">
        <x:v>405</x:v>
      </x:c>
      <x:c r="F137" s="80"/>
      <x:c r="G137" s="80">
        <x:v>313</x:v>
      </x:c>
      <x:c r="H137" s="80"/>
      <x:c r="I137" s="80">
        <x:v>285</x:v>
      </x:c>
      <x:c r="J137" s="80"/>
      <x:c r="K137" s="80">
        <x:v>281</x:v>
      </x:c>
      <x:c r="L137" s="80"/>
      <x:c r="M137" s="80">
        <x:v>318</x:v>
      </x:c>
      <x:c r="N137" s="80"/>
      <x:c r="O137" s="80" t="s">
        <x:v>818</x:v>
      </x:c>
      <x:c r="P137" s="15"/>
      <x:c r="Q137" s="80" t="s">
        <x:v>818</x:v>
      </x:c>
      <x:c r="U137" s="189">
        <x:f t="shared" si="7"/>
        <x:v>1</x:v>
      </x:c>
    </x:row>
    <x:row r="138" spans="2:21">
      <x:c r="B138" s="1" t="s">
        <x:v>149</x:v>
      </x:c>
      <x:c r="C138" s="60" t="s">
        <x:v>2585</x:v>
      </x:c>
      <x:c r="D138" s="60"/>
      <x:c r="E138" s="80">
        <x:v>4627</x:v>
      </x:c>
      <x:c r="F138" s="80"/>
      <x:c r="G138" s="80">
        <x:v>3314</x:v>
      </x:c>
      <x:c r="H138" s="80"/>
      <x:c r="I138" s="80">
        <x:v>3018</x:v>
      </x:c>
      <x:c r="J138" s="80"/>
      <x:c r="K138" s="80">
        <x:v>3058</x:v>
      </x:c>
      <x:c r="L138" s="80"/>
      <x:c r="M138" s="80">
        <x:v>3088</x:v>
      </x:c>
      <x:c r="N138" s="80"/>
      <x:c r="O138" s="80">
        <x:v>800</x:v>
      </x:c>
      <x:c r="P138" s="22"/>
      <x:c r="Q138" s="80">
        <x:v>800</x:v>
      </x:c>
      <x:c r="U138" s="189">
        <x:f t="shared" si="7"/>
        <x:v>1</x:v>
      </x:c>
    </x:row>
    <x:row r="139" spans="2:21">
      <x:c r="B139" s="1" t="s">
        <x:v>106</x:v>
      </x:c>
      <x:c r="C139" s="60" t="s">
        <x:v>2584</x:v>
      </x:c>
      <x:c r="D139" s="60"/>
      <x:c r="E139" s="80">
        <x:v>638</x:v>
      </x:c>
      <x:c r="F139" s="80"/>
      <x:c r="G139" s="80">
        <x:v>356</x:v>
      </x:c>
      <x:c r="H139" s="80"/>
      <x:c r="I139" s="80">
        <x:v>313</x:v>
      </x:c>
      <x:c r="J139" s="80"/>
      <x:c r="K139" s="80">
        <x:v>890</x:v>
      </x:c>
      <x:c r="L139" s="80"/>
      <x:c r="M139" s="80">
        <x:v>938</x:v>
      </x:c>
      <x:c r="N139" s="80"/>
      <x:c r="O139" s="80">
        <x:v>2547</x:v>
      </x:c>
      <x:c r="P139" s="22"/>
      <x:c r="Q139" s="80">
        <x:v>2547</x:v>
      </x:c>
      <x:c r="U139" s="189">
        <x:f t="shared" si="7"/>
        <x:v>1</x:v>
      </x:c>
    </x:row>
    <x:row r="140" spans="3:21">
      <x:c r="C140" s="60"/>
      <x:c r="D140" s="60"/>
      <x:c r="E140" s="80"/>
      <x:c r="F140" s="80"/>
      <x:c r="G140" s="80"/>
      <x:c r="H140" s="80"/>
      <x:c r="I140" s="80"/>
      <x:c r="J140" s="80"/>
      <x:c r="K140" s="80"/>
      <x:c r="L140" s="80"/>
      <x:c r="M140" s="80"/>
      <x:c r="N140" s="80"/>
      <x:c r="O140" s="80"/>
      <x:c r="P140" s="22"/>
      <x:c r="Q140" s="80"/>
      <x:c r="U140" s="189"/>
    </x:row>
    <x:row r="141" spans="2:21">
      <x:c r="B141" s="1" t="s">
        <x:v>440</x:v>
      </x:c>
      <x:c r="C141" s="60" t="s">
        <x:v>338</x:v>
      </x:c>
      <x:c r="D141" s="60"/>
      <x:c r="E141" s="80">
        <x:v>-334</x:v>
      </x:c>
      <x:c r="F141" s="80"/>
      <x:c r="G141" s="80">
        <x:v>-234</x:v>
      </x:c>
      <x:c r="H141" s="80"/>
      <x:c r="I141" s="80">
        <x:v>-267</x:v>
      </x:c>
      <x:c r="J141" s="80"/>
      <x:c r="K141" s="80">
        <x:v>-560</x:v>
      </x:c>
      <x:c r="L141" s="80"/>
      <x:c r="M141" s="80">
        <x:v>-603</x:v>
      </x:c>
      <x:c r="N141" s="80"/>
      <x:c r="O141" s="80" t="s">
        <x:v>818</x:v>
      </x:c>
      <x:c r="P141" s="22"/>
      <x:c r="Q141" s="80" t="s">
        <x:v>818</x:v>
      </x:c>
      <x:c r="U141" s="189">
        <x:f>IF(COUNT(E141:R141)&lt;&gt;0,1,"")</x:f>
        <x:v>1</x:v>
      </x:c>
    </x:row>
    <x:row r="142" spans="3:21">
      <x:c r="C142" s="60"/>
      <x:c r="D142" s="60"/>
      <x:c r="E142" s="22"/>
      <x:c r="F142" s="22"/>
      <x:c r="G142" s="22"/>
      <x:c r="H142" s="22"/>
      <x:c r="I142" s="22"/>
      <x:c r="J142" s="22"/>
      <x:c r="K142" s="22"/>
      <x:c r="L142" s="22"/>
      <x:c r="M142" s="22"/>
      <x:c r="N142" s="22"/>
      <x:c r="O142" s="22"/>
      <x:c r="P142" s="22"/>
      <x:c r="Q142" s="22"/>
      <x:c r="U142" s="188">
        <x:v>1</x:v>
      </x:c>
    </x:row>
    <x:row r="143" spans="2:21">
      <x:c r="B143" s="1" t="s">
        <x:v>2587</x:v>
      </x:c>
      <x:c r="C143" s="60" t="s">
        <x:v>1303</x:v>
      </x:c>
      <x:c r="D143" s="60"/>
      <x:c r="E143" s="44" t="s">
        <x:v>818</x:v>
      </x:c>
      <x:c r="F143" s="44"/>
      <x:c r="G143" s="44" t="s">
        <x:v>818</x:v>
      </x:c>
      <x:c r="H143" s="44"/>
      <x:c r="I143" s="44" t="s">
        <x:v>818</x:v>
      </x:c>
      <x:c r="J143" s="44"/>
      <x:c r="K143" s="44" t="s">
        <x:v>818</x:v>
      </x:c>
      <x:c r="L143" s="44"/>
      <x:c r="M143" s="44" t="s">
        <x:v>818</x:v>
      </x:c>
      <x:c r="N143" s="44"/>
      <x:c r="O143" s="44" t="s">
        <x:v>818</x:v>
      </x:c>
      <x:c r="P143" s="22"/>
      <x:c r="Q143" s="44" t="s">
        <x:v>818</x:v>
      </x:c>
      <x:c r="U143" s="189" t="str">
        <x:f t="shared" ref="U143:U149" si="8">IF(COUNT(E143:R143)&lt;&gt;0,1,"")</x:f>
        <x:v/>
      </x:c>
    </x:row>
    <x:row r="144" spans="2:21">
      <x:c r="B144" s="1" t="s">
        <x:v>2583</x:v>
      </x:c>
      <x:c r="C144" s="60" t="s">
        <x:v>2563</x:v>
      </x:c>
      <x:c r="D144" s="60"/>
      <x:c r="E144" s="44" t="s">
        <x:v>818</x:v>
      </x:c>
      <x:c r="F144" s="44"/>
      <x:c r="G144" s="44" t="s">
        <x:v>818</x:v>
      </x:c>
      <x:c r="H144" s="44"/>
      <x:c r="I144" s="44" t="s">
        <x:v>818</x:v>
      </x:c>
      <x:c r="J144" s="44"/>
      <x:c r="K144" s="44" t="s">
        <x:v>818</x:v>
      </x:c>
      <x:c r="L144" s="44"/>
      <x:c r="M144" s="44" t="s">
        <x:v>818</x:v>
      </x:c>
      <x:c r="N144" s="44"/>
      <x:c r="O144" s="44" t="s">
        <x:v>818</x:v>
      </x:c>
      <x:c r="P144" s="22"/>
      <x:c r="Q144" s="44" t="s">
        <x:v>818</x:v>
      </x:c>
      <x:c r="U144" s="189" t="str">
        <x:f t="shared" si="8"/>
        <x:v/>
      </x:c>
    </x:row>
    <x:row r="145" spans="2:21">
      <x:c r="B145" s="1" t="s">
        <x:v>2588</x:v>
      </x:c>
      <x:c r="C145" s="60" t="s">
        <x:v>2569</x:v>
      </x:c>
      <x:c r="D145" s="60"/>
      <x:c r="E145" s="44" t="s">
        <x:v>818</x:v>
      </x:c>
      <x:c r="F145" s="44"/>
      <x:c r="G145" s="44" t="s">
        <x:v>818</x:v>
      </x:c>
      <x:c r="H145" s="44"/>
      <x:c r="I145" s="44" t="s">
        <x:v>818</x:v>
      </x:c>
      <x:c r="J145" s="44"/>
      <x:c r="K145" s="44" t="s">
        <x:v>818</x:v>
      </x:c>
      <x:c r="L145" s="44"/>
      <x:c r="M145" s="44" t="s">
        <x:v>818</x:v>
      </x:c>
      <x:c r="N145" s="44"/>
      <x:c r="O145" s="44" t="s">
        <x:v>818</x:v>
      </x:c>
      <x:c r="P145" s="22"/>
      <x:c r="Q145" s="44" t="s">
        <x:v>818</x:v>
      </x:c>
      <x:c r="U145" s="189" t="str">
        <x:f t="shared" si="8"/>
        <x:v/>
      </x:c>
    </x:row>
    <x:row r="146" spans="2:21">
      <x:c r="B146" s="1" t="s">
        <x:v>2564</x:v>
      </x:c>
      <x:c r="C146" s="60" t="s">
        <x:v>2566</x:v>
      </x:c>
      <x:c r="D146" s="60"/>
      <x:c r="E146" s="44" t="s">
        <x:v>818</x:v>
      </x:c>
      <x:c r="F146" s="44"/>
      <x:c r="G146" s="44" t="s">
        <x:v>818</x:v>
      </x:c>
      <x:c r="H146" s="44"/>
      <x:c r="I146" s="44" t="s">
        <x:v>818</x:v>
      </x:c>
      <x:c r="J146" s="44"/>
      <x:c r="K146" s="44" t="s">
        <x:v>818</x:v>
      </x:c>
      <x:c r="L146" s="44"/>
      <x:c r="M146" s="44" t="s">
        <x:v>818</x:v>
      </x:c>
      <x:c r="N146" s="44"/>
      <x:c r="O146" s="44" t="s">
        <x:v>818</x:v>
      </x:c>
      <x:c r="P146" s="23"/>
      <x:c r="Q146" s="44" t="s">
        <x:v>818</x:v>
      </x:c>
      <x:c r="U146" s="189" t="str">
        <x:f t="shared" si="8"/>
        <x:v/>
      </x:c>
    </x:row>
    <x:row r="147" spans="2:21">
      <x:c r="B147" s="1" t="s">
        <x:v>2572</x:v>
      </x:c>
      <x:c r="C147" s="60" t="s">
        <x:v>2559</x:v>
      </x:c>
      <x:c r="D147" s="60"/>
      <x:c r="E147" s="44" t="s">
        <x:v>818</x:v>
      </x:c>
      <x:c r="F147" s="44"/>
      <x:c r="G147" s="44" t="s">
        <x:v>818</x:v>
      </x:c>
      <x:c r="H147" s="44"/>
      <x:c r="I147" s="44" t="s">
        <x:v>818</x:v>
      </x:c>
      <x:c r="J147" s="44"/>
      <x:c r="K147" s="44" t="s">
        <x:v>818</x:v>
      </x:c>
      <x:c r="L147" s="44"/>
      <x:c r="M147" s="44" t="s">
        <x:v>818</x:v>
      </x:c>
      <x:c r="N147" s="44"/>
      <x:c r="O147" s="44" t="s">
        <x:v>818</x:v>
      </x:c>
      <x:c r="P147" s="220"/>
      <x:c r="Q147" s="44" t="s">
        <x:v>818</x:v>
      </x:c>
      <x:c r="U147" s="189" t="str">
        <x:f t="shared" si="8"/>
        <x:v/>
      </x:c>
    </x:row>
    <x:row r="148" spans="2:21">
      <x:c r="B148" s="1" t="s">
        <x:v>1022</x:v>
      </x:c>
      <x:c r="C148" s="60" t="s">
        <x:v>2560</x:v>
      </x:c>
      <x:c r="D148" s="60"/>
      <x:c r="E148" s="44" t="s">
        <x:v>818</x:v>
      </x:c>
      <x:c r="F148" s="44"/>
      <x:c r="G148" s="44" t="s">
        <x:v>818</x:v>
      </x:c>
      <x:c r="H148" s="44"/>
      <x:c r="I148" s="44" t="s">
        <x:v>818</x:v>
      </x:c>
      <x:c r="J148" s="44"/>
      <x:c r="K148" s="44" t="s">
        <x:v>818</x:v>
      </x:c>
      <x:c r="L148" s="44"/>
      <x:c r="M148" s="44" t="s">
        <x:v>818</x:v>
      </x:c>
      <x:c r="N148" s="44"/>
      <x:c r="O148" s="44" t="s">
        <x:v>818</x:v>
      </x:c>
      <x:c r="P148" s="220"/>
      <x:c r="Q148" s="44" t="s">
        <x:v>818</x:v>
      </x:c>
      <x:c r="U148" s="189" t="str">
        <x:f t="shared" si="8"/>
        <x:v/>
      </x:c>
    </x:row>
    <x:row r="149" spans="2:21">
      <x:c r="B149" s="1" t="s">
        <x:v>1021</x:v>
      </x:c>
      <x:c r="C149" s="60" t="s">
        <x:v>2580</x:v>
      </x:c>
      <x:c r="D149" s="60"/>
      <x:c r="E149" s="44" t="s">
        <x:v>818</x:v>
      </x:c>
      <x:c r="F149" s="44"/>
      <x:c r="G149" s="44" t="s">
        <x:v>818</x:v>
      </x:c>
      <x:c r="H149" s="44"/>
      <x:c r="I149" s="44" t="s">
        <x:v>818</x:v>
      </x:c>
      <x:c r="J149" s="44"/>
      <x:c r="K149" s="44" t="s">
        <x:v>818</x:v>
      </x:c>
      <x:c r="L149" s="44"/>
      <x:c r="M149" s="44" t="s">
        <x:v>818</x:v>
      </x:c>
      <x:c r="N149" s="44"/>
      <x:c r="O149" s="44" t="s">
        <x:v>818</x:v>
      </x:c>
      <x:c r="P149" s="220"/>
      <x:c r="Q149" s="44" t="s">
        <x:v>818</x:v>
      </x:c>
      <x:c r="U149" s="189" t="str">
        <x:f t="shared" si="8"/>
        <x:v/>
      </x:c>
    </x:row>
    <x:row r="150" spans="3:21">
      <x:c r="C150" s="60"/>
      <x:c r="D150" s="60"/>
      <x:c r="E150" s="4"/>
      <x:c r="F150" s="220"/>
      <x:c r="G150" s="4"/>
      <x:c r="H150" s="220"/>
      <x:c r="I150" s="220"/>
      <x:c r="J150" s="220"/>
      <x:c r="K150" s="220"/>
      <x:c r="L150" s="220"/>
      <x:c r="M150" s="220"/>
      <x:c r="N150" s="220"/>
      <x:c r="O150" s="220"/>
      <x:c r="P150" s="220"/>
      <x:c r="Q150" s="220"/>
      <x:c r="U150" s="188">
        <x:v>1</x:v>
      </x:c>
    </x:row>
    <x:row r="151" spans="2:21">
      <x:c r="B151" s="1" t="s">
        <x:v>1023</x:v>
      </x:c>
      <x:c r="C151" s="60" t="s">
        <x:v>1682</x:v>
      </x:c>
      <x:c r="D151" s="60"/>
      <x:c r="E151" s="80">
        <x:v>3964</x:v>
      </x:c>
      <x:c r="F151" s="80"/>
      <x:c r="G151" s="80">
        <x:v>2500</x:v>
      </x:c>
      <x:c r="H151" s="80"/>
      <x:c r="I151" s="80">
        <x:v>3022</x:v>
      </x:c>
      <x:c r="J151" s="80"/>
      <x:c r="K151" s="80">
        <x:v>3177</x:v>
      </x:c>
      <x:c r="L151" s="80"/>
      <x:c r="M151" s="80">
        <x:v>3701</x:v>
      </x:c>
      <x:c r="N151" s="80"/>
      <x:c r="O151" s="80" t="s">
        <x:v>818</x:v>
      </x:c>
      <x:c r="P151" s="220"/>
      <x:c r="Q151" s="80" t="s">
        <x:v>818</x:v>
      </x:c>
      <x:c r="U151" s="189">
        <x:f t="shared" ref="U151:U158" si="9">IF(COUNT(E151:R151)&lt;&gt;0,1,"")</x:f>
        <x:v>1</x:v>
      </x:c>
    </x:row>
    <x:row r="152" spans="2:21">
      <x:c r="B152" s="1" t="s">
        <x:v>672</x:v>
      </x:c>
      <x:c r="C152" s="60" t="s">
        <x:v>1689</x:v>
      </x:c>
      <x:c r="D152" s="60"/>
      <x:c r="E152" s="80">
        <x:v>3176</x:v>
      </x:c>
      <x:c r="F152" s="80"/>
      <x:c r="G152" s="80">
        <x:v>2118</x:v>
      </x:c>
      <x:c r="H152" s="80"/>
      <x:c r="I152" s="80">
        <x:v>1999</x:v>
      </x:c>
      <x:c r="J152" s="80"/>
      <x:c r="K152" s="80">
        <x:v>2332.5</x:v>
      </x:c>
      <x:c r="L152" s="80"/>
      <x:c r="M152" s="80">
        <x:v>2565</x:v>
      </x:c>
      <x:c r="N152" s="80"/>
      <x:c r="O152" s="80" t="s">
        <x:v>818</x:v>
      </x:c>
      <x:c r="P152" s="220"/>
      <x:c r="Q152" s="80" t="s">
        <x:v>818</x:v>
      </x:c>
      <x:c r="U152" s="189">
        <x:f t="shared" si="9"/>
        <x:v>1</x:v>
      </x:c>
    </x:row>
    <x:row r="153" spans="2:21">
      <x:c r="B153" s="1" t="s">
        <x:v>687</x:v>
      </x:c>
      <x:c r="C153" s="60" t="s">
        <x:v>1687</x:v>
      </x:c>
      <x:c r="D153" s="60"/>
      <x:c r="E153" s="80">
        <x:v>3176</x:v>
      </x:c>
      <x:c r="F153" s="80"/>
      <x:c r="G153" s="80">
        <x:v>2118</x:v>
      </x:c>
      <x:c r="H153" s="80"/>
      <x:c r="I153" s="80">
        <x:v>1999</x:v>
      </x:c>
      <x:c r="J153" s="80"/>
      <x:c r="K153" s="80">
        <x:v>2332.5</x:v>
      </x:c>
      <x:c r="L153" s="80"/>
      <x:c r="M153" s="80">
        <x:v>2565</x:v>
      </x:c>
      <x:c r="N153" s="80"/>
      <x:c r="O153" s="80" t="s">
        <x:v>818</x:v>
      </x:c>
      <x:c r="P153" s="220"/>
      <x:c r="Q153" s="80" t="s">
        <x:v>818</x:v>
      </x:c>
      <x:c r="U153" s="189">
        <x:f t="shared" si="9"/>
        <x:v>1</x:v>
      </x:c>
    </x:row>
    <x:row r="154" spans="2:21">
      <x:c r="B154" s="1" t="s">
        <x:v>679</x:v>
      </x:c>
      <x:c r="C154" s="60" t="s">
        <x:v>1679</x:v>
      </x:c>
      <x:c r="D154" s="60"/>
      <x:c r="E154" s="80">
        <x:v>2059.5</x:v>
      </x:c>
      <x:c r="F154" s="80"/>
      <x:c r="G154" s="80">
        <x:v>1266</x:v>
      </x:c>
      <x:c r="H154" s="80"/>
      <x:c r="I154" s="80">
        <x:v>1062.5</x:v>
      </x:c>
      <x:c r="J154" s="80"/>
      <x:c r="K154" s="80">
        <x:v>1493.5</x:v>
      </x:c>
      <x:c r="L154" s="80"/>
      <x:c r="M154" s="80">
        <x:v>1808</x:v>
      </x:c>
      <x:c r="N154" s="80"/>
      <x:c r="O154" s="80" t="s">
        <x:v>818</x:v>
      </x:c>
      <x:c r="P154" s="220"/>
      <x:c r="Q154" s="80" t="s">
        <x:v>818</x:v>
      </x:c>
      <x:c r="U154" s="189">
        <x:f t="shared" si="9"/>
        <x:v>1</x:v>
      </x:c>
    </x:row>
    <x:row r="155" spans="2:21">
      <x:c r="B155" s="1" t="s">
        <x:v>675</x:v>
      </x:c>
      <x:c r="C155" s="60" t="s">
        <x:v>1688</x:v>
      </x:c>
      <x:c r="D155" s="60"/>
      <x:c r="E155" s="80">
        <x:v>2059.5</x:v>
      </x:c>
      <x:c r="F155" s="80"/>
      <x:c r="G155" s="80">
        <x:v>1266</x:v>
      </x:c>
      <x:c r="H155" s="80"/>
      <x:c r="I155" s="80">
        <x:v>1062.5</x:v>
      </x:c>
      <x:c r="J155" s="80"/>
      <x:c r="K155" s="80">
        <x:v>1493.5</x:v>
      </x:c>
      <x:c r="L155" s="80"/>
      <x:c r="M155" s="80">
        <x:v>1808</x:v>
      </x:c>
      <x:c r="N155" s="80"/>
      <x:c r="O155" s="80" t="s">
        <x:v>818</x:v>
      </x:c>
      <x:c r="P155" s="220"/>
      <x:c r="Q155" s="80" t="s">
        <x:v>818</x:v>
      </x:c>
      <x:c r="U155" s="189">
        <x:f t="shared" si="9"/>
        <x:v>1</x:v>
      </x:c>
    </x:row>
    <x:row r="156" spans="2:21">
      <x:c r="B156" s="1" t="s">
        <x:v>154</x:v>
      </x:c>
      <x:c r="C156" s="60" t="s">
        <x:v>688</x:v>
      </x:c>
      <x:c r="D156" s="60"/>
      <x:c r="E156" s="80">
        <x:v>14435</x:v>
      </x:c>
      <x:c r="F156" s="80"/>
      <x:c r="G156" s="80">
        <x:v>9268</x:v>
      </x:c>
      <x:c r="H156" s="80"/>
      <x:c r="I156" s="80">
        <x:v>9145</x:v>
      </x:c>
      <x:c r="J156" s="80"/>
      <x:c r="K156" s="80">
        <x:v>10829</x:v>
      </x:c>
      <x:c r="L156" s="80"/>
      <x:c r="M156" s="80">
        <x:v>12447</x:v>
      </x:c>
      <x:c r="N156" s="80"/>
      <x:c r="O156" s="80" t="s">
        <x:v>818</x:v>
      </x:c>
      <x:c r="P156" s="220"/>
      <x:c r="Q156" s="80" t="s">
        <x:v>818</x:v>
      </x:c>
      <x:c r="U156" s="189">
        <x:f t="shared" si="9"/>
        <x:v>1</x:v>
      </x:c>
    </x:row>
    <x:row r="157" spans="2:21">
      <x:c r="B157" s="1" t="s">
        <x:v>148</x:v>
      </x:c>
      <x:c r="C157" s="60" t="s">
        <x:v>673</x:v>
      </x:c>
      <x:c r="D157" s="60"/>
      <x:c r="E157" s="80">
        <x:v>10541</x:v>
      </x:c>
      <x:c r="F157" s="80"/>
      <x:c r="G157" s="80">
        <x:v>9593</x:v>
      </x:c>
      <x:c r="H157" s="80"/>
      <x:c r="I157" s="80">
        <x:v>10650</x:v>
      </x:c>
      <x:c r="J157" s="80"/>
      <x:c r="K157" s="80">
        <x:v>12839</x:v>
      </x:c>
      <x:c r="L157" s="80"/>
      <x:c r="M157" s="80">
        <x:v>14531</x:v>
      </x:c>
      <x:c r="N157" s="80"/>
      <x:c r="O157" s="80" t="s">
        <x:v>818</x:v>
      </x:c>
      <x:c r="P157" s="220"/>
      <x:c r="Q157" s="80" t="s">
        <x:v>818</x:v>
      </x:c>
      <x:c r="U157" s="189">
        <x:f t="shared" si="9"/>
        <x:v>1</x:v>
      </x:c>
    </x:row>
    <x:row r="158" spans="2:21">
      <x:c r="B158" s="1" t="s">
        <x:v>1027</x:v>
      </x:c>
      <x:c r="C158" s="60" t="s">
        <x:v>1026</x:v>
      </x:c>
      <x:c r="D158" s="60"/>
      <x:c r="E158" s="15">
        <x:v>24976</x:v>
      </x:c>
      <x:c r="F158" s="15"/>
      <x:c r="G158" s="15">
        <x:v>18861</x:v>
      </x:c>
      <x:c r="H158" s="15"/>
      <x:c r="I158" s="15">
        <x:v>19795</x:v>
      </x:c>
      <x:c r="J158" s="15"/>
      <x:c r="K158" s="15">
        <x:v>23668</x:v>
      </x:c>
      <x:c r="L158" s="15"/>
      <x:c r="M158" s="15">
        <x:v>26978</x:v>
      </x:c>
      <x:c r="N158" s="15"/>
      <x:c r="O158" s="15" t="s">
        <x:v>818</x:v>
      </x:c>
      <x:c r="P158" s="220"/>
      <x:c r="Q158" s="15" t="s">
        <x:v>818</x:v>
      </x:c>
      <x:c r="U158" s="189">
        <x:f t="shared" si="9"/>
        <x:v>1</x:v>
      </x:c>
    </x:row>
    <x:row r="159" spans="3:21">
      <x:c r="C159" s="60"/>
      <x:c r="D159" s="60"/>
      <x:c r="E159" s="220"/>
      <x:c r="F159" s="220"/>
      <x:c r="G159" s="220"/>
      <x:c r="H159" s="220"/>
      <x:c r="I159" s="220"/>
      <x:c r="J159" s="220"/>
      <x:c r="K159" s="220"/>
      <x:c r="L159" s="220"/>
      <x:c r="M159" s="220"/>
      <x:c r="N159" s="220"/>
      <x:c r="O159" s="220"/>
      <x:c r="P159" s="220"/>
      <x:c r="Q159" s="220"/>
      <x:c r="U159" s="188">
        <x:v>1</x:v>
      </x:c>
    </x:row>
    <x:row r="160" spans="2:21">
      <x:c r="B160" s="85" t="s">
        <x:v>1304</x:v>
      </x:c>
      <x:c r="C160" s="60"/>
      <x:c r="D160" s="60"/>
      <x:c r="E160" s="220"/>
      <x:c r="F160" s="220"/>
      <x:c r="G160" s="220"/>
      <x:c r="H160" s="220"/>
      <x:c r="I160" s="220"/>
      <x:c r="J160" s="220"/>
      <x:c r="K160" s="220"/>
      <x:c r="L160" s="220"/>
      <x:c r="M160" s="220"/>
      <x:c r="N160" s="220"/>
      <x:c r="O160" s="220"/>
      <x:c r="P160" s="220"/>
      <x:c r="Q160" s="220"/>
      <x:c r="U160" s="188" t="str">
        <x:f>IF(COUNT(U161:U169)&gt;1,1,"")</x:f>
        <x:v/>
      </x:c>
    </x:row>
    <x:row r="161" spans="2:21">
      <x:c r="B161" s="3" t="s">
        <x:v>147</x:v>
      </x:c>
      <x:c r="C161" s="60" t="s">
        <x:v>2581</x:v>
      </x:c>
      <x:c r="D161" s="60"/>
      <x:c r="E161" s="44" t="s">
        <x:v>818</x:v>
      </x:c>
      <x:c r="F161" s="44"/>
      <x:c r="G161" s="44" t="s">
        <x:v>818</x:v>
      </x:c>
      <x:c r="H161" s="44"/>
      <x:c r="I161" s="44" t="s">
        <x:v>818</x:v>
      </x:c>
      <x:c r="J161" s="44"/>
      <x:c r="K161" s="44" t="s">
        <x:v>818</x:v>
      </x:c>
      <x:c r="L161" s="44"/>
      <x:c r="M161" s="44" t="s">
        <x:v>818</x:v>
      </x:c>
      <x:c r="N161" s="44"/>
      <x:c r="O161" s="44" t="s">
        <x:v>818</x:v>
      </x:c>
      <x:c r="P161" s="220"/>
      <x:c r="Q161" s="44" t="s">
        <x:v>818</x:v>
      </x:c>
      <x:c r="U161" s="189" t="str">
        <x:f>IF(COUNT(E161:R161)&lt;&gt;0,1,"")</x:f>
        <x:v/>
      </x:c>
    </x:row>
    <x:row r="162" spans="2:21">
      <x:c r="B162" s="3" t="s">
        <x:v>266</x:v>
      </x:c>
      <x:c r="C162" s="60" t="s">
        <x:v>1673</x:v>
      </x:c>
      <x:c r="D162" s="60"/>
      <x:c r="E162" s="44" t="s">
        <x:v>818</x:v>
      </x:c>
      <x:c r="F162" s="44"/>
      <x:c r="G162" s="44" t="s">
        <x:v>818</x:v>
      </x:c>
      <x:c r="H162" s="44"/>
      <x:c r="I162" s="44" t="s">
        <x:v>818</x:v>
      </x:c>
      <x:c r="J162" s="44"/>
      <x:c r="K162" s="44" t="s">
        <x:v>818</x:v>
      </x:c>
      <x:c r="L162" s="44"/>
      <x:c r="M162" s="44" t="s">
        <x:v>818</x:v>
      </x:c>
      <x:c r="N162" s="44"/>
      <x:c r="O162" s="44" t="s">
        <x:v>818</x:v>
      </x:c>
      <x:c r="P162" s="220"/>
      <x:c r="Q162" s="44" t="s">
        <x:v>818</x:v>
      </x:c>
      <x:c r="U162" s="189" t="str">
        <x:f>IF(COUNT(E162:R162)&lt;&gt;0,1,"")</x:f>
        <x:v/>
      </x:c>
    </x:row>
    <x:row r="163" spans="3:21">
      <x:c r="C163" s="60"/>
      <x:c r="D163" s="60"/>
      <x:c r="E163" s="225"/>
      <x:c r="F163" s="225"/>
      <x:c r="G163" s="225"/>
      <x:c r="H163" s="225"/>
      <x:c r="I163" s="225"/>
      <x:c r="J163" s="225"/>
      <x:c r="K163" s="225"/>
      <x:c r="L163" s="225"/>
      <x:c r="M163" s="225"/>
      <x:c r="N163" s="225"/>
      <x:c r="O163" s="225"/>
      <x:c r="P163" s="220"/>
      <x:c r="Q163" s="225"/>
      <x:c r="U163" s="188">
        <x:v>1</x:v>
      </x:c>
    </x:row>
    <x:row r="164" spans="2:21">
      <x:c r="B164" s="3" t="s">
        <x:v>1024</x:v>
      </x:c>
      <x:c r="C164" s="60" t="s">
        <x:v>1295</x:v>
      </x:c>
      <x:c r="D164" s="60"/>
      <x:c r="E164" s="44" t="s">
        <x:v>818</x:v>
      </x:c>
      <x:c r="F164" s="44"/>
      <x:c r="G164" s="44" t="s">
        <x:v>818</x:v>
      </x:c>
      <x:c r="H164" s="44"/>
      <x:c r="I164" s="44" t="s">
        <x:v>818</x:v>
      </x:c>
      <x:c r="J164" s="44"/>
      <x:c r="K164" s="44" t="s">
        <x:v>818</x:v>
      </x:c>
      <x:c r="L164" s="44"/>
      <x:c r="M164" s="44" t="s">
        <x:v>818</x:v>
      </x:c>
      <x:c r="N164" s="44"/>
      <x:c r="O164" s="44" t="s">
        <x:v>818</x:v>
      </x:c>
      <x:c r="P164" s="220"/>
      <x:c r="Q164" s="44" t="s">
        <x:v>818</x:v>
      </x:c>
      <x:c r="U164" s="189" t="str">
        <x:f t="shared" ref="U164:U169" si="10">IF(COUNT(E164:R164)&lt;&gt;0,1,"")</x:f>
        <x:v/>
      </x:c>
    </x:row>
    <x:row r="165" spans="2:21">
      <x:c r="B165" s="3" t="s">
        <x:v>1025</x:v>
      </x:c>
      <x:c r="C165" s="60" t="s">
        <x:v>1296</x:v>
      </x:c>
      <x:c r="D165" s="60"/>
      <x:c r="E165" s="44" t="s">
        <x:v>818</x:v>
      </x:c>
      <x:c r="F165" s="44"/>
      <x:c r="G165" s="44" t="s">
        <x:v>818</x:v>
      </x:c>
      <x:c r="H165" s="44"/>
      <x:c r="I165" s="44" t="s">
        <x:v>818</x:v>
      </x:c>
      <x:c r="J165" s="44"/>
      <x:c r="K165" s="44" t="s">
        <x:v>818</x:v>
      </x:c>
      <x:c r="L165" s="44"/>
      <x:c r="M165" s="44" t="s">
        <x:v>818</x:v>
      </x:c>
      <x:c r="N165" s="44"/>
      <x:c r="O165" s="44" t="s">
        <x:v>818</x:v>
      </x:c>
      <x:c r="P165" s="220"/>
      <x:c r="Q165" s="44" t="s">
        <x:v>818</x:v>
      </x:c>
      <x:c r="U165" s="189" t="str">
        <x:f t="shared" si="10"/>
        <x:v/>
      </x:c>
    </x:row>
    <x:row r="166" spans="2:21">
      <x:c r="B166" s="3" t="s">
        <x:v>1028</x:v>
      </x:c>
      <x:c r="C166" s="60" t="s">
        <x:v>1302</x:v>
      </x:c>
      <x:c r="D166" s="60"/>
      <x:c r="E166" s="44" t="s">
        <x:v>818</x:v>
      </x:c>
      <x:c r="F166" s="44"/>
      <x:c r="G166" s="44" t="s">
        <x:v>818</x:v>
      </x:c>
      <x:c r="H166" s="44"/>
      <x:c r="I166" s="44" t="s">
        <x:v>818</x:v>
      </x:c>
      <x:c r="J166" s="44"/>
      <x:c r="K166" s="44" t="s">
        <x:v>818</x:v>
      </x:c>
      <x:c r="L166" s="44"/>
      <x:c r="M166" s="44" t="s">
        <x:v>818</x:v>
      </x:c>
      <x:c r="N166" s="44"/>
      <x:c r="O166" s="44" t="s">
        <x:v>818</x:v>
      </x:c>
      <x:c r="P166" s="220"/>
      <x:c r="Q166" s="44" t="s">
        <x:v>818</x:v>
      </x:c>
      <x:c r="U166" s="189" t="str">
        <x:f t="shared" si="10"/>
        <x:v/>
      </x:c>
    </x:row>
    <x:row r="167" spans="2:21">
      <x:c r="B167" s="3" t="s">
        <x:v>1029</x:v>
      </x:c>
      <x:c r="C167" s="60" t="s">
        <x:v>1308</x:v>
      </x:c>
      <x:c r="D167" s="60"/>
      <x:c r="E167" s="44" t="s">
        <x:v>818</x:v>
      </x:c>
      <x:c r="F167" s="44"/>
      <x:c r="G167" s="44" t="s">
        <x:v>818</x:v>
      </x:c>
      <x:c r="H167" s="44"/>
      <x:c r="I167" s="44" t="s">
        <x:v>818</x:v>
      </x:c>
      <x:c r="J167" s="44"/>
      <x:c r="K167" s="44" t="s">
        <x:v>818</x:v>
      </x:c>
      <x:c r="L167" s="44"/>
      <x:c r="M167" s="44" t="s">
        <x:v>818</x:v>
      </x:c>
      <x:c r="N167" s="44"/>
      <x:c r="O167" s="44" t="s">
        <x:v>818</x:v>
      </x:c>
      <x:c r="P167" s="220"/>
      <x:c r="Q167" s="44" t="s">
        <x:v>818</x:v>
      </x:c>
      <x:c r="U167" s="189" t="str">
        <x:f t="shared" si="10"/>
        <x:v/>
      </x:c>
    </x:row>
    <x:row r="168" spans="2:21">
      <x:c r="B168" s="3" t="s">
        <x:v>1030</x:v>
      </x:c>
      <x:c r="C168" s="60" t="s">
        <x:v>1299</x:v>
      </x:c>
      <x:c r="D168" s="60"/>
      <x:c r="E168" s="44" t="s">
        <x:v>818</x:v>
      </x:c>
      <x:c r="F168" s="44"/>
      <x:c r="G168" s="44" t="s">
        <x:v>818</x:v>
      </x:c>
      <x:c r="H168" s="44"/>
      <x:c r="I168" s="44" t="s">
        <x:v>818</x:v>
      </x:c>
      <x:c r="J168" s="44"/>
      <x:c r="K168" s="44" t="s">
        <x:v>818</x:v>
      </x:c>
      <x:c r="L168" s="44"/>
      <x:c r="M168" s="44" t="s">
        <x:v>818</x:v>
      </x:c>
      <x:c r="N168" s="44"/>
      <x:c r="O168" s="44" t="s">
        <x:v>818</x:v>
      </x:c>
      <x:c r="P168" s="220"/>
      <x:c r="Q168" s="44" t="s">
        <x:v>818</x:v>
      </x:c>
      <x:c r="U168" s="189" t="str">
        <x:f t="shared" si="10"/>
        <x:v/>
      </x:c>
    </x:row>
    <x:row r="169" spans="2:21">
      <x:c r="B169" s="3" t="s">
        <x:v>243</x:v>
      </x:c>
      <x:c r="C169" s="60" t="s">
        <x:v>1683</x:v>
      </x:c>
      <x:c r="D169" s="60"/>
      <x:c r="E169" s="44" t="s">
        <x:v>818</x:v>
      </x:c>
      <x:c r="F169" s="44"/>
      <x:c r="G169" s="44" t="s">
        <x:v>818</x:v>
      </x:c>
      <x:c r="H169" s="44"/>
      <x:c r="I169" s="44" t="s">
        <x:v>818</x:v>
      </x:c>
      <x:c r="J169" s="44"/>
      <x:c r="K169" s="44" t="s">
        <x:v>818</x:v>
      </x:c>
      <x:c r="L169" s="44"/>
      <x:c r="M169" s="44" t="s">
        <x:v>818</x:v>
      </x:c>
      <x:c r="N169" s="44"/>
      <x:c r="O169" s="44" t="s">
        <x:v>818</x:v>
      </x:c>
      <x:c r="P169" s="220"/>
      <x:c r="Q169" s="44" t="s">
        <x:v>818</x:v>
      </x:c>
      <x:c r="U169" s="189" t="str">
        <x:f t="shared" si="10"/>
        <x:v/>
      </x:c>
    </x:row>
    <x:row r="170" spans="2:21">
      <x:c r="B170" s="3"/>
      <x:c r="C170" s="60"/>
      <x:c r="D170" s="60"/>
      <x:c r="E170" s="44"/>
      <x:c r="F170" s="44"/>
      <x:c r="G170" s="44"/>
      <x:c r="H170" s="44"/>
      <x:c r="I170" s="44"/>
      <x:c r="J170" s="44"/>
      <x:c r="K170" s="44"/>
      <x:c r="L170" s="44"/>
      <x:c r="M170" s="44"/>
      <x:c r="N170" s="44"/>
      <x:c r="O170" s="44"/>
      <x:c r="P170" s="220"/>
      <x:c r="Q170" s="44"/>
      <x:c r="U170" s="189">
        <x:v>1</x:v>
      </x:c>
    </x:row>
    <x:row r="171" spans="2:21">
      <x:c r="B171" s="1" t="s">
        <x:v>1274</x:v>
      </x:c>
      <x:c r="C171" s="60" t="s">
        <x:v>605</x:v>
      </x:c>
      <x:c r="D171" s="60"/>
      <x:c r="E171" s="23">
        <x:v>44985</x:v>
      </x:c>
      <x:c r="F171" s="23"/>
      <x:c r="G171" s="23">
        <x:v>45348</x:v>
      </x:c>
      <x:c r="H171" s="23"/>
      <x:c r="I171" s="23">
        <x:v>45713</x:v>
      </x:c>
      <x:c r="J171" s="23"/>
      <x:c r="K171" s="23">
        <x:v>45713</x:v>
      </x:c>
      <x:c r="L171" s="23"/>
      <x:c r="M171" s="23">
        <x:v>45713</x:v>
      </x:c>
      <x:c r="N171" s="23"/>
      <x:c r="O171" s="23">
        <x:v>46050</x:v>
      </x:c>
      <x:c r="P171" s="220"/>
      <x:c r="Q171" s="23">
        <x:v>46050</x:v>
      </x:c>
      <x:c r="U171" s="189">
        <x:f>IF(COUNT(E171:R171)&lt;&gt;0,1,"")</x:f>
        <x:v>1</x:v>
      </x:c>
    </x:row>
    <x:row r="172" spans="2:18" ht="5.25" customHeight="1">
      <x:c r="B172" s="37"/>
      <x:c r="C172" s="160"/>
      <x:c r="D172" s="160"/>
      <x:c r="E172" s="160"/>
      <x:c r="F172" s="160"/>
      <x:c r="G172" s="37"/>
      <x:c r="H172" s="37"/>
      <x:c r="I172" s="37"/>
      <x:c r="J172" s="37"/>
      <x:c r="K172" s="37"/>
      <x:c r="L172" s="37"/>
      <x:c r="M172" s="37"/>
      <x:c r="N172" s="37"/>
      <x:c r="O172" s="37"/>
      <x:c r="P172" s="37"/>
      <x:c r="Q172" s="37"/>
      <x:c r="R172" s="37"/>
    </x:row>
  </x:sheetData>
  <x:pageMargins left="0.25" right="0.25" top="0.25" bottom="0.25" header="0" footer="0"/>
  <x:pageSetup paperSize="9" scale="41" firstPageNumber="1" fitToWidth="1" fitToHeight="0" orientation="portrait" usePrinterDefaults="1" blackAndWhite="0" draft="0" useFirstPageNumber="0" horizontalDpi="600" verticalDpi="600" copies="1"/>
  <x:legacyDrawing r:id="rId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12"/>
  <x:dimension ref="B1:AA101"/>
  <x:sheetViews>
    <x:sheetView showGridLines="0" topLeftCell="A1" zoomScaleNormal="100" zoomScaleSheetLayoutView="75" workbookViewId="0">
      <x:selection activeCell="A1" activeCellId="0" sqref="A1:A1"/>
    </x:sheetView>
  </x:sheetViews>
  <x:sheetFormatPr defaultColWidth="8.88671875" defaultRowHeight="11.25"/>
  <x:cols>
    <x:col min="1" max="1" width="2.83203125" style="1" customWidth="1"/>
    <x:col min="2" max="2" width="45.83203125" style="1" customWidth="1"/>
    <x:col min="3" max="3" width="26.5" style="1" customWidth="1"/>
    <x:col min="4" max="4" width="19.6640625" style="1" customWidth="1"/>
    <x:col min="5" max="5" width="19.5" style="1" customWidth="1"/>
    <x:col min="6" max="6" width="14.5" style="1" customWidth="1"/>
    <x:col min="7" max="7" width="14.83203125" style="1" customWidth="1"/>
    <x:col min="10" max="10" width="11.83203125" style="1" customWidth="1"/>
    <x:col min="21" max="21" width="8.83203125" style="1" hidden="1" customWidth="1" outlineLevel="1"/>
    <x:col min="22" max="22" width="8.83203125" style="1" collapsed="1"/>
    <x:col min="27" max="27" width="8.83203125" style="1" hidden="1" customWidth="1" outlineLevel="1"/>
    <x:col min="28" max="28" width="8.83203125" style="1" collapsed="1"/>
  </x:cols>
  <x:sheetData>
    <x:row r="1" spans="4:4">
      <x:c r="D1" s="3"/>
    </x:row>
    <x:row r="2" spans="2:4">
      <x:c r="B2" s="1" t="s">
        <x:v>112</x:v>
      </x:c>
      <x:c r="C2" s="3"/>
      <x:c r="D2" s="3"/>
    </x:row>
    <x:row r="5" spans="2:27" ht="16.5">
      <x:c r="B5" s="49" t="s">
        <x:v>1319</x:v>
      </x:c>
      <x:c r="C5" s="90"/>
      <x:c r="D5" s="90"/>
      <x:c r="E5" s="52"/>
      <x:c r="F5" s="52"/>
      <x:c r="G5" s="52"/>
      <x:c r="H5" s="52"/>
      <x:c r="I5" s="52"/>
      <x:c r="J5" s="52"/>
      <x:c r="K5" s="52"/>
      <x:c r="L5" s="104" t="s">
        <x:v>1558</x:v>
      </x:c>
      <x:c r="AA5" s="1" t="s">
        <x:v>817</x:v>
      </x:c>
    </x:row>
    <x:row r="6" spans="2:27">
      <x:c r="B6" s="53" t="str">
        <x:f>"Data in "&amp;'Pension-OPEB'!$AC$18</x:f>
        <x:v>Data in ($M)</x:v>
      </x:c>
      <x:c r="AA6" s="1" t="s">
        <x:v>813</x:v>
      </x:c>
    </x:row>
    <x:row r="7" spans="27:27">
      <x:c r="AA7" s="1" t="s">
        <x:v>1892</x:v>
      </x:c>
    </x:row>
    <x:row r="8" spans="2:12">
      <x:c r="B8" s="222" t="s">
        <x:v>2646</x:v>
      </x:c>
      <x:c r="C8" s="35"/>
      <x:c r="D8" s="35"/>
      <x:c r="E8" s="35"/>
      <x:c r="F8" s="35"/>
      <x:c r="G8" s="35"/>
      <x:c r="H8" s="35"/>
      <x:c r="I8" s="35"/>
      <x:c r="J8" s="35"/>
      <x:c r="K8" s="35"/>
      <x:c r="L8" s="35"/>
    </x:row>
    <x:row r="9" spans="21:21">
      <x:c r="U9" s="1" t="s">
        <x:v>1544</x:v>
      </x:c>
    </x:row>
    <x:row r="10" spans="2:21">
      <x:c r="B10" s="217"/>
      <x:c r="C10" s="217"/>
      <x:c r="D10" s="217"/>
      <x:c r="E10" s="217"/>
      <x:c r="F10" s="217"/>
      <x:c r="G10" s="217"/>
      <x:c r="H10" s="217"/>
      <x:c r="I10" s="217"/>
      <x:c r="J10" s="217"/>
      <x:c r="K10" s="217"/>
      <x:c r="L10" s="218"/>
      <x:c r="U10" s="189"/>
    </x:row>
    <x:row r="11" spans="2:21">
      <x:c r="B11" s="219" t="s">
        <x:v>1094</x:v>
      </x:c>
      <x:c r="C11" s="219" t="s">
        <x:v>1946</x:v>
      </x:c>
      <x:c r="D11" s="219" t="s">
        <x:v>2074</x:v>
      </x:c>
      <x:c r="E11" s="219" t="s">
        <x:v>1527</x:v>
      </x:c>
      <x:c r="F11" s="219" t="s">
        <x:v>1092</x:v>
      </x:c>
      <x:c r="G11" s="219" t="s">
        <x:v>1093</x:v>
      </x:c>
      <x:c r="H11" s="219" t="s">
        <x:v>1095</x:v>
      </x:c>
      <x:c r="I11" s="219" t="s">
        <x:v>1948</x:v>
      </x:c>
      <x:c r="J11" s="219" t="s">
        <x:v>1091</x:v>
      </x:c>
      <x:c r="K11" s="219" t="s">
        <x:v>1530</x:v>
      </x:c>
      <x:c r="L11" s="37"/>
      <x:c r="U11" s="189">
        <x:v>1</x:v>
      </x:c>
    </x:row>
    <x:row r="12" spans="2:21" hidden="1" outlineLevel="1">
      <x:c r="B12" s="221" t="s">
        <x:v>2650</x:v>
      </x:c>
      <x:c r="C12" s="221" t="s">
        <x:v>2650</x:v>
      </x:c>
      <x:c r="D12" s="221" t="s">
        <x:v>2650</x:v>
      </x:c>
      <x:c r="E12" s="221" t="s">
        <x:v>2650</x:v>
      </x:c>
      <x:c r="F12" s="221" t="s">
        <x:v>2650</x:v>
      </x:c>
      <x:c r="G12" s="221" t="s">
        <x:v>2650</x:v>
      </x:c>
      <x:c r="H12" s="221" t="s">
        <x:v>2650</x:v>
      </x:c>
      <x:c r="I12" s="221" t="s">
        <x:v>2650</x:v>
      </x:c>
      <x:c r="J12" s="221" t="s">
        <x:v>2650</x:v>
      </x:c>
      <x:c r="K12" s="221" t="s">
        <x:v>2650</x:v>
      </x:c>
      <x:c r="U12" s="189" t="str">
        <x:f>IF(COUNT(B12:K12)&lt;&gt;0,1,"")</x:f>
        <x:v/>
      </x:c>
    </x:row>
    <x:row r="13" spans="2:21" collapsed="1">
      <x:c r="B13" s="220" t="s">
        <x:v>1013</x:v>
      </x:c>
      <x:c r="C13" s="220" t="s">
        <x:v>1097</x:v>
      </x:c>
      <x:c r="D13" s="15">
        <x:v>267.14158800000001</x:v>
      </x:c>
      <x:c r="E13" s="223">
        <x:v>0.0029999999999999999</x:v>
      </x:c>
      <x:c r="F13" s="220" t="s">
        <x:v>818</x:v>
      </x:c>
      <x:c r="G13" s="23" t="s">
        <x:v>1107</x:v>
      </x:c>
      <x:c r="H13" s="220" t="s">
        <x:v>1949</x:v>
      </x:c>
      <x:c r="I13" s="220" t="s">
        <x:v>943</x:v>
      </x:c>
      <x:c r="J13" s="220" t="s">
        <x:v>943</x:v>
      </x:c>
      <x:c r="K13" s="220" t="s">
        <x:v>802</x:v>
      </x:c>
      <x:c r="U13" s="189">
        <x:f t="shared" ref="U13:U37" si="0">IF(COUNT(B13:K13)&lt;&gt;0,1,"")</x:f>
        <x:v>1</x:v>
      </x:c>
    </x:row>
    <x:row r="14" spans="2:21">
      <x:c r="B14" s="220" t="s">
        <x:v>1427</x:v>
      </x:c>
      <x:c r="C14" s="220" t="s">
        <x:v>1097</x:v>
      </x:c>
      <x:c r="D14" s="15">
        <x:v>1345.8950200000002</x:v>
      </x:c>
      <x:c r="E14" s="223">
        <x:v>0.0029999999999999999</x:v>
      </x:c>
      <x:c r="F14" s="220" t="s">
        <x:v>818</x:v>
      </x:c>
      <x:c r="G14" s="23" t="s">
        <x:v>1105</x:v>
      </x:c>
      <x:c r="H14" s="220" t="s">
        <x:v>1949</x:v>
      </x:c>
      <x:c r="I14" s="220" t="s">
        <x:v>943</x:v>
      </x:c>
      <x:c r="J14" s="220" t="s">
        <x:v>943</x:v>
      </x:c>
      <x:c r="K14" s="220" t="s">
        <x:v>822</x:v>
      </x:c>
      <x:c r="U14" s="189">
        <x:f t="shared" si="0"/>
        <x:v>1</x:v>
      </x:c>
    </x:row>
    <x:row r="15" spans="2:21">
      <x:c r="B15" s="220" t="s">
        <x:v>2050</x:v>
      </x:c>
      <x:c r="C15" s="220" t="s">
        <x:v>1097</x:v>
      </x:c>
      <x:c r="D15" s="15">
        <x:v>1879</x:v>
      </x:c>
      <x:c r="E15" s="223">
        <x:v>0.0070000000000000007</x:v>
      </x:c>
      <x:c r="F15" s="220" t="s">
        <x:v>818</x:v>
      </x:c>
      <x:c r="G15" s="23" t="s">
        <x:v>1106</x:v>
      </x:c>
      <x:c r="H15" s="220" t="s">
        <x:v>1949</x:v>
      </x:c>
      <x:c r="I15" s="220" t="s">
        <x:v>943</x:v>
      </x:c>
      <x:c r="J15" s="220" t="s">
        <x:v>943</x:v>
      </x:c>
      <x:c r="K15" s="220" t="s">
        <x:v>822</x:v>
      </x:c>
      <x:c r="U15" s="189">
        <x:f t="shared" si="0"/>
        <x:v>1</x:v>
      </x:c>
    </x:row>
    <x:row r="16" spans="2:21">
      <x:c r="B16" s="220" t="s">
        <x:v>2055</x:v>
      </x:c>
      <x:c r="C16" s="220" t="s">
        <x:v>1097</x:v>
      </x:c>
      <x:c r="D16" s="15">
        <x:v>998</x:v>
      </x:c>
      <x:c r="E16" s="223">
        <x:v>0.012</x:v>
      </x:c>
      <x:c r="F16" s="220" t="s">
        <x:v>818</x:v>
      </x:c>
      <x:c r="G16" s="23" t="s">
        <x:v>1108</x:v>
      </x:c>
      <x:c r="H16" s="220" t="s">
        <x:v>1949</x:v>
      </x:c>
      <x:c r="I16" s="220" t="s">
        <x:v>943</x:v>
      </x:c>
      <x:c r="J16" s="220" t="s">
        <x:v>943</x:v>
      </x:c>
      <x:c r="K16" s="220" t="s">
        <x:v>822</x:v>
      </x:c>
      <x:c r="U16" s="189">
        <x:f t="shared" si="0"/>
        <x:v>1</x:v>
      </x:c>
    </x:row>
    <x:row r="17" spans="2:21">
      <x:c r="B17" s="220" t="s">
        <x:v>1428</x:v>
      </x:c>
      <x:c r="C17" s="220" t="s">
        <x:v>1097</x:v>
      </x:c>
      <x:c r="D17" s="15">
        <x:v>1035.303862</x:v>
      </x:c>
      <x:c r="E17" s="223">
        <x:v>0.0125</x:v>
      </x:c>
      <x:c r="F17" s="220" t="s">
        <x:v>818</x:v>
      </x:c>
      <x:c r="G17" s="23" t="s">
        <x:v>1111</x:v>
      </x:c>
      <x:c r="H17" s="220" t="s">
        <x:v>1949</x:v>
      </x:c>
      <x:c r="I17" s="220" t="s">
        <x:v>943</x:v>
      </x:c>
      <x:c r="J17" s="220" t="s">
        <x:v>943</x:v>
      </x:c>
      <x:c r="K17" s="220" t="s">
        <x:v>822</x:v>
      </x:c>
      <x:c r="U17" s="189">
        <x:f t="shared" si="0"/>
        <x:v>1</x:v>
      </x:c>
    </x:row>
    <x:row r="18" spans="2:21">
      <x:c r="B18" s="220" t="s">
        <x:v>2052</x:v>
      </x:c>
      <x:c r="C18" s="220" t="s">
        <x:v>1097</x:v>
      </x:c>
      <x:c r="D18" s="15">
        <x:v>1174</x:v>
      </x:c>
      <x:c r="E18" s="223">
        <x:v>0.013</x:v>
      </x:c>
      <x:c r="F18" s="220" t="s">
        <x:v>818</x:v>
      </x:c>
      <x:c r="G18" s="23" t="s">
        <x:v>1113</x:v>
      </x:c>
      <x:c r="H18" s="220" t="s">
        <x:v>1949</x:v>
      </x:c>
      <x:c r="I18" s="220" t="s">
        <x:v>943</x:v>
      </x:c>
      <x:c r="J18" s="220" t="s">
        <x:v>943</x:v>
      </x:c>
      <x:c r="K18" s="220" t="s">
        <x:v>822</x:v>
      </x:c>
      <x:c r="U18" s="189">
        <x:f t="shared" si="0"/>
        <x:v>1</x:v>
      </x:c>
    </x:row>
    <x:row r="19" spans="2:21">
      <x:c r="B19" s="220" t="s">
        <x:v>2064</x:v>
      </x:c>
      <x:c r="C19" s="220" t="s">
        <x:v>1097</x:v>
      </x:c>
      <x:c r="D19" s="15">
        <x:v>1174</x:v>
      </x:c>
      <x:c r="E19" s="223">
        <x:v>0.014999999999999999</x:v>
      </x:c>
      <x:c r="F19" s="220" t="s">
        <x:v>818</x:v>
      </x:c>
      <x:c r="G19" s="23" t="s">
        <x:v>1119</x:v>
      </x:c>
      <x:c r="H19" s="220" t="s">
        <x:v>1949</x:v>
      </x:c>
      <x:c r="I19" s="220" t="s">
        <x:v>943</x:v>
      </x:c>
      <x:c r="J19" s="220" t="s">
        <x:v>943</x:v>
      </x:c>
      <x:c r="K19" s="220" t="s">
        <x:v>822</x:v>
      </x:c>
      <x:c r="U19" s="189">
        <x:f t="shared" si="0"/>
        <x:v>1</x:v>
      </x:c>
    </x:row>
    <x:row r="20" spans="2:25">
      <x:c r="B20" s="220" t="s">
        <x:v>2065</x:v>
      </x:c>
      <x:c r="C20" s="220" t="s">
        <x:v>1097</x:v>
      </x:c>
      <x:c r="D20" s="15">
        <x:v>2055</x:v>
      </x:c>
      <x:c r="E20" s="223">
        <x:v>0.017000000000000001</x:v>
      </x:c>
      <x:c r="F20" s="220" t="s">
        <x:v>818</x:v>
      </x:c>
      <x:c r="G20" s="23" t="s">
        <x:v>1123</x:v>
      </x:c>
      <x:c r="H20" s="220" t="s">
        <x:v>1949</x:v>
      </x:c>
      <x:c r="I20" s="220" t="s">
        <x:v>943</x:v>
      </x:c>
      <x:c r="J20" s="220" t="s">
        <x:v>943</x:v>
      </x:c>
      <x:c r="K20" s="220" t="s">
        <x:v>822</x:v>
      </x:c>
      <x:c r="U20" s="189">
        <x:f t="shared" si="0"/>
        <x:v>1</x:v>
      </x:c>
      <x:c r="Y20" s="220"/>
    </x:row>
    <x:row r="21" spans="2:25">
      <x:c r="B21" s="220" t="s">
        <x:v>1429</x:v>
      </x:c>
      <x:c r="C21" s="220" t="s">
        <x:v>1097</x:v>
      </x:c>
      <x:c r="D21" s="15">
        <x:v>517.65193099999999</x:v>
      </x:c>
      <x:c r="E21" s="223">
        <x:v>0.017500000000000002</x:v>
      </x:c>
      <x:c r="F21" s="220" t="s">
        <x:v>818</x:v>
      </x:c>
      <x:c r="G21" s="23" t="s">
        <x:v>1122</x:v>
      </x:c>
      <x:c r="H21" s="220" t="s">
        <x:v>1949</x:v>
      </x:c>
      <x:c r="I21" s="220" t="s">
        <x:v>943</x:v>
      </x:c>
      <x:c r="J21" s="220" t="s">
        <x:v>943</x:v>
      </x:c>
      <x:c r="K21" s="220" t="s">
        <x:v>822</x:v>
      </x:c>
      <x:c r="U21" s="189">
        <x:f t="shared" si="0"/>
        <x:v>1</x:v>
      </x:c>
      <x:c r="Y21" s="220"/>
    </x:row>
    <x:row r="22" spans="2:25">
      <x:c r="B22" s="220" t="s">
        <x:v>1431</x:v>
      </x:c>
      <x:c r="C22" s="220" t="s">
        <x:v>1097</x:v>
      </x:c>
      <x:c r="D22" s="15">
        <x:v>1294.129827</x:v>
      </x:c>
      <x:c r="E22" s="223">
        <x:v>0.017500000000000002</x:v>
      </x:c>
      <x:c r="F22" s="220" t="s">
        <x:v>818</x:v>
      </x:c>
      <x:c r="G22" s="23" t="s">
        <x:v>1109</x:v>
      </x:c>
      <x:c r="H22" s="220" t="s">
        <x:v>1949</x:v>
      </x:c>
      <x:c r="I22" s="220" t="s">
        <x:v>943</x:v>
      </x:c>
      <x:c r="J22" s="220" t="s">
        <x:v>943</x:v>
      </x:c>
      <x:c r="K22" s="220" t="s">
        <x:v>822</x:v>
      </x:c>
      <x:c r="U22" s="189">
        <x:f t="shared" si="0"/>
        <x:v>1</x:v>
      </x:c>
      <x:c r="Y22" s="220"/>
    </x:row>
    <x:row r="23" spans="2:25">
      <x:c r="B23" s="220" t="s">
        <x:v>2071</x:v>
      </x:c>
      <x:c r="C23" s="220" t="s">
        <x:v>1097</x:v>
      </x:c>
      <x:c r="D23" s="15">
        <x:v>1174</x:v>
      </x:c>
      <x:c r="E23" s="223">
        <x:v>0.019</x:v>
      </x:c>
      <x:c r="F23" s="220" t="s">
        <x:v>818</x:v>
      </x:c>
      <x:c r="G23" s="23">
        <x:v>2025</x:v>
      </x:c>
      <x:c r="H23" s="220" t="s">
        <x:v>1949</x:v>
      </x:c>
      <x:c r="I23" s="220" t="s">
        <x:v>943</x:v>
      </x:c>
      <x:c r="J23" s="220" t="s">
        <x:v>943</x:v>
      </x:c>
      <x:c r="K23" s="220" t="s">
        <x:v>822</x:v>
      </x:c>
      <x:c r="U23" s="189">
        <x:f t="shared" si="0"/>
        <x:v>1</x:v>
      </x:c>
      <x:c r="Y23" s="220"/>
    </x:row>
    <x:row r="24" spans="2:25">
      <x:c r="B24" s="220" t="s">
        <x:v>2061</x:v>
      </x:c>
      <x:c r="C24" s="220" t="s">
        <x:v>1097</x:v>
      </x:c>
      <x:c r="D24" s="15">
        <x:v>650</x:v>
      </x:c>
      <x:c r="E24" s="223">
        <x:v>0.029000000000000004</x:v>
      </x:c>
      <x:c r="F24" s="220" t="s">
        <x:v>818</x:v>
      </x:c>
      <x:c r="G24" s="23" t="s">
        <x:v>1110</x:v>
      </x:c>
      <x:c r="H24" s="220" t="s">
        <x:v>1949</x:v>
      </x:c>
      <x:c r="I24" s="220" t="s">
        <x:v>943</x:v>
      </x:c>
      <x:c r="J24" s="220" t="s">
        <x:v>943</x:v>
      </x:c>
      <x:c r="K24" s="220" t="s">
        <x:v>819</x:v>
      </x:c>
      <x:c r="U24" s="189">
        <x:f t="shared" si="0"/>
        <x:v>1</x:v>
      </x:c>
      <x:c r="Y24" s="220"/>
    </x:row>
    <x:row r="25" spans="2:25">
      <x:c r="B25" s="220" t="s">
        <x:v>2056</x:v>
      </x:c>
      <x:c r="C25" s="220" t="s">
        <x:v>1097</x:v>
      </x:c>
      <x:c r="D25" s="15">
        <x:v>750</x:v>
      </x:c>
      <x:c r="E25" s="223">
        <x:v>0.029999999999999999</x:v>
      </x:c>
      <x:c r="F25" s="220" t="s">
        <x:v>818</x:v>
      </x:c>
      <x:c r="G25" s="23" t="s">
        <x:v>1114</x:v>
      </x:c>
      <x:c r="H25" s="220" t="s">
        <x:v>1949</x:v>
      </x:c>
      <x:c r="I25" s="220" t="s">
        <x:v>943</x:v>
      </x:c>
      <x:c r="J25" s="220" t="s">
        <x:v>943</x:v>
      </x:c>
      <x:c r="K25" s="220" t="s">
        <x:v>819</x:v>
      </x:c>
      <x:c r="U25" s="189">
        <x:f t="shared" si="0"/>
        <x:v>1</x:v>
      </x:c>
      <x:c r="Y25" s="220"/>
    </x:row>
    <x:row r="26" spans="2:25">
      <x:c r="B26" s="220" t="s">
        <x:v>2076</x:v>
      </x:c>
      <x:c r="C26" s="220" t="s">
        <x:v>1097</x:v>
      </x:c>
      <x:c r="D26" s="15">
        <x:v>1292</x:v>
      </x:c>
      <x:c r="E26" s="223">
        <x:v>0.0315</x:v>
      </x:c>
      <x:c r="F26" s="220" t="s">
        <x:v>818</x:v>
      </x:c>
      <x:c r="G26" s="23" t="s">
        <x:v>1121</x:v>
      </x:c>
      <x:c r="H26" s="220" t="s">
        <x:v>1949</x:v>
      </x:c>
      <x:c r="I26" s="220" t="s">
        <x:v>943</x:v>
      </x:c>
      <x:c r="J26" s="220" t="s">
        <x:v>943</x:v>
      </x:c>
      <x:c r="K26" s="220" t="s">
        <x:v>822</x:v>
      </x:c>
      <x:c r="U26" s="189">
        <x:f t="shared" si="0"/>
        <x:v>1</x:v>
      </x:c>
      <x:c r="Y26" s="220"/>
    </x:row>
    <x:row r="27" spans="2:25">
      <x:c r="B27" s="220" t="s">
        <x:v>2068</x:v>
      </x:c>
      <x:c r="C27" s="220" t="s">
        <x:v>1097</x:v>
      </x:c>
      <x:c r="D27" s="15">
        <x:v>2355</x:v>
      </x:c>
      <x:c r="E27" s="223">
        <x:v>0.032000000000000001</x:v>
      </x:c>
      <x:c r="F27" s="220" t="s">
        <x:v>818</x:v>
      </x:c>
      <x:c r="G27" s="23">
        <x:v>2030</x:v>
      </x:c>
      <x:c r="H27" s="220" t="s">
        <x:v>1949</x:v>
      </x:c>
      <x:c r="I27" s="220" t="s">
        <x:v>943</x:v>
      </x:c>
      <x:c r="J27" s="220" t="s">
        <x:v>943</x:v>
      </x:c>
      <x:c r="K27" s="220" t="s">
        <x:v>819</x:v>
      </x:c>
      <x:c r="U27" s="189">
        <x:f t="shared" si="0"/>
        <x:v>1</x:v>
      </x:c>
      <x:c r="Y27" s="220"/>
    </x:row>
    <x:row r="28" spans="2:25">
      <x:c r="B28" s="220" t="s">
        <x:v>996</x:v>
      </x:c>
      <x:c r="C28" s="220" t="s">
        <x:v>1097</x:v>
      </x:c>
      <x:c r="D28" s="15">
        <x:v>1035.303862</x:v>
      </x:c>
      <x:c r="E28" s="223">
        <x:v>0.033750000000000002</x:v>
      </x:c>
      <x:c r="F28" s="220" t="s">
        <x:v>818</x:v>
      </x:c>
      <x:c r="G28" s="23" t="s">
        <x:v>1120</x:v>
      </x:c>
      <x:c r="H28" s="220" t="s">
        <x:v>1949</x:v>
      </x:c>
      <x:c r="I28" s="220" t="s">
        <x:v>943</x:v>
      </x:c>
      <x:c r="J28" s="220" t="s">
        <x:v>943</x:v>
      </x:c>
      <x:c r="K28" s="220" t="s">
        <x:v>822</x:v>
      </x:c>
      <x:c r="U28" s="189">
        <x:f t="shared" si="0"/>
        <x:v>1</x:v>
      </x:c>
      <x:c r="Y28" s="220"/>
    </x:row>
    <x:row r="29" spans="2:25">
      <x:c r="B29" s="220" t="s">
        <x:v>2059</x:v>
      </x:c>
      <x:c r="C29" s="220" t="s">
        <x:v>1097</x:v>
      </x:c>
      <x:c r="D29" s="15">
        <x:v>1057</x:v>
      </x:c>
      <x:c r="E29" s="223">
        <x:v>0.034500000000000003</x:v>
      </x:c>
      <x:c r="F29" s="220" t="s">
        <x:v>818</x:v>
      </x:c>
      <x:c r="G29" s="23" t="s">
        <x:v>1112</x:v>
      </x:c>
      <x:c r="H29" s="220" t="s">
        <x:v>1949</x:v>
      </x:c>
      <x:c r="I29" s="220" t="s">
        <x:v>943</x:v>
      </x:c>
      <x:c r="J29" s="220" t="s">
        <x:v>943</x:v>
      </x:c>
      <x:c r="K29" s="220" t="s">
        <x:v>822</x:v>
      </x:c>
      <x:c r="U29" s="189">
        <x:f t="shared" si="0"/>
        <x:v>1</x:v>
      </x:c>
      <x:c r="Y29" s="220"/>
    </x:row>
    <x:row r="30" spans="2:21">
      <x:c r="B30" s="220" t="s">
        <x:v>2069</x:v>
      </x:c>
      <x:c r="C30" s="220" t="s">
        <x:v>1097</x:v>
      </x:c>
      <x:c r="D30" s="15">
        <x:v>3757</x:v>
      </x:c>
      <x:c r="E30" s="223">
        <x:v>0.035999999999999999</x:v>
      </x:c>
      <x:c r="F30" s="220" t="s">
        <x:v>818</x:v>
      </x:c>
      <x:c r="G30" s="23" t="s">
        <x:v>1118</x:v>
      </x:c>
      <x:c r="H30" s="220" t="s">
        <x:v>1949</x:v>
      </x:c>
      <x:c r="I30" s="220" t="s">
        <x:v>943</x:v>
      </x:c>
      <x:c r="J30" s="220" t="s">
        <x:v>943</x:v>
      </x:c>
      <x:c r="K30" s="220" t="s">
        <x:v>819</x:v>
      </x:c>
      <x:c r="U30" s="189">
        <x:f t="shared" si="0"/>
        <x:v>1</x:v>
      </x:c>
    </x:row>
    <x:row r="31" spans="2:21">
      <x:c r="B31" s="220" t="s">
        <x:v>997</x:v>
      </x:c>
      <x:c r="C31" s="220" t="s">
        <x:v>1097</x:v>
      </x:c>
      <x:c r="D31" s="15">
        <x:v>1294.129827</x:v>
      </x:c>
      <x:c r="E31" s="223">
        <x:v>0.036249999999999999</x:v>
      </x:c>
      <x:c r="F31" s="220" t="s">
        <x:v>818</x:v>
      </x:c>
      <x:c r="G31" s="23" t="s">
        <x:v>1115</x:v>
      </x:c>
      <x:c r="H31" s="220" t="s">
        <x:v>1949</x:v>
      </x:c>
      <x:c r="I31" s="220" t="s">
        <x:v>943</x:v>
      </x:c>
      <x:c r="J31" s="220" t="s">
        <x:v>943</x:v>
      </x:c>
      <x:c r="K31" s="220" t="s">
        <x:v>822</x:v>
      </x:c>
      <x:c r="U31" s="189">
        <x:f t="shared" si="0"/>
        <x:v>1</x:v>
      </x:c>
    </x:row>
    <x:row r="32" spans="2:21">
      <x:c r="B32" s="220" t="s">
        <x:v>2057</x:v>
      </x:c>
      <x:c r="C32" s="220" t="s">
        <x:v>1097</x:v>
      </x:c>
      <x:c r="D32" s="15">
        <x:v>5800</x:v>
      </x:c>
      <x:c r="E32" s="223">
        <x:v>0.037</x:v>
      </x:c>
      <x:c r="F32" s="220" t="s">
        <x:v>818</x:v>
      </x:c>
      <x:c r="G32" s="23">
        <x:v>2026</x:v>
      </x:c>
      <x:c r="H32" s="220" t="s">
        <x:v>1949</x:v>
      </x:c>
      <x:c r="I32" s="220" t="s">
        <x:v>943</x:v>
      </x:c>
      <x:c r="J32" s="220" t="s">
        <x:v>943</x:v>
      </x:c>
      <x:c r="K32" s="220" t="s">
        <x:v>819</x:v>
      </x:c>
      <x:c r="U32" s="189">
        <x:f t="shared" si="0"/>
        <x:v>1</x:v>
      </x:c>
    </x:row>
    <x:row r="33" spans="2:21">
      <x:c r="B33" s="220" t="s">
        <x:v>2058</x:v>
      </x:c>
      <x:c r="C33" s="220" t="s">
        <x:v>1097</x:v>
      </x:c>
      <x:c r="D33" s="15">
        <x:v>1174</x:v>
      </x:c>
      <x:c r="E33" s="223">
        <x:v>0.038</x:v>
      </x:c>
      <x:c r="F33" s="220" t="s">
        <x:v>818</x:v>
      </x:c>
      <x:c r="G33" s="23" t="s">
        <x:v>1116</x:v>
      </x:c>
      <x:c r="H33" s="220" t="s">
        <x:v>1949</x:v>
      </x:c>
      <x:c r="I33" s="220" t="s">
        <x:v>943</x:v>
      </x:c>
      <x:c r="J33" s="220" t="s">
        <x:v>943</x:v>
      </x:c>
      <x:c r="K33" s="220" t="s">
        <x:v>822</x:v>
      </x:c>
      <x:c r="U33" s="189">
        <x:f t="shared" si="0"/>
        <x:v>1</x:v>
      </x:c>
    </x:row>
    <x:row r="34" spans="2:21">
      <x:c r="B34" s="220" t="s">
        <x:v>2058</x:v>
      </x:c>
      <x:c r="C34" s="220" t="s">
        <x:v>1097</x:v>
      </x:c>
      <x:c r="D34" s="15">
        <x:v>881</x:v>
      </x:c>
      <x:c r="E34" s="223">
        <x:v>0.038</x:v>
      </x:c>
      <x:c r="F34" s="220" t="s">
        <x:v>818</x:v>
      </x:c>
      <x:c r="G34" s="23" t="s">
        <x:v>1117</x:v>
      </x:c>
      <x:c r="H34" s="220" t="s">
        <x:v>1949</x:v>
      </x:c>
      <x:c r="I34" s="220" t="s">
        <x:v>943</x:v>
      </x:c>
      <x:c r="J34" s="220" t="s">
        <x:v>943</x:v>
      </x:c>
      <x:c r="K34" s="220" t="s">
        <x:v>822</x:v>
      </x:c>
      <x:c r="U34" s="189">
        <x:f t="shared" si="0"/>
        <x:v>1</x:v>
      </x:c>
    </x:row>
    <x:row r="35" spans="2:21">
      <x:c r="B35" s="220" t="s">
        <x:v>2073</x:v>
      </x:c>
      <x:c r="C35" s="220" t="s">
        <x:v>1097</x:v>
      </x:c>
      <x:c r="D35" s="15">
        <x:v>1174</x:v>
      </x:c>
      <x:c r="E35" s="223">
        <x:v>0.040000000000000002</x:v>
      </x:c>
      <x:c r="F35" s="220" t="s">
        <x:v>818</x:v>
      </x:c>
      <x:c r="G35" s="23" t="s">
        <x:v>1125</x:v>
      </x:c>
      <x:c r="H35" s="220" t="s">
        <x:v>1949</x:v>
      </x:c>
      <x:c r="I35" s="220" t="s">
        <x:v>943</x:v>
      </x:c>
      <x:c r="J35" s="220" t="s">
        <x:v>943</x:v>
      </x:c>
      <x:c r="K35" s="220" t="s">
        <x:v>822</x:v>
      </x:c>
      <x:c r="U35" s="189">
        <x:f t="shared" si="0"/>
        <x:v>1</x:v>
      </x:c>
    </x:row>
    <x:row r="36" spans="2:21">
      <x:c r="B36" s="220" t="s">
        <x:v>2066</x:v>
      </x:c>
      <x:c r="C36" s="220" t="s">
        <x:v>1097</x:v>
      </x:c>
      <x:c r="D36" s="15">
        <x:v>1107</x:v>
      </x:c>
      <x:c r="E36" s="223">
        <x:v>0.040000000000000002</x:v>
      </x:c>
      <x:c r="F36" s="220" t="s">
        <x:v>818</x:v>
      </x:c>
      <x:c r="G36" s="23" t="s">
        <x:v>1129</x:v>
      </x:c>
      <x:c r="H36" s="220" t="s">
        <x:v>1949</x:v>
      </x:c>
      <x:c r="I36" s="220" t="s">
        <x:v>943</x:v>
      </x:c>
      <x:c r="J36" s="220" t="s">
        <x:v>943</x:v>
      </x:c>
      <x:c r="K36" s="220" t="s">
        <x:v>819</x:v>
      </x:c>
      <x:c r="U36" s="189">
        <x:f t="shared" si="0"/>
        <x:v>1</x:v>
      </x:c>
    </x:row>
    <x:row r="37" spans="2:21">
      <x:c r="B37" s="220" t="s">
        <x:v>2075</x:v>
      </x:c>
      <x:c r="C37" s="220" t="s">
        <x:v>1097</x:v>
      </x:c>
      <x:c r="D37" s="15">
        <x:v>1400</x:v>
      </x:c>
      <x:c r="E37" s="223">
        <x:v>0.042000000000000004</x:v>
      </x:c>
      <x:c r="F37" s="220" t="s">
        <x:v>818</x:v>
      </x:c>
      <x:c r="G37" s="23">
        <x:v>2052</x:v>
      </x:c>
      <x:c r="H37" s="220" t="s">
        <x:v>1949</x:v>
      </x:c>
      <x:c r="I37" s="220" t="s">
        <x:v>943</x:v>
      </x:c>
      <x:c r="J37" s="220" t="s">
        <x:v>943</x:v>
      </x:c>
      <x:c r="K37" s="220" t="s">
        <x:v>819</x:v>
      </x:c>
      <x:c r="U37" s="189">
        <x:f t="shared" si="0"/>
        <x:v>1</x:v>
      </x:c>
    </x:row>
    <x:row r="38" spans="21:21">
      <x:c r="U38" s="189">
        <x:v>1</x:v>
      </x:c>
    </x:row>
    <x:row r="39" spans="21:21">
      <x:c r="U39" s="189">
        <x:v>1</x:v>
      </x:c>
    </x:row>
    <x:row r="40" spans="2:21">
      <x:c r="B40" s="222" t="s">
        <x:v>2648</x:v>
      </x:c>
      <x:c r="C40" s="35"/>
      <x:c r="D40" s="35"/>
      <x:c r="E40" s="35"/>
      <x:c r="F40" s="35"/>
      <x:c r="G40" s="35"/>
      <x:c r="H40" s="35"/>
      <x:c r="I40" s="35"/>
      <x:c r="J40" s="35"/>
      <x:c r="K40" s="35"/>
      <x:c r="L40" s="35"/>
      <x:c r="U40" s="189">
        <x:v>1</x:v>
      </x:c>
    </x:row>
    <x:row r="41" spans="21:21">
      <x:c r="U41" s="189">
        <x:v>1</x:v>
      </x:c>
    </x:row>
    <x:row r="42" spans="2:21">
      <x:c r="B42" s="217"/>
      <x:c r="C42" s="217"/>
      <x:c r="D42" s="217"/>
      <x:c r="E42" s="217"/>
      <x:c r="F42" s="217"/>
      <x:c r="G42" s="217"/>
      <x:c r="H42" s="217"/>
      <x:c r="I42" s="217"/>
      <x:c r="J42" s="217"/>
      <x:c r="K42" s="217"/>
      <x:c r="L42" s="218"/>
      <x:c r="U42" s="189">
        <x:v>1</x:v>
      </x:c>
    </x:row>
    <x:row r="43" spans="2:21">
      <x:c r="B43" s="219" t="s">
        <x:v>1094</x:v>
      </x:c>
      <x:c r="C43" s="219" t="s">
        <x:v>1946</x:v>
      </x:c>
      <x:c r="D43" s="219" t="s">
        <x:v>2074</x:v>
      </x:c>
      <x:c r="E43" s="219" t="s">
        <x:v>1527</x:v>
      </x:c>
      <x:c r="F43" s="219" t="s">
        <x:v>1092</x:v>
      </x:c>
      <x:c r="G43" s="219" t="s">
        <x:v>1093</x:v>
      </x:c>
      <x:c r="H43" s="219" t="s">
        <x:v>1095</x:v>
      </x:c>
      <x:c r="I43" s="219" t="s">
        <x:v>1948</x:v>
      </x:c>
      <x:c r="J43" s="219" t="s">
        <x:v>1091</x:v>
      </x:c>
      <x:c r="K43" s="219" t="s">
        <x:v>1530</x:v>
      </x:c>
      <x:c r="L43" s="37"/>
      <x:c r="U43" s="189">
        <x:v>1</x:v>
      </x:c>
    </x:row>
    <x:row r="44" spans="2:21" hidden="1" outlineLevel="1">
      <x:c r="B44" s="221" t="s">
        <x:v>2650</x:v>
      </x:c>
      <x:c r="C44" s="221" t="s">
        <x:v>2650</x:v>
      </x:c>
      <x:c r="D44" s="221" t="s">
        <x:v>2650</x:v>
      </x:c>
      <x:c r="E44" s="221" t="s">
        <x:v>2650</x:v>
      </x:c>
      <x:c r="F44" s="221" t="s">
        <x:v>2650</x:v>
      </x:c>
      <x:c r="G44" s="221" t="s">
        <x:v>2650</x:v>
      </x:c>
      <x:c r="H44" s="221" t="s">
        <x:v>2650</x:v>
      </x:c>
      <x:c r="I44" s="221" t="s">
        <x:v>2650</x:v>
      </x:c>
      <x:c r="J44" s="221" t="s">
        <x:v>2650</x:v>
      </x:c>
      <x:c r="K44" s="221" t="s">
        <x:v>2650</x:v>
      </x:c>
      <x:c r="U44" s="189"/>
    </x:row>
    <x:row r="45" spans="2:21" collapsed="1">
      <x:c r="B45" s="220" t="s">
        <x:v>1013</x:v>
      </x:c>
      <x:c r="C45" s="220" t="s">
        <x:v>1097</x:v>
      </x:c>
      <x:c r="D45" s="15">
        <x:v>267.14158800000001</x:v>
      </x:c>
      <x:c r="E45" s="223">
        <x:v>0.0029999999999999999</x:v>
      </x:c>
      <x:c r="F45" s="220" t="s">
        <x:v>818</x:v>
      </x:c>
      <x:c r="G45" s="248" t="s">
        <x:v>1107</x:v>
      </x:c>
      <x:c r="H45" s="220" t="s">
        <x:v>1949</x:v>
      </x:c>
      <x:c r="I45" s="220" t="s">
        <x:v>943</x:v>
      </x:c>
      <x:c r="J45" s="220" t="s">
        <x:v>943</x:v>
      </x:c>
      <x:c r="K45" s="220" t="s">
        <x:v>802</x:v>
      </x:c>
      <x:c r="U45" s="189">
        <x:f>IF(COUNT(B45:K45)&lt;&gt;0,1,"")</x:f>
        <x:v>1</x:v>
      </x:c>
    </x:row>
    <x:row r="46" spans="2:21">
      <x:c r="B46" s="220" t="s">
        <x:v>1427</x:v>
      </x:c>
      <x:c r="C46" s="220" t="s">
        <x:v>1097</x:v>
      </x:c>
      <x:c r="D46" s="15">
        <x:v>1345.8950200000002</x:v>
      </x:c>
      <x:c r="E46" s="223">
        <x:v>0.0029999999999999999</x:v>
      </x:c>
      <x:c r="F46" s="220" t="s">
        <x:v>818</x:v>
      </x:c>
      <x:c r="G46" s="248" t="s">
        <x:v>1105</x:v>
      </x:c>
      <x:c r="H46" s="220" t="s">
        <x:v>1949</x:v>
      </x:c>
      <x:c r="I46" s="220" t="s">
        <x:v>943</x:v>
      </x:c>
      <x:c r="J46" s="220" t="s">
        <x:v>943</x:v>
      </x:c>
      <x:c r="K46" s="220" t="s">
        <x:v>822</x:v>
      </x:c>
      <x:c r="U46" s="189">
        <x:f t="shared" ref="U46:U69" si="1">IF(COUNT(B46:K46)&lt;&gt;0,1,"")</x:f>
        <x:v>1</x:v>
      </x:c>
    </x:row>
    <x:row r="47" spans="2:21">
      <x:c r="B47" s="220" t="s">
        <x:v>2050</x:v>
      </x:c>
      <x:c r="C47" s="220" t="s">
        <x:v>1097</x:v>
      </x:c>
      <x:c r="D47" s="15">
        <x:v>1656</x:v>
      </x:c>
      <x:c r="E47" s="223">
        <x:v>0.0070000000000000007</x:v>
      </x:c>
      <x:c r="F47" s="220" t="s">
        <x:v>818</x:v>
      </x:c>
      <x:c r="G47" s="4" t="s">
        <x:v>1106</x:v>
      </x:c>
      <x:c r="H47" s="220" t="s">
        <x:v>1949</x:v>
      </x:c>
      <x:c r="I47" s="220" t="s">
        <x:v>943</x:v>
      </x:c>
      <x:c r="J47" s="220" t="s">
        <x:v>943</x:v>
      </x:c>
      <x:c r="K47" s="220" t="s">
        <x:v>822</x:v>
      </x:c>
      <x:c r="U47" s="189">
        <x:f t="shared" si="1"/>
        <x:v>1</x:v>
      </x:c>
    </x:row>
    <x:row r="48" spans="2:21">
      <x:c r="B48" s="220" t="s">
        <x:v>1432</x:v>
      </x:c>
      <x:c r="C48" s="220" t="s">
        <x:v>1097</x:v>
      </x:c>
      <x:c r="D48" s="15">
        <x:v>1035.303862</x:v>
      </x:c>
      <x:c r="E48" s="223">
        <x:v>0.0087500000000000011</x:v>
      </x:c>
      <x:c r="F48" s="220" t="s">
        <x:v>818</x:v>
      </x:c>
      <x:c r="G48" s="248" t="s">
        <x:v>1131</x:v>
      </x:c>
      <x:c r="H48" s="220" t="s">
        <x:v>1949</x:v>
      </x:c>
      <x:c r="I48" s="220" t="s">
        <x:v>943</x:v>
      </x:c>
      <x:c r="J48" s="220" t="s">
        <x:v>943</x:v>
      </x:c>
      <x:c r="K48" s="220" t="s">
        <x:v>822</x:v>
      </x:c>
      <x:c r="U48" s="189">
        <x:f t="shared" si="1"/>
        <x:v>1</x:v>
      </x:c>
    </x:row>
    <x:row r="49" spans="2:21">
      <x:c r="B49" s="220" t="s">
        <x:v>1433</x:v>
      </x:c>
      <x:c r="C49" s="220" t="s">
        <x:v>1097</x:v>
      </x:c>
      <x:c r="D49" s="15">
        <x:v>1035.303862</x:v>
      </x:c>
      <x:c r="E49" s="223">
        <x:v>0.0094999999999999996</x:v>
      </x:c>
      <x:c r="F49" s="220" t="s">
        <x:v>818</x:v>
      </x:c>
      <x:c r="G49" s="248" t="s">
        <x:v>1124</x:v>
      </x:c>
      <x:c r="H49" s="220" t="s">
        <x:v>1949</x:v>
      </x:c>
      <x:c r="I49" s="220" t="s">
        <x:v>943</x:v>
      </x:c>
      <x:c r="J49" s="220" t="s">
        <x:v>943</x:v>
      </x:c>
      <x:c r="K49" s="220" t="s">
        <x:v>822</x:v>
      </x:c>
      <x:c r="U49" s="189">
        <x:f t="shared" si="1"/>
        <x:v>1</x:v>
      </x:c>
    </x:row>
    <x:row r="50" spans="2:21">
      <x:c r="B50" s="220" t="s">
        <x:v>2055</x:v>
      </x:c>
      <x:c r="C50" s="220" t="s">
        <x:v>1097</x:v>
      </x:c>
      <x:c r="D50" s="15">
        <x:v>880</x:v>
      </x:c>
      <x:c r="E50" s="223">
        <x:v>0.012</x:v>
      </x:c>
      <x:c r="F50" s="220" t="s">
        <x:v>818</x:v>
      </x:c>
      <x:c r="G50" s="4" t="s">
        <x:v>1108</x:v>
      </x:c>
      <x:c r="H50" s="220" t="s">
        <x:v>1949</x:v>
      </x:c>
      <x:c r="I50" s="220" t="s">
        <x:v>943</x:v>
      </x:c>
      <x:c r="J50" s="220" t="s">
        <x:v>943</x:v>
      </x:c>
      <x:c r="K50" s="220" t="s">
        <x:v>822</x:v>
      </x:c>
      <x:c r="U50" s="189">
        <x:f t="shared" si="1"/>
        <x:v>1</x:v>
      </x:c>
    </x:row>
    <x:row r="51" spans="2:21">
      <x:c r="B51" s="220" t="s">
        <x:v>1428</x:v>
      </x:c>
      <x:c r="C51" s="220" t="s">
        <x:v>1097</x:v>
      </x:c>
      <x:c r="D51" s="15">
        <x:v>1035.303862</x:v>
      </x:c>
      <x:c r="E51" s="223">
        <x:v>0.0125</x:v>
      </x:c>
      <x:c r="F51" s="220" t="s">
        <x:v>818</x:v>
      </x:c>
      <x:c r="G51" s="248" t="s">
        <x:v>1111</x:v>
      </x:c>
      <x:c r="H51" s="220" t="s">
        <x:v>1949</x:v>
      </x:c>
      <x:c r="I51" s="220" t="s">
        <x:v>943</x:v>
      </x:c>
      <x:c r="J51" s="220" t="s">
        <x:v>943</x:v>
      </x:c>
      <x:c r="K51" s="220" t="s">
        <x:v>822</x:v>
      </x:c>
      <x:c r="U51" s="189">
        <x:f t="shared" si="1"/>
        <x:v>1</x:v>
      </x:c>
    </x:row>
    <x:row r="52" spans="2:21">
      <x:c r="B52" s="220" t="s">
        <x:v>2052</x:v>
      </x:c>
      <x:c r="C52" s="220" t="s">
        <x:v>1097</x:v>
      </x:c>
      <x:c r="D52" s="15">
        <x:v>1035</x:v>
      </x:c>
      <x:c r="E52" s="223">
        <x:v>0.013</x:v>
      </x:c>
      <x:c r="F52" s="220" t="s">
        <x:v>818</x:v>
      </x:c>
      <x:c r="G52" s="248" t="s">
        <x:v>1113</x:v>
      </x:c>
      <x:c r="H52" s="220" t="s">
        <x:v>1949</x:v>
      </x:c>
      <x:c r="I52" s="220" t="s">
        <x:v>943</x:v>
      </x:c>
      <x:c r="J52" s="220" t="s">
        <x:v>943</x:v>
      </x:c>
      <x:c r="K52" s="220" t="s">
        <x:v>822</x:v>
      </x:c>
      <x:c r="U52" s="189">
        <x:f t="shared" si="1"/>
        <x:v>1</x:v>
      </x:c>
    </x:row>
    <x:row r="53" spans="2:21">
      <x:c r="B53" s="220" t="s">
        <x:v>2064</x:v>
      </x:c>
      <x:c r="C53" s="220" t="s">
        <x:v>1097</x:v>
      </x:c>
      <x:c r="D53" s="15">
        <x:v>1035</x:v>
      </x:c>
      <x:c r="E53" s="223">
        <x:v>0.014999999999999999</x:v>
      </x:c>
      <x:c r="F53" s="220" t="s">
        <x:v>818</x:v>
      </x:c>
      <x:c r="G53" s="248" t="s">
        <x:v>1119</x:v>
      </x:c>
      <x:c r="H53" s="220" t="s">
        <x:v>1949</x:v>
      </x:c>
      <x:c r="I53" s="220" t="s">
        <x:v>943</x:v>
      </x:c>
      <x:c r="J53" s="220" t="s">
        <x:v>943</x:v>
      </x:c>
      <x:c r="K53" s="220" t="s">
        <x:v>822</x:v>
      </x:c>
      <x:c r="U53" s="189">
        <x:f t="shared" si="1"/>
        <x:v>1</x:v>
      </x:c>
    </x:row>
    <x:row r="54" spans="2:21">
      <x:c r="B54" s="220" t="s">
        <x:v>2065</x:v>
      </x:c>
      <x:c r="C54" s="220" t="s">
        <x:v>1097</x:v>
      </x:c>
      <x:c r="D54" s="15">
        <x:v>1035</x:v>
      </x:c>
      <x:c r="E54" s="223">
        <x:v>0.017000000000000001</x:v>
      </x:c>
      <x:c r="F54" s="220" t="s">
        <x:v>818</x:v>
      </x:c>
      <x:c r="G54" s="248" t="s">
        <x:v>1123</x:v>
      </x:c>
      <x:c r="H54" s="220" t="s">
        <x:v>1949</x:v>
      </x:c>
      <x:c r="I54" s="220" t="s">
        <x:v>943</x:v>
      </x:c>
      <x:c r="J54" s="220" t="s">
        <x:v>943</x:v>
      </x:c>
      <x:c r="K54" s="220" t="s">
        <x:v>822</x:v>
      </x:c>
      <x:c r="U54" s="189">
        <x:f t="shared" si="1"/>
        <x:v>1</x:v>
      </x:c>
    </x:row>
    <x:row r="55" spans="2:21">
      <x:c r="B55" s="220" t="s">
        <x:v>1429</x:v>
      </x:c>
      <x:c r="C55" s="220" t="s">
        <x:v>1097</x:v>
      </x:c>
      <x:c r="D55" s="15">
        <x:v>517.65193099999999</x:v>
      </x:c>
      <x:c r="E55" s="223">
        <x:v>0.017500000000000002</x:v>
      </x:c>
      <x:c r="F55" s="220" t="s">
        <x:v>818</x:v>
      </x:c>
      <x:c r="G55" s="248" t="s">
        <x:v>1122</x:v>
      </x:c>
      <x:c r="H55" s="220" t="s">
        <x:v>1949</x:v>
      </x:c>
      <x:c r="I55" s="220" t="s">
        <x:v>943</x:v>
      </x:c>
      <x:c r="J55" s="220" t="s">
        <x:v>943</x:v>
      </x:c>
      <x:c r="K55" s="220" t="s">
        <x:v>822</x:v>
      </x:c>
      <x:c r="U55" s="189">
        <x:f t="shared" si="1"/>
        <x:v>1</x:v>
      </x:c>
    </x:row>
    <x:row r="56" spans="2:21">
      <x:c r="B56" s="220" t="s">
        <x:v>1431</x:v>
      </x:c>
      <x:c r="C56" s="220" t="s">
        <x:v>1097</x:v>
      </x:c>
      <x:c r="D56" s="15">
        <x:v>1294.129827</x:v>
      </x:c>
      <x:c r="E56" s="223">
        <x:v>0.017500000000000002</x:v>
      </x:c>
      <x:c r="F56" s="220" t="s">
        <x:v>818</x:v>
      </x:c>
      <x:c r="G56" s="248" t="s">
        <x:v>1109</x:v>
      </x:c>
      <x:c r="H56" s="220" t="s">
        <x:v>1949</x:v>
      </x:c>
      <x:c r="I56" s="220" t="s">
        <x:v>943</x:v>
      </x:c>
      <x:c r="J56" s="220" t="s">
        <x:v>943</x:v>
      </x:c>
      <x:c r="K56" s="220" t="s">
        <x:v>822</x:v>
      </x:c>
      <x:c r="U56" s="189">
        <x:f t="shared" si="1"/>
        <x:v>1</x:v>
      </x:c>
    </x:row>
    <x:row r="57" spans="2:21">
      <x:c r="B57" s="220" t="s">
        <x:v>1434</x:v>
      </x:c>
      <x:c r="C57" s="220" t="s">
        <x:v>1097</x:v>
      </x:c>
      <x:c r="D57" s="15">
        <x:v>1035.303862</x:v>
      </x:c>
      <x:c r="E57" s="223">
        <x:v>0.028750000000000003</x:v>
      </x:c>
      <x:c r="F57" s="220" t="s">
        <x:v>818</x:v>
      </x:c>
      <x:c r="G57" s="248" t="s">
        <x:v>1127</x:v>
      </x:c>
      <x:c r="H57" s="220" t="s">
        <x:v>1949</x:v>
      </x:c>
      <x:c r="I57" s="220" t="s">
        <x:v>943</x:v>
      </x:c>
      <x:c r="J57" s="220" t="s">
        <x:v>943</x:v>
      </x:c>
      <x:c r="K57" s="220" t="s">
        <x:v>822</x:v>
      </x:c>
      <x:c r="U57" s="189">
        <x:f t="shared" si="1"/>
        <x:v>1</x:v>
      </x:c>
    </x:row>
    <x:row r="58" spans="2:21">
      <x:c r="B58" s="220" t="s">
        <x:v>2061</x:v>
      </x:c>
      <x:c r="C58" s="220" t="s">
        <x:v>1097</x:v>
      </x:c>
      <x:c r="D58" s="15">
        <x:v>650</x:v>
      </x:c>
      <x:c r="E58" s="223">
        <x:v>0.029000000000000004</x:v>
      </x:c>
      <x:c r="F58" s="220" t="s">
        <x:v>818</x:v>
      </x:c>
      <x:c r="G58" s="248" t="s">
        <x:v>1110</x:v>
      </x:c>
      <x:c r="H58" s="220" t="s">
        <x:v>1949</x:v>
      </x:c>
      <x:c r="I58" s="220" t="s">
        <x:v>943</x:v>
      </x:c>
      <x:c r="J58" s="220" t="s">
        <x:v>943</x:v>
      </x:c>
      <x:c r="K58" s="220" t="s">
        <x:v>819</x:v>
      </x:c>
      <x:c r="U58" s="189">
        <x:f t="shared" si="1"/>
        <x:v>1</x:v>
      </x:c>
    </x:row>
    <x:row r="59" spans="2:21">
      <x:c r="B59" s="220" t="s">
        <x:v>2056</x:v>
      </x:c>
      <x:c r="C59" s="220" t="s">
        <x:v>1097</x:v>
      </x:c>
      <x:c r="D59" s="15">
        <x:v>750</x:v>
      </x:c>
      <x:c r="E59" s="223">
        <x:v>0.029999999999999999</x:v>
      </x:c>
      <x:c r="F59" s="220" t="s">
        <x:v>818</x:v>
      </x:c>
      <x:c r="G59" s="248" t="s">
        <x:v>1114</x:v>
      </x:c>
      <x:c r="H59" s="220" t="s">
        <x:v>1949</x:v>
      </x:c>
      <x:c r="I59" s="220" t="s">
        <x:v>943</x:v>
      </x:c>
      <x:c r="J59" s="220" t="s">
        <x:v>943</x:v>
      </x:c>
      <x:c r="K59" s="220" t="s">
        <x:v>819</x:v>
      </x:c>
      <x:c r="U59" s="189">
        <x:f t="shared" si="1"/>
        <x:v>1</x:v>
      </x:c>
    </x:row>
    <x:row r="60" spans="2:21">
      <x:c r="B60" s="220" t="s">
        <x:v>2068</x:v>
      </x:c>
      <x:c r="C60" s="220" t="s">
        <x:v>1097</x:v>
      </x:c>
      <x:c r="D60" s="15">
        <x:v>1350</x:v>
      </x:c>
      <x:c r="E60" s="223">
        <x:v>0.032000000000000001</x:v>
      </x:c>
      <x:c r="F60" s="220" t="s">
        <x:v>818</x:v>
      </x:c>
      <x:c r="G60" s="248">
        <x:v>2030</x:v>
      </x:c>
      <x:c r="H60" s="220" t="s">
        <x:v>1949</x:v>
      </x:c>
      <x:c r="I60" s="220" t="s">
        <x:v>943</x:v>
      </x:c>
      <x:c r="J60" s="220" t="s">
        <x:v>943</x:v>
      </x:c>
      <x:c r="K60" s="220" t="s">
        <x:v>819</x:v>
      </x:c>
      <x:c r="U60" s="189">
        <x:f t="shared" si="1"/>
        <x:v>1</x:v>
      </x:c>
    </x:row>
    <x:row r="61" spans="2:21">
      <x:c r="B61" s="220" t="s">
        <x:v>996</x:v>
      </x:c>
      <x:c r="C61" s="220" t="s">
        <x:v>1097</x:v>
      </x:c>
      <x:c r="D61" s="15">
        <x:v>1035.303862</x:v>
      </x:c>
      <x:c r="E61" s="223">
        <x:v>0.033750000000000002</x:v>
      </x:c>
      <x:c r="F61" s="220" t="s">
        <x:v>818</x:v>
      </x:c>
      <x:c r="G61" s="248" t="s">
        <x:v>1120</x:v>
      </x:c>
      <x:c r="H61" s="220" t="s">
        <x:v>1949</x:v>
      </x:c>
      <x:c r="I61" s="220" t="s">
        <x:v>943</x:v>
      </x:c>
      <x:c r="J61" s="220" t="s">
        <x:v>943</x:v>
      </x:c>
      <x:c r="K61" s="220" t="s">
        <x:v>822</x:v>
      </x:c>
      <x:c r="U61" s="189">
        <x:f t="shared" si="1"/>
        <x:v>1</x:v>
      </x:c>
    </x:row>
    <x:row r="62" spans="2:21">
      <x:c r="B62" s="220" t="s">
        <x:v>2069</x:v>
      </x:c>
      <x:c r="C62" s="220" t="s">
        <x:v>1097</x:v>
      </x:c>
      <x:c r="D62" s="15">
        <x:v>3750</x:v>
      </x:c>
      <x:c r="E62" s="223">
        <x:v>0.035999999999999999</x:v>
      </x:c>
      <x:c r="F62" s="220" t="s">
        <x:v>818</x:v>
      </x:c>
      <x:c r="G62" s="248" t="s">
        <x:v>1118</x:v>
      </x:c>
      <x:c r="H62" s="220" t="s">
        <x:v>1949</x:v>
      </x:c>
      <x:c r="I62" s="220" t="s">
        <x:v>943</x:v>
      </x:c>
      <x:c r="J62" s="220" t="s">
        <x:v>943</x:v>
      </x:c>
      <x:c r="K62" s="220" t="s">
        <x:v>819</x:v>
      </x:c>
      <x:c r="U62" s="189">
        <x:f t="shared" si="1"/>
        <x:v>1</x:v>
      </x:c>
    </x:row>
    <x:row r="63" spans="2:21">
      <x:c r="B63" s="220" t="s">
        <x:v>997</x:v>
      </x:c>
      <x:c r="C63" s="220" t="s">
        <x:v>1097</x:v>
      </x:c>
      <x:c r="D63" s="15">
        <x:v>1294.129827</x:v>
      </x:c>
      <x:c r="E63" s="223">
        <x:v>0.036249999999999999</x:v>
      </x:c>
      <x:c r="F63" s="220" t="s">
        <x:v>818</x:v>
      </x:c>
      <x:c r="G63" s="248" t="s">
        <x:v>1115</x:v>
      </x:c>
      <x:c r="H63" s="220" t="s">
        <x:v>1949</x:v>
      </x:c>
      <x:c r="I63" s="220" t="s">
        <x:v>943</x:v>
      </x:c>
      <x:c r="J63" s="220" t="s">
        <x:v>943</x:v>
      </x:c>
      <x:c r="K63" s="220" t="s">
        <x:v>822</x:v>
      </x:c>
      <x:c r="U63" s="189">
        <x:f t="shared" si="1"/>
        <x:v>1</x:v>
      </x:c>
    </x:row>
    <x:row r="64" spans="2:21">
      <x:c r="B64" s="220" t="s">
        <x:v>2057</x:v>
      </x:c>
      <x:c r="C64" s="220" t="s">
        <x:v>1097</x:v>
      </x:c>
      <x:c r="D64" s="15">
        <x:v>5800</x:v>
      </x:c>
      <x:c r="E64" s="223">
        <x:v>0.037</x:v>
      </x:c>
      <x:c r="F64" s="220" t="s">
        <x:v>818</x:v>
      </x:c>
      <x:c r="G64" s="248">
        <x:v>2026</x:v>
      </x:c>
      <x:c r="H64" s="220" t="s">
        <x:v>1949</x:v>
      </x:c>
      <x:c r="I64" s="220" t="s">
        <x:v>943</x:v>
      </x:c>
      <x:c r="J64" s="220" t="s">
        <x:v>943</x:v>
      </x:c>
      <x:c r="K64" s="220" t="s">
        <x:v>819</x:v>
      </x:c>
      <x:c r="U64" s="189">
        <x:f t="shared" si="1"/>
        <x:v>1</x:v>
      </x:c>
    </x:row>
    <x:row r="65" spans="2:21">
      <x:c r="B65" s="220" t="s">
        <x:v>2058</x:v>
      </x:c>
      <x:c r="C65" s="220" t="s">
        <x:v>1097</x:v>
      </x:c>
      <x:c r="D65" s="15">
        <x:v>1035</x:v>
      </x:c>
      <x:c r="E65" s="223">
        <x:v>0.038</x:v>
      </x:c>
      <x:c r="F65" s="220" t="s">
        <x:v>818</x:v>
      </x:c>
      <x:c r="G65" s="248" t="s">
        <x:v>1116</x:v>
      </x:c>
      <x:c r="H65" s="220" t="s">
        <x:v>1949</x:v>
      </x:c>
      <x:c r="I65" s="220" t="s">
        <x:v>943</x:v>
      </x:c>
      <x:c r="J65" s="220" t="s">
        <x:v>943</x:v>
      </x:c>
      <x:c r="K65" s="220" t="s">
        <x:v>822</x:v>
      </x:c>
      <x:c r="U65" s="189">
        <x:f t="shared" si="1"/>
        <x:v>1</x:v>
      </x:c>
    </x:row>
    <x:row r="66" spans="2:21">
      <x:c r="B66" s="220" t="s">
        <x:v>2073</x:v>
      </x:c>
      <x:c r="C66" s="220" t="s">
        <x:v>1097</x:v>
      </x:c>
      <x:c r="D66" s="15">
        <x:v>1035</x:v>
      </x:c>
      <x:c r="E66" s="223">
        <x:v>0.040000000000000002</x:v>
      </x:c>
      <x:c r="F66" s="220" t="s">
        <x:v>818</x:v>
      </x:c>
      <x:c r="G66" s="248" t="s">
        <x:v>1125</x:v>
      </x:c>
      <x:c r="H66" s="220" t="s">
        <x:v>1949</x:v>
      </x:c>
      <x:c r="I66" s="220" t="s">
        <x:v>943</x:v>
      </x:c>
      <x:c r="J66" s="220" t="s">
        <x:v>943</x:v>
      </x:c>
      <x:c r="K66" s="220" t="s">
        <x:v>822</x:v>
      </x:c>
      <x:c r="U66" s="189">
        <x:f t="shared" si="1"/>
        <x:v>1</x:v>
      </x:c>
    </x:row>
    <x:row r="67" spans="2:21">
      <x:c r="B67" s="220" t="s">
        <x:v>2066</x:v>
      </x:c>
      <x:c r="C67" s="220" t="s">
        <x:v>1097</x:v>
      </x:c>
      <x:c r="D67" s="15">
        <x:v>1107</x:v>
      </x:c>
      <x:c r="E67" s="223">
        <x:v>0.040000000000000002</x:v>
      </x:c>
      <x:c r="F67" s="220" t="s">
        <x:v>818</x:v>
      </x:c>
      <x:c r="G67" s="4" t="s">
        <x:v>1129</x:v>
      </x:c>
      <x:c r="H67" s="220" t="s">
        <x:v>1949</x:v>
      </x:c>
      <x:c r="I67" s="220" t="s">
        <x:v>943</x:v>
      </x:c>
      <x:c r="J67" s="220" t="s">
        <x:v>943</x:v>
      </x:c>
      <x:c r="K67" s="220" t="s">
        <x:v>819</x:v>
      </x:c>
      <x:c r="U67" s="189">
        <x:f t="shared" si="1"/>
        <x:v>1</x:v>
      </x:c>
    </x:row>
    <x:row r="68" spans="2:21">
      <x:c r="B68" s="220" t="s">
        <x:v>2075</x:v>
      </x:c>
      <x:c r="C68" s="220" t="s">
        <x:v>1097</x:v>
      </x:c>
      <x:c r="D68" s="15">
        <x:v>1400</x:v>
      </x:c>
      <x:c r="E68" s="223">
        <x:v>0.042000000000000004</x:v>
      </x:c>
      <x:c r="F68" s="220" t="s">
        <x:v>818</x:v>
      </x:c>
      <x:c r="G68" s="4">
        <x:v>2052</x:v>
      </x:c>
      <x:c r="H68" s="220" t="s">
        <x:v>1949</x:v>
      </x:c>
      <x:c r="I68" s="220" t="s">
        <x:v>943</x:v>
      </x:c>
      <x:c r="J68" s="220" t="s">
        <x:v>943</x:v>
      </x:c>
      <x:c r="K68" s="220" t="s">
        <x:v>819</x:v>
      </x:c>
      <x:c r="U68" s="189">
        <x:f t="shared" si="1"/>
        <x:v>1</x:v>
      </x:c>
    </x:row>
    <x:row r="69" spans="2:21">
      <x:c r="B69" s="220" t="s">
        <x:v>2070</x:v>
      </x:c>
      <x:c r="C69" s="220" t="s">
        <x:v>1097</x:v>
      </x:c>
      <x:c r="D69" s="15">
        <x:v>3000</x:v>
      </x:c>
      <x:c r="E69" s="223">
        <x:v>0.042999999999999994</x:v>
      </x:c>
      <x:c r="F69" s="220" t="s">
        <x:v>818</x:v>
      </x:c>
      <x:c r="G69" s="248" t="s">
        <x:v>1130</x:v>
      </x:c>
      <x:c r="H69" s="220" t="s">
        <x:v>1949</x:v>
      </x:c>
      <x:c r="I69" s="220" t="s">
        <x:v>943</x:v>
      </x:c>
      <x:c r="J69" s="220" t="s">
        <x:v>943</x:v>
      </x:c>
      <x:c r="K69" s="220" t="s">
        <x:v>819</x:v>
      </x:c>
      <x:c r="U69" s="189">
        <x:f t="shared" si="1"/>
        <x:v>1</x:v>
      </x:c>
    </x:row>
    <x:row r="70" spans="21:21">
      <x:c r="U70" s="189">
        <x:v>1</x:v>
      </x:c>
    </x:row>
    <x:row r="71" spans="21:21">
      <x:c r="U71" s="189">
        <x:v>1</x:v>
      </x:c>
    </x:row>
    <x:row r="72" spans="2:21">
      <x:c r="B72" s="222" t="s">
        <x:v>2647</x:v>
      </x:c>
      <x:c r="C72" s="35"/>
      <x:c r="D72" s="35"/>
      <x:c r="E72" s="35"/>
      <x:c r="F72" s="35"/>
      <x:c r="G72" s="35"/>
      <x:c r="H72" s="35"/>
      <x:c r="I72" s="35"/>
      <x:c r="J72" s="35"/>
      <x:c r="K72" s="35"/>
      <x:c r="L72" s="35"/>
      <x:c r="U72" s="189">
        <x:v>1</x:v>
      </x:c>
    </x:row>
    <x:row r="73" spans="21:21">
      <x:c r="U73" s="189">
        <x:v>1</x:v>
      </x:c>
    </x:row>
    <x:row r="74" spans="2:21">
      <x:c r="B74" s="217"/>
      <x:c r="C74" s="217"/>
      <x:c r="D74" s="217"/>
      <x:c r="E74" s="217"/>
      <x:c r="F74" s="217"/>
      <x:c r="G74" s="217"/>
      <x:c r="H74" s="217"/>
      <x:c r="I74" s="217"/>
      <x:c r="J74" s="217"/>
      <x:c r="K74" s="217"/>
      <x:c r="L74" s="218"/>
      <x:c r="U74" s="189">
        <x:v>1</x:v>
      </x:c>
    </x:row>
    <x:row r="75" spans="2:21">
      <x:c r="B75" s="219" t="s">
        <x:v>1094</x:v>
      </x:c>
      <x:c r="C75" s="219" t="s">
        <x:v>1946</x:v>
      </x:c>
      <x:c r="D75" s="219" t="s">
        <x:v>2074</x:v>
      </x:c>
      <x:c r="E75" s="219" t="s">
        <x:v>1527</x:v>
      </x:c>
      <x:c r="F75" s="219" t="s">
        <x:v>1092</x:v>
      </x:c>
      <x:c r="G75" s="219" t="s">
        <x:v>1093</x:v>
      </x:c>
      <x:c r="H75" s="219" t="s">
        <x:v>1095</x:v>
      </x:c>
      <x:c r="I75" s="219" t="s">
        <x:v>1948</x:v>
      </x:c>
      <x:c r="J75" s="219" t="s">
        <x:v>1091</x:v>
      </x:c>
      <x:c r="K75" s="219" t="s">
        <x:v>1530</x:v>
      </x:c>
      <x:c r="L75" s="37"/>
      <x:c r="U75" s="189">
        <x:v>1</x:v>
      </x:c>
    </x:row>
    <x:row r="76" spans="2:21" hidden="1" outlineLevel="1">
      <x:c r="B76" s="221" t="s">
        <x:v>2650</x:v>
      </x:c>
      <x:c r="C76" s="221" t="s">
        <x:v>2650</x:v>
      </x:c>
      <x:c r="D76" s="221" t="s">
        <x:v>2650</x:v>
      </x:c>
      <x:c r="E76" s="221" t="s">
        <x:v>2650</x:v>
      </x:c>
      <x:c r="F76" s="221" t="s">
        <x:v>2650</x:v>
      </x:c>
      <x:c r="G76" s="221" t="s">
        <x:v>2650</x:v>
      </x:c>
      <x:c r="H76" s="221" t="s">
        <x:v>2650</x:v>
      </x:c>
      <x:c r="I76" s="221" t="s">
        <x:v>2650</x:v>
      </x:c>
      <x:c r="J76" s="221" t="s">
        <x:v>2650</x:v>
      </x:c>
      <x:c r="K76" s="221" t="s">
        <x:v>2650</x:v>
      </x:c>
      <x:c r="U76" s="189"/>
    </x:row>
    <x:row r="77" spans="2:21" collapsed="1">
      <x:c r="B77" s="220" t="s">
        <x:v>1013</x:v>
      </x:c>
      <x:c r="C77" s="220" t="s">
        <x:v>1097</x:v>
      </x:c>
      <x:c r="D77" s="15">
        <x:v>297.95262000000002</x:v>
      </x:c>
      <x:c r="E77" s="223">
        <x:v>0.0029999999999999999</x:v>
      </x:c>
      <x:c r="F77" s="220" t="s">
        <x:v>818</x:v>
      </x:c>
      <x:c r="G77" s="238" t="s">
        <x:v>1107</x:v>
      </x:c>
      <x:c r="H77" s="220" t="s">
        <x:v>1949</x:v>
      </x:c>
      <x:c r="I77" s="220" t="s">
        <x:v>943</x:v>
      </x:c>
      <x:c r="J77" s="220" t="s">
        <x:v>943</x:v>
      </x:c>
      <x:c r="K77" s="220" t="s">
        <x:v>802</x:v>
      </x:c>
      <x:c r="U77" s="189">
        <x:f>IF(COUNT(B77:K77)&lt;&gt;0,1,"")</x:f>
        <x:v>1</x:v>
      </x:c>
    </x:row>
    <x:row r="78" spans="2:21">
      <x:c r="B78" s="220" t="s">
        <x:v>1427</x:v>
      </x:c>
      <x:c r="C78" s="220" t="s">
        <x:v>1097</x:v>
      </x:c>
      <x:c r="D78" s="15">
        <x:v>1436.940421</x:v>
      </x:c>
      <x:c r="E78" s="223">
        <x:v>0.0029999999999999999</x:v>
      </x:c>
      <x:c r="F78" s="220" t="s">
        <x:v>818</x:v>
      </x:c>
      <x:c r="G78" s="220" t="s">
        <x:v>1105</x:v>
      </x:c>
      <x:c r="H78" s="220" t="s">
        <x:v>1949</x:v>
      </x:c>
      <x:c r="I78" s="220" t="s">
        <x:v>943</x:v>
      </x:c>
      <x:c r="J78" s="220" t="s">
        <x:v>943</x:v>
      </x:c>
      <x:c r="K78" s="220" t="s">
        <x:v>822</x:v>
      </x:c>
      <x:c r="U78" s="189">
        <x:f t="shared" ref="U78:U101" si="2">IF(COUNT(B78:K78)&lt;&gt;0,1,"")</x:f>
        <x:v>1</x:v>
      </x:c>
    </x:row>
    <x:row r="79" spans="2:21">
      <x:c r="B79" s="220" t="s">
        <x:v>2050</x:v>
      </x:c>
      <x:c r="C79" s="220" t="s">
        <x:v>1097</x:v>
      </x:c>
      <x:c r="D79" s="15">
        <x:v>1768</x:v>
      </x:c>
      <x:c r="E79" s="223">
        <x:v>0.0070000000000000007</x:v>
      </x:c>
      <x:c r="F79" s="220" t="s">
        <x:v>818</x:v>
      </x:c>
      <x:c r="G79" s="238" t="s">
        <x:v>1106</x:v>
      </x:c>
      <x:c r="H79" s="220" t="s">
        <x:v>1949</x:v>
      </x:c>
      <x:c r="I79" s="220" t="s">
        <x:v>943</x:v>
      </x:c>
      <x:c r="J79" s="220" t="s">
        <x:v>943</x:v>
      </x:c>
      <x:c r="K79" s="220" t="s">
        <x:v>822</x:v>
      </x:c>
      <x:c r="U79" s="189">
        <x:f t="shared" si="2"/>
        <x:v>1</x:v>
      </x:c>
    </x:row>
    <x:row r="80" spans="2:21">
      <x:c r="B80" s="220" t="s">
        <x:v>1432</x:v>
      </x:c>
      <x:c r="C80" s="220" t="s">
        <x:v>1097</x:v>
      </x:c>
      <x:c r="D80" s="15">
        <x:v>1105.338786</x:v>
      </x:c>
      <x:c r="E80" s="223">
        <x:v>0.0087500000000000011</x:v>
      </x:c>
      <x:c r="F80" s="220" t="s">
        <x:v>818</x:v>
      </x:c>
      <x:c r="G80" s="238" t="s">
        <x:v>1131</x:v>
      </x:c>
      <x:c r="H80" s="220" t="s">
        <x:v>1949</x:v>
      </x:c>
      <x:c r="I80" s="220" t="s">
        <x:v>943</x:v>
      </x:c>
      <x:c r="J80" s="220" t="s">
        <x:v>943</x:v>
      </x:c>
      <x:c r="K80" s="220" t="s">
        <x:v>822</x:v>
      </x:c>
      <x:c r="U80" s="189">
        <x:f t="shared" si="2"/>
        <x:v>1</x:v>
      </x:c>
    </x:row>
    <x:row r="81" spans="2:21">
      <x:c r="B81" s="220" t="s">
        <x:v>1433</x:v>
      </x:c>
      <x:c r="C81" s="220" t="s">
        <x:v>1097</x:v>
      </x:c>
      <x:c r="D81" s="15">
        <x:v>1105.338786</x:v>
      </x:c>
      <x:c r="E81" s="223">
        <x:v>0.0094999999999999996</x:v>
      </x:c>
      <x:c r="F81" s="220" t="s">
        <x:v>818</x:v>
      </x:c>
      <x:c r="G81" s="220" t="s">
        <x:v>1124</x:v>
      </x:c>
      <x:c r="H81" s="220" t="s">
        <x:v>1949</x:v>
      </x:c>
      <x:c r="I81" s="220" t="s">
        <x:v>943</x:v>
      </x:c>
      <x:c r="J81" s="220" t="s">
        <x:v>943</x:v>
      </x:c>
      <x:c r="K81" s="220" t="s">
        <x:v>822</x:v>
      </x:c>
      <x:c r="U81" s="189">
        <x:f t="shared" si="2"/>
        <x:v>1</x:v>
      </x:c>
    </x:row>
    <x:row r="82" spans="2:21">
      <x:c r="B82" s="220" t="s">
        <x:v>2055</x:v>
      </x:c>
      <x:c r="C82" s="220" t="s">
        <x:v>1097</x:v>
      </x:c>
      <x:c r="D82" s="15">
        <x:v>939</x:v>
      </x:c>
      <x:c r="E82" s="223">
        <x:v>0.012</x:v>
      </x:c>
      <x:c r="F82" s="220" t="s">
        <x:v>818</x:v>
      </x:c>
      <x:c r="G82" s="220" t="s">
        <x:v>1108</x:v>
      </x:c>
      <x:c r="H82" s="220" t="s">
        <x:v>1949</x:v>
      </x:c>
      <x:c r="I82" s="220" t="s">
        <x:v>943</x:v>
      </x:c>
      <x:c r="J82" s="220" t="s">
        <x:v>943</x:v>
      </x:c>
      <x:c r="K82" s="220" t="s">
        <x:v>822</x:v>
      </x:c>
      <x:c r="U82" s="189">
        <x:f t="shared" si="2"/>
        <x:v>1</x:v>
      </x:c>
    </x:row>
    <x:row r="83" spans="2:21">
      <x:c r="B83" s="220" t="s">
        <x:v>1428</x:v>
      </x:c>
      <x:c r="C83" s="220" t="s">
        <x:v>1097</x:v>
      </x:c>
      <x:c r="D83" s="15">
        <x:v>1105.338786</x:v>
      </x:c>
      <x:c r="E83" s="223">
        <x:v>0.0125</x:v>
      </x:c>
      <x:c r="F83" s="220" t="s">
        <x:v>818</x:v>
      </x:c>
      <x:c r="G83" s="220" t="s">
        <x:v>1111</x:v>
      </x:c>
      <x:c r="H83" s="220" t="s">
        <x:v>1949</x:v>
      </x:c>
      <x:c r="I83" s="220" t="s">
        <x:v>943</x:v>
      </x:c>
      <x:c r="J83" s="220" t="s">
        <x:v>943</x:v>
      </x:c>
      <x:c r="K83" s="220" t="s">
        <x:v>822</x:v>
      </x:c>
      <x:c r="U83" s="189">
        <x:f t="shared" si="2"/>
        <x:v>1</x:v>
      </x:c>
    </x:row>
    <x:row r="84" spans="2:21">
      <x:c r="B84" s="220" t="s">
        <x:v>2052</x:v>
      </x:c>
      <x:c r="C84" s="220" t="s">
        <x:v>1097</x:v>
      </x:c>
      <x:c r="D84" s="15">
        <x:v>1105</x:v>
      </x:c>
      <x:c r="E84" s="223">
        <x:v>0.013</x:v>
      </x:c>
      <x:c r="F84" s="220" t="s">
        <x:v>818</x:v>
      </x:c>
      <x:c r="G84" s="238" t="s">
        <x:v>1113</x:v>
      </x:c>
      <x:c r="H84" s="220" t="s">
        <x:v>1949</x:v>
      </x:c>
      <x:c r="I84" s="220" t="s">
        <x:v>943</x:v>
      </x:c>
      <x:c r="J84" s="220" t="s">
        <x:v>943</x:v>
      </x:c>
      <x:c r="K84" s="220" t="s">
        <x:v>822</x:v>
      </x:c>
      <x:c r="U84" s="189">
        <x:f t="shared" si="2"/>
        <x:v>1</x:v>
      </x:c>
    </x:row>
    <x:row r="85" spans="2:21">
      <x:c r="B85" s="220" t="s">
        <x:v>2064</x:v>
      </x:c>
      <x:c r="C85" s="220" t="s">
        <x:v>1097</x:v>
      </x:c>
      <x:c r="D85" s="15">
        <x:v>1105</x:v>
      </x:c>
      <x:c r="E85" s="223">
        <x:v>0.014999999999999999</x:v>
      </x:c>
      <x:c r="F85" s="220" t="s">
        <x:v>818</x:v>
      </x:c>
      <x:c r="G85" s="220" t="s">
        <x:v>1119</x:v>
      </x:c>
      <x:c r="H85" s="220" t="s">
        <x:v>1949</x:v>
      </x:c>
      <x:c r="I85" s="220" t="s">
        <x:v>943</x:v>
      </x:c>
      <x:c r="J85" s="220" t="s">
        <x:v>943</x:v>
      </x:c>
      <x:c r="K85" s="220" t="s">
        <x:v>822</x:v>
      </x:c>
      <x:c r="U85" s="189">
        <x:f t="shared" si="2"/>
        <x:v>1</x:v>
      </x:c>
    </x:row>
    <x:row r="86" spans="2:21">
      <x:c r="B86" s="220" t="s">
        <x:v>2065</x:v>
      </x:c>
      <x:c r="C86" s="220" t="s">
        <x:v>1097</x:v>
      </x:c>
      <x:c r="D86" s="15">
        <x:v>1105</x:v>
      </x:c>
      <x:c r="E86" s="223">
        <x:v>0.017000000000000001</x:v>
      </x:c>
      <x:c r="F86" s="220" t="s">
        <x:v>818</x:v>
      </x:c>
      <x:c r="G86" s="220" t="s">
        <x:v>1123</x:v>
      </x:c>
      <x:c r="H86" s="220" t="s">
        <x:v>1949</x:v>
      </x:c>
      <x:c r="I86" s="220" t="s">
        <x:v>943</x:v>
      </x:c>
      <x:c r="J86" s="220" t="s">
        <x:v>943</x:v>
      </x:c>
      <x:c r="K86" s="220" t="s">
        <x:v>822</x:v>
      </x:c>
      <x:c r="U86" s="189">
        <x:f t="shared" si="2"/>
        <x:v>1</x:v>
      </x:c>
    </x:row>
    <x:row r="87" spans="2:21">
      <x:c r="B87" s="220" t="s">
        <x:v>1429</x:v>
      </x:c>
      <x:c r="C87" s="220" t="s">
        <x:v>1097</x:v>
      </x:c>
      <x:c r="D87" s="15">
        <x:v>552.66939300000001</x:v>
      </x:c>
      <x:c r="E87" s="223">
        <x:v>0.017500000000000002</x:v>
      </x:c>
      <x:c r="F87" s="220" t="s">
        <x:v>818</x:v>
      </x:c>
      <x:c r="G87" s="220" t="s">
        <x:v>1122</x:v>
      </x:c>
      <x:c r="H87" s="220" t="s">
        <x:v>1949</x:v>
      </x:c>
      <x:c r="I87" s="220" t="s">
        <x:v>943</x:v>
      </x:c>
      <x:c r="J87" s="220" t="s">
        <x:v>943</x:v>
      </x:c>
      <x:c r="K87" s="220" t="s">
        <x:v>822</x:v>
      </x:c>
      <x:c r="U87" s="189">
        <x:f t="shared" si="2"/>
        <x:v>1</x:v>
      </x:c>
    </x:row>
    <x:row r="88" spans="2:21">
      <x:c r="B88" s="220" t="s">
        <x:v>1431</x:v>
      </x:c>
      <x:c r="C88" s="220" t="s">
        <x:v>1097</x:v>
      </x:c>
      <x:c r="D88" s="15">
        <x:v>1381.6734820000001</x:v>
      </x:c>
      <x:c r="E88" s="223">
        <x:v>0.017500000000000002</x:v>
      </x:c>
      <x:c r="F88" s="220" t="s">
        <x:v>818</x:v>
      </x:c>
      <x:c r="G88" s="238" t="s">
        <x:v>1109</x:v>
      </x:c>
      <x:c r="H88" s="220" t="s">
        <x:v>1949</x:v>
      </x:c>
      <x:c r="I88" s="220" t="s">
        <x:v>943</x:v>
      </x:c>
      <x:c r="J88" s="220" t="s">
        <x:v>943</x:v>
      </x:c>
      <x:c r="K88" s="220" t="s">
        <x:v>822</x:v>
      </x:c>
      <x:c r="U88" s="189">
        <x:f t="shared" si="2"/>
        <x:v>1</x:v>
      </x:c>
    </x:row>
    <x:row r="89" spans="2:21">
      <x:c r="B89" s="220" t="s">
        <x:v>1434</x:v>
      </x:c>
      <x:c r="C89" s="220" t="s">
        <x:v>1097</x:v>
      </x:c>
      <x:c r="D89" s="15">
        <x:v>1105.338786</x:v>
      </x:c>
      <x:c r="E89" s="223">
        <x:v>0.028750000000000003</x:v>
      </x:c>
      <x:c r="F89" s="220" t="s">
        <x:v>818</x:v>
      </x:c>
      <x:c r="G89" s="238" t="s">
        <x:v>1127</x:v>
      </x:c>
      <x:c r="H89" s="220" t="s">
        <x:v>1949</x:v>
      </x:c>
      <x:c r="I89" s="220" t="s">
        <x:v>943</x:v>
      </x:c>
      <x:c r="J89" s="220" t="s">
        <x:v>943</x:v>
      </x:c>
      <x:c r="K89" s="220" t="s">
        <x:v>822</x:v>
      </x:c>
      <x:c r="U89" s="189">
        <x:f t="shared" si="2"/>
        <x:v>1</x:v>
      </x:c>
    </x:row>
    <x:row r="90" spans="2:21">
      <x:c r="B90" s="220" t="s">
        <x:v>2061</x:v>
      </x:c>
      <x:c r="C90" s="220" t="s">
        <x:v>1097</x:v>
      </x:c>
      <x:c r="D90" s="15">
        <x:v>650</x:v>
      </x:c>
      <x:c r="E90" s="223">
        <x:v>0.029000000000000004</x:v>
      </x:c>
      <x:c r="F90" s="220" t="s">
        <x:v>818</x:v>
      </x:c>
      <x:c r="G90" s="238" t="s">
        <x:v>1110</x:v>
      </x:c>
      <x:c r="H90" s="220" t="s">
        <x:v>1949</x:v>
      </x:c>
      <x:c r="I90" s="220" t="s">
        <x:v>943</x:v>
      </x:c>
      <x:c r="J90" s="220" t="s">
        <x:v>943</x:v>
      </x:c>
      <x:c r="K90" s="220" t="s">
        <x:v>819</x:v>
      </x:c>
      <x:c r="U90" s="189">
        <x:f t="shared" si="2"/>
        <x:v>1</x:v>
      </x:c>
    </x:row>
    <x:row r="91" spans="2:21">
      <x:c r="B91" s="220" t="s">
        <x:v>2056</x:v>
      </x:c>
      <x:c r="C91" s="220" t="s">
        <x:v>1097</x:v>
      </x:c>
      <x:c r="D91" s="15">
        <x:v>750</x:v>
      </x:c>
      <x:c r="E91" s="223">
        <x:v>0.029999999999999999</x:v>
      </x:c>
      <x:c r="F91" s="220" t="s">
        <x:v>818</x:v>
      </x:c>
      <x:c r="G91" s="220" t="s">
        <x:v>1114</x:v>
      </x:c>
      <x:c r="H91" s="220" t="s">
        <x:v>1949</x:v>
      </x:c>
      <x:c r="I91" s="220" t="s">
        <x:v>943</x:v>
      </x:c>
      <x:c r="J91" s="220" t="s">
        <x:v>943</x:v>
      </x:c>
      <x:c r="K91" s="220" t="s">
        <x:v>819</x:v>
      </x:c>
      <x:c r="U91" s="189">
        <x:f t="shared" si="2"/>
        <x:v>1</x:v>
      </x:c>
    </x:row>
    <x:row r="92" spans="2:21">
      <x:c r="B92" s="220" t="s">
        <x:v>2068</x:v>
      </x:c>
      <x:c r="C92" s="220" t="s">
        <x:v>1097</x:v>
      </x:c>
      <x:c r="D92" s="15">
        <x:v>1350</x:v>
      </x:c>
      <x:c r="E92" s="223">
        <x:v>0.032000000000000001</x:v>
      </x:c>
      <x:c r="F92" s="220" t="s">
        <x:v>818</x:v>
      </x:c>
      <x:c r="G92" s="238">
        <x:v>2030</x:v>
      </x:c>
      <x:c r="H92" s="220" t="s">
        <x:v>1949</x:v>
      </x:c>
      <x:c r="I92" s="220" t="s">
        <x:v>943</x:v>
      </x:c>
      <x:c r="J92" s="220" t="s">
        <x:v>943</x:v>
      </x:c>
      <x:c r="K92" s="220" t="s">
        <x:v>819</x:v>
      </x:c>
      <x:c r="U92" s="189">
        <x:f t="shared" si="2"/>
        <x:v>1</x:v>
      </x:c>
    </x:row>
    <x:row r="93" spans="2:21">
      <x:c r="B93" s="220" t="s">
        <x:v>996</x:v>
      </x:c>
      <x:c r="C93" s="220" t="s">
        <x:v>1097</x:v>
      </x:c>
      <x:c r="D93" s="15">
        <x:v>1105.338786</x:v>
      </x:c>
      <x:c r="E93" s="223">
        <x:v>0.033750000000000002</x:v>
      </x:c>
      <x:c r="F93" s="220" t="s">
        <x:v>818</x:v>
      </x:c>
      <x:c r="G93" s="238" t="s">
        <x:v>1120</x:v>
      </x:c>
      <x:c r="H93" s="220" t="s">
        <x:v>1949</x:v>
      </x:c>
      <x:c r="I93" s="220" t="s">
        <x:v>943</x:v>
      </x:c>
      <x:c r="J93" s="220" t="s">
        <x:v>943</x:v>
      </x:c>
      <x:c r="K93" s="220" t="s">
        <x:v>822</x:v>
      </x:c>
      <x:c r="U93" s="189">
        <x:f t="shared" si="2"/>
        <x:v>1</x:v>
      </x:c>
    </x:row>
    <x:row r="94" spans="2:21">
      <x:c r="B94" s="220" t="s">
        <x:v>2069</x:v>
      </x:c>
      <x:c r="C94" s="220" t="s">
        <x:v>1097</x:v>
      </x:c>
      <x:c r="D94" s="15">
        <x:v>3250</x:v>
      </x:c>
      <x:c r="E94" s="223">
        <x:v>0.035999999999999999</x:v>
      </x:c>
      <x:c r="F94" s="220" t="s">
        <x:v>818</x:v>
      </x:c>
      <x:c r="G94" s="238" t="s">
        <x:v>1118</x:v>
      </x:c>
      <x:c r="H94" s="220" t="s">
        <x:v>1949</x:v>
      </x:c>
      <x:c r="I94" s="220" t="s">
        <x:v>943</x:v>
      </x:c>
      <x:c r="J94" s="220" t="s">
        <x:v>943</x:v>
      </x:c>
      <x:c r="K94" s="220" t="s">
        <x:v>819</x:v>
      </x:c>
      <x:c r="U94" s="189">
        <x:f t="shared" si="2"/>
        <x:v>1</x:v>
      </x:c>
    </x:row>
    <x:row r="95" spans="2:21">
      <x:c r="B95" s="220" t="s">
        <x:v>997</x:v>
      </x:c>
      <x:c r="C95" s="220" t="s">
        <x:v>1097</x:v>
      </x:c>
      <x:c r="D95" s="15">
        <x:v>1381.6734820000001</x:v>
      </x:c>
      <x:c r="E95" s="223">
        <x:v>0.036249999999999999</x:v>
      </x:c>
      <x:c r="F95" s="220" t="s">
        <x:v>818</x:v>
      </x:c>
      <x:c r="G95" s="220" t="s">
        <x:v>1115</x:v>
      </x:c>
      <x:c r="H95" s="220" t="s">
        <x:v>1949</x:v>
      </x:c>
      <x:c r="I95" s="220" t="s">
        <x:v>943</x:v>
      </x:c>
      <x:c r="J95" s="220" t="s">
        <x:v>943</x:v>
      </x:c>
      <x:c r="K95" s="220" t="s">
        <x:v>822</x:v>
      </x:c>
      <x:c r="U95" s="189">
        <x:f t="shared" si="2"/>
        <x:v>1</x:v>
      </x:c>
    </x:row>
    <x:row r="96" spans="2:21">
      <x:c r="B96" s="220" t="s">
        <x:v>2057</x:v>
      </x:c>
      <x:c r="C96" s="220" t="s">
        <x:v>1097</x:v>
      </x:c>
      <x:c r="D96" s="15">
        <x:v>5201</x:v>
      </x:c>
      <x:c r="E96" s="223">
        <x:v>0.037</x:v>
      </x:c>
      <x:c r="F96" s="220" t="s">
        <x:v>818</x:v>
      </x:c>
      <x:c r="G96" s="220">
        <x:v>2026</x:v>
      </x:c>
      <x:c r="H96" s="220" t="s">
        <x:v>1949</x:v>
      </x:c>
      <x:c r="I96" s="220" t="s">
        <x:v>943</x:v>
      </x:c>
      <x:c r="J96" s="220" t="s">
        <x:v>943</x:v>
      </x:c>
      <x:c r="K96" s="220" t="s">
        <x:v>819</x:v>
      </x:c>
      <x:c r="U96" s="189">
        <x:f t="shared" si="2"/>
        <x:v>1</x:v>
      </x:c>
    </x:row>
    <x:row r="97" spans="2:21">
      <x:c r="B97" s="220" t="s">
        <x:v>2058</x:v>
      </x:c>
      <x:c r="C97" s="220" t="s">
        <x:v>1097</x:v>
      </x:c>
      <x:c r="D97" s="15">
        <x:v>1105</x:v>
      </x:c>
      <x:c r="E97" s="223">
        <x:v>0.038</x:v>
      </x:c>
      <x:c r="F97" s="220" t="s">
        <x:v>818</x:v>
      </x:c>
      <x:c r="G97" s="220" t="s">
        <x:v>1116</x:v>
      </x:c>
      <x:c r="H97" s="220" t="s">
        <x:v>1949</x:v>
      </x:c>
      <x:c r="I97" s="220" t="s">
        <x:v>943</x:v>
      </x:c>
      <x:c r="J97" s="220" t="s">
        <x:v>943</x:v>
      </x:c>
      <x:c r="K97" s="220" t="s">
        <x:v>822</x:v>
      </x:c>
      <x:c r="U97" s="189">
        <x:f t="shared" si="2"/>
        <x:v>1</x:v>
      </x:c>
    </x:row>
    <x:row r="98" spans="2:21">
      <x:c r="B98" s="220" t="s">
        <x:v>2073</x:v>
      </x:c>
      <x:c r="C98" s="220" t="s">
        <x:v>1097</x:v>
      </x:c>
      <x:c r="D98" s="15">
        <x:v>1105</x:v>
      </x:c>
      <x:c r="E98" s="223">
        <x:v>0.040000000000000002</x:v>
      </x:c>
      <x:c r="F98" s="220" t="s">
        <x:v>818</x:v>
      </x:c>
      <x:c r="G98" s="238" t="s">
        <x:v>1125</x:v>
      </x:c>
      <x:c r="H98" s="220" t="s">
        <x:v>1949</x:v>
      </x:c>
      <x:c r="I98" s="220" t="s">
        <x:v>943</x:v>
      </x:c>
      <x:c r="J98" s="220" t="s">
        <x:v>943</x:v>
      </x:c>
      <x:c r="K98" s="220" t="s">
        <x:v>822</x:v>
      </x:c>
      <x:c r="U98" s="189">
        <x:f t="shared" si="2"/>
        <x:v>1</x:v>
      </x:c>
    </x:row>
    <x:row r="99" spans="2:21">
      <x:c r="B99" s="220" t="s">
        <x:v>2066</x:v>
      </x:c>
      <x:c r="C99" s="220" t="s">
        <x:v>1097</x:v>
      </x:c>
      <x:c r="D99" s="15">
        <x:v>1107</x:v>
      </x:c>
      <x:c r="E99" s="223">
        <x:v>0.040000000000000002</x:v>
      </x:c>
      <x:c r="F99" s="220" t="s">
        <x:v>818</x:v>
      </x:c>
      <x:c r="G99" s="238" t="s">
        <x:v>1129</x:v>
      </x:c>
      <x:c r="H99" s="220" t="s">
        <x:v>1949</x:v>
      </x:c>
      <x:c r="I99" s="220" t="s">
        <x:v>943</x:v>
      </x:c>
      <x:c r="J99" s="220" t="s">
        <x:v>943</x:v>
      </x:c>
      <x:c r="K99" s="220" t="s">
        <x:v>819</x:v>
      </x:c>
      <x:c r="U99" s="189">
        <x:f t="shared" si="2"/>
        <x:v>1</x:v>
      </x:c>
    </x:row>
    <x:row r="100" spans="2:21">
      <x:c r="B100" s="220" t="s">
        <x:v>2075</x:v>
      </x:c>
      <x:c r="C100" s="220" t="s">
        <x:v>1097</x:v>
      </x:c>
      <x:c r="D100" s="15">
        <x:v>1400</x:v>
      </x:c>
      <x:c r="E100" s="223">
        <x:v>0.042000000000000004</x:v>
      </x:c>
      <x:c r="F100" s="220" t="s">
        <x:v>818</x:v>
      </x:c>
      <x:c r="G100" s="220">
        <x:v>2052</x:v>
      </x:c>
      <x:c r="H100" s="220" t="s">
        <x:v>1949</x:v>
      </x:c>
      <x:c r="I100" s="220" t="s">
        <x:v>943</x:v>
      </x:c>
      <x:c r="J100" s="220" t="s">
        <x:v>943</x:v>
      </x:c>
      <x:c r="K100" s="220" t="s">
        <x:v>819</x:v>
      </x:c>
      <x:c r="U100" s="189">
        <x:f t="shared" si="2"/>
        <x:v>1</x:v>
      </x:c>
    </x:row>
    <x:row r="101" spans="2:21">
      <x:c r="B101" s="220" t="s">
        <x:v>2070</x:v>
      </x:c>
      <x:c r="C101" s="220" t="s">
        <x:v>1097</x:v>
      </x:c>
      <x:c r="D101" s="15">
        <x:v>3000</x:v>
      </x:c>
      <x:c r="E101" s="223">
        <x:v>0.042999999999999994</x:v>
      </x:c>
      <x:c r="F101" s="220" t="s">
        <x:v>818</x:v>
      </x:c>
      <x:c r="G101" s="238" t="s">
        <x:v>1130</x:v>
      </x:c>
      <x:c r="H101" s="220" t="s">
        <x:v>1949</x:v>
      </x:c>
      <x:c r="I101" s="220" t="s">
        <x:v>943</x:v>
      </x:c>
      <x:c r="J101" s="220" t="s">
        <x:v>943</x:v>
      </x:c>
      <x:c r="K101" s="220" t="s">
        <x:v>819</x:v>
      </x:c>
      <x:c r="U101" s="189">
        <x:f t="shared" si="2"/>
        <x:v>1</x:v>
      </x:c>
    </x:row>
  </x:sheetData>
  <x:pageMargins left="0.69999998807907104" right="0.69999998807907104" top="0.75" bottom="0.75" header="0.30000001192092896" footer="0.30000001192092896"/>
  <x:pageSetup paperSize="1" scale="52" firstPageNumber="1" fitToWidth="1" fitToHeight="1" orientation="portrait" usePrinterDefaults="1" blackAndWhite="0" draft="0" useFirstPageNumber="0" horizontalDpi="90" verticalDpi="90" copies="1"/>
  <x:legacyDrawing r:id="rId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P159"/>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48" style="3" customWidth="1"/>
    <x:col min="3" max="3" width="46.33203125" style="3" hidden="1" customWidth="1" outlineLevel="1"/>
    <x:col min="4" max="4" width="16" style="1" customWidth="1" collapsed="1"/>
    <x:col min="5" max="11" width="13.5" style="1" customWidth="1"/>
    <x:col min="16" max="16" width="9.33203125" style="1" hidden="1" customWidth="1" outlineLevel="1"/>
    <x:col min="17" max="17" width="9.33203125" style="1" collapsed="1"/>
  </x:cols>
  <x:sheetData>
    <x:row r="1" spans="16:16">
      <x:c r="P1" s="1">
        <x:f>COLUMN()</x:f>
        <x:v>16</x:v>
      </x:c>
    </x:row>
    <x:row r="2" spans="2:2">
      <x:c r="B2" s="1" t="s">
        <x:v>112</x:v>
      </x:c>
    </x:row>
    <x:row r="3" spans="1:10">
      <x:c r="A3" s="46"/>
      <x:c r="B3" s="84"/>
      <x:c r="C3" s="84"/>
      <x:c r="D3" s="46"/>
      <x:c r="E3" s="46"/>
      <x:c r="F3" s="48"/>
      <x:c r="G3" s="46"/>
      <x:c r="H3" s="46"/>
      <x:c r="I3" s="46"/>
      <x:c r="J3" s="46"/>
    </x:row>
    <x:row r="4" spans="1:10" ht="16.5">
      <x:c r="A4" s="46"/>
      <x:c r="B4" s="49" t="str">
        <x:f>D12</x:f>
        <x:v>International Business Machines Corporation</x:v>
      </x:c>
      <x:c r="C4" s="90"/>
      <x:c r="D4" s="52"/>
      <x:c r="E4" s="52"/>
      <x:c r="F4" s="52"/>
      <x:c r="G4" s="52"/>
      <x:c r="H4" s="52"/>
      <x:c r="I4" s="104"/>
      <x:c r="J4" s="104" t="s">
        <x:v>1558</x:v>
      </x:c>
    </x:row>
    <x:row r="5" spans="1:10" customHeight="1">
      <x:c r="A5" s="46"/>
      <x:c r="B5" s="255"/>
      <x:c r="C5" s="256"/>
      <x:c r="D5" s="257"/>
      <x:c r="E5" s="257"/>
      <x:c r="F5" s="257"/>
      <x:c r="G5" s="257"/>
      <x:c r="H5" s="257"/>
      <x:c r="I5" s="259"/>
      <x:c r="J5" s="259"/>
    </x:row>
    <x:row r="6" spans="1:10">
      <x:c r="A6" s="46"/>
      <x:c r="B6" s="53"/>
      <x:c r="C6" s="53"/>
      <x:c r="D6" s="250" t="str">
        <x:f>Key_Stats!$T$11</x:f>
        <x:v>Fiscal Year Ended,</x:v>
      </x:c>
      <x:c r="E6" s="250"/>
      <x:c r="F6" s="250"/>
      <x:c r="G6" s="250"/>
      <x:c r="H6" s="250"/>
      <x:c r="I6" s="250"/>
      <x:c r="J6" s="258" t="s">
        <x:v>811</x:v>
      </x:c>
    </x:row>
    <x:row r="7" spans="1:10" hidden="1" outlineLevel="1">
      <x:c r="A7" s="46"/>
      <x:c r="B7" s="55"/>
      <x:c r="C7" s="56" t="s">
        <x:v>1435</x:v>
      </x:c>
      <x:c r="D7" s="58" t="str">
        <x:f>Key_Stats!$F$9</x:f>
        <x:v>NYSE:IBM</x:v>
      </x:c>
      <x:c r="E7" s="58" t="str">
        <x:f>Key_Stats!$F$9</x:f>
        <x:v>NYSE:IBM</x:v>
      </x:c>
      <x:c r="F7" s="58" t="str">
        <x:f>Key_Stats!$F$9</x:f>
        <x:v>NYSE:IBM</x:v>
      </x:c>
      <x:c r="G7" s="58" t="str">
        <x:f>Key_Stats!$F$9</x:f>
        <x:v>NYSE:IBM</x:v>
      </x:c>
      <x:c r="H7" s="58" t="str">
        <x:f>Key_Stats!$F$9</x:f>
        <x:v>NYSE:IBM</x:v>
      </x:c>
      <x:c r="I7" s="58" t="str">
        <x:f>Key_Stats!$F$9</x:f>
        <x:v>NYSE:IBM</x:v>
      </x:c>
      <x:c r="J7" s="58" t="str">
        <x:f>Key_Stats!$F$9</x:f>
        <x:v>NYSE:IBM</x:v>
      </x:c>
    </x:row>
    <x:row r="8" spans="1:10" hidden="1" outlineLevel="1">
      <x:c r="A8" s="46"/>
      <x:c r="B8" s="55"/>
      <x:c r="C8" s="56"/>
      <x:c r="D8" s="58" t="str">
        <x:f t="shared" ref="D8:F8" si="0">LEFT(E8,LEN(E8)-1)&amp;RIGHT(E8,1)+1</x:f>
        <x:v>FY-5</x:v>
      </x:c>
      <x:c r="E8" s="58" t="str">
        <x:f t="shared" si="0"/>
        <x:v>FY-4</x:v>
      </x:c>
      <x:c r="F8" s="58" t="str">
        <x:f t="shared" si="0"/>
        <x:v>FY-3</x:v>
      </x:c>
      <x:c r="G8" s="58" t="str">
        <x:f>LEFT(H8,LEN(H8)-1)&amp;RIGHT(H8,1)+1</x:f>
        <x:v>FY-2</x:v>
      </x:c>
      <x:c r="H8" s="58" t="str">
        <x:f>VLOOKUP(Key_Stats!$F$11,FormatTable,2,FALSE)</x:f>
        <x:v>FY-1</x:v>
      </x:c>
      <x:c r="I8" s="58" t="str">
        <x:f>Key_Stats!$F$11</x:f>
        <x:v>FY0</x:v>
      </x:c>
      <x:c r="J8" s="58" t="s">
        <x:v>811</x:v>
      </x:c>
    </x:row>
    <x:row r="9" spans="1:10" hidden="1" outlineLevel="1">
      <x:c r="A9" s="46"/>
      <x:c r="B9" s="55"/>
      <x:c r="C9" s="56"/>
      <x:c r="D9" s="181">
        <x:f>IF(Key_Stats!$F$15="","",Key_Stats!$F$15)</x:f>
        <x:v>46059</x:v>
      </x:c>
      <x:c r="E9" s="181">
        <x:f>IF(Key_Stats!$F$15="","",Key_Stats!$F$15)</x:f>
        <x:v>46059</x:v>
      </x:c>
      <x:c r="F9" s="181">
        <x:f>IF(Key_Stats!$F$15="","",Key_Stats!$F$15)</x:f>
        <x:v>46059</x:v>
      </x:c>
      <x:c r="G9" s="181">
        <x:f>IF(Key_Stats!$F$15="","",Key_Stats!$F$15)</x:f>
        <x:v>46059</x:v>
      </x:c>
      <x:c r="H9" s="181">
        <x:f>IF(Key_Stats!$F$15="","",Key_Stats!$F$15)</x:f>
        <x:v>46059</x:v>
      </x:c>
      <x:c r="I9" s="181">
        <x:f>IF(Key_Stats!$F$15="","",Key_Stats!$F$15)</x:f>
        <x:v>46059</x:v>
      </x:c>
      <x:c r="J9" s="181">
        <x:f>IF(Key_Stats!$F$15="","",Key_Stats!$F$15)</x:f>
        <x:v>46059</x:v>
      </x:c>
    </x:row>
    <x:row r="10" spans="1:10" hidden="1" outlineLevel="1">
      <x:c r="A10" s="46"/>
      <x:c r="B10" s="55"/>
      <x:c r="C10" s="91"/>
      <x:c r="D10" s="46"/>
      <x:c r="E10" s="46"/>
      <x:c r="F10" s="46"/>
      <x:c r="G10" s="46"/>
      <x:c r="H10" s="46"/>
      <x:c r="I10" s="46"/>
      <x:c r="J10" s="46"/>
    </x:row>
    <x:row r="11" spans="1:10" hidden="1" outlineLevel="1">
      <x:c r="A11" s="46"/>
      <x:c r="B11" s="55"/>
      <x:c r="C11" s="91"/>
      <x:c r="D11" s="46"/>
      <x:c r="E11" s="46"/>
      <x:c r="F11" s="46"/>
      <x:c r="G11" s="46"/>
      <x:c r="H11" s="46"/>
      <x:c r="I11" s="46"/>
      <x:c r="J11" s="46"/>
    </x:row>
    <x:row r="12" spans="1:10" hidden="1" outlineLevel="1">
      <x:c r="A12" s="46"/>
      <x:c r="B12" s="55"/>
      <x:c r="C12" s="60" t="s">
        <x:v>2049</x:v>
      </x:c>
      <x:c r="D12" s="224" t="s">
        <x:v>1006</x:v>
      </x:c>
      <x:c r="E12" s="224" t="s">
        <x:v>1006</x:v>
      </x:c>
      <x:c r="F12" s="224" t="s">
        <x:v>1006</x:v>
      </x:c>
      <x:c r="G12" s="224" t="s">
        <x:v>1006</x:v>
      </x:c>
      <x:c r="H12" s="224" t="s">
        <x:v>1006</x:v>
      </x:c>
      <x:c r="I12" s="224" t="s">
        <x:v>1006</x:v>
      </x:c>
      <x:c r="J12" s="224" t="s">
        <x:v>1006</x:v>
      </x:c>
    </x:row>
    <x:row r="13" spans="1:10" hidden="1" outlineLevel="1">
      <x:c r="A13" s="46"/>
      <x:c r="B13" s="55"/>
      <x:c r="C13" s="60" t="s">
        <x:v>1533</x:v>
      </x:c>
      <x:c r="D13" s="224" t="s">
        <x:v>1102</x:v>
      </x:c>
      <x:c r="E13" s="224" t="s">
        <x:v>1102</x:v>
      </x:c>
      <x:c r="F13" s="224" t="s">
        <x:v>1102</x:v>
      </x:c>
      <x:c r="G13" s="224" t="s">
        <x:v>1102</x:v>
      </x:c>
      <x:c r="H13" s="224" t="s">
        <x:v>1102</x:v>
      </x:c>
      <x:c r="I13" s="224" t="s">
        <x:v>1102</x:v>
      </x:c>
      <x:c r="J13" s="224" t="s">
        <x:v>1102</x:v>
      </x:c>
    </x:row>
    <x:row r="14" spans="1:10" customHeight="1" collapsed="1">
      <x:c r="A14" s="46"/>
      <x:c r="B14" s="88" t="s">
        <x:v>2079</x:v>
      </x:c>
      <x:c r="C14" s="60" t="s">
        <x:v>2085</x:v>
      </x:c>
      <x:c r="D14" s="144">
        <x:v>44196</x:v>
      </x:c>
      <x:c r="E14" s="144">
        <x:v>44561</x:v>
      </x:c>
      <x:c r="F14" s="144">
        <x:v>44926</x:v>
      </x:c>
      <x:c r="G14" s="144">
        <x:v>45291</x:v>
      </x:c>
      <x:c r="H14" s="144">
        <x:v>45657</x:v>
      </x:c>
      <x:c r="I14" s="144">
        <x:v>46022</x:v>
      </x:c>
      <x:c r="J14" s="144">
        <x:v>46022</x:v>
      </x:c>
    </x:row>
    <x:row r="15" spans="3:16">
      <x:c r="C15" s="60"/>
      <x:c r="D15" s="22"/>
      <x:c r="E15" s="22"/>
      <x:c r="F15" s="22"/>
      <x:c r="G15" s="22"/>
      <x:c r="H15" s="22"/>
      <x:c r="I15" s="22"/>
      <x:c r="J15" s="22"/>
      <x:c r="P15" s="1" t="s">
        <x:v>1544</x:v>
      </x:c>
    </x:row>
    <x:row r="16" spans="2:10">
      <x:c r="B16" s="88" t="s">
        <x:v>1981</x:v>
      </x:c>
      <x:c r="C16" s="60"/>
      <x:c r="D16" s="22"/>
      <x:c r="E16" s="22"/>
      <x:c r="F16" s="22"/>
      <x:c r="G16" s="22"/>
      <x:c r="H16" s="22"/>
      <x:c r="I16" s="22"/>
      <x:c r="J16" s="22"/>
    </x:row>
    <x:row r="17" spans="2:16">
      <x:c r="B17" s="3" t="s">
        <x:v>2575</x:v>
      </x:c>
      <x:c r="C17" s="60" t="s">
        <x:v>1926</x:v>
      </x:c>
      <x:c r="D17" s="44">
        <x:v>1.891</x:v>
      </x:c>
      <x:c r="E17" s="44">
        <x:v>2.423</x:v>
      </x:c>
      <x:c r="F17" s="44">
        <x:v>3.6259999999999999</x:v>
      </x:c>
      <x:c r="G17" s="44">
        <x:v>4.7160000000000002</x:v>
      </x:c>
      <x:c r="H17" s="44">
        <x:v>4.4909999999999997</x:v>
      </x:c>
      <x:c r="I17" s="44">
        <x:v>5.0839999999999996</x:v>
      </x:c>
      <x:c r="J17" s="44">
        <x:v>5.0839999999999996</x:v>
      </x:c>
      <x:c r="P17" s="189">
        <x:f>IF(COUNT(D17:J17)&lt;&gt;0,1,"")</x:f>
        <x:v>1</x:v>
      </x:c>
    </x:row>
    <x:row r="18" spans="2:16">
      <x:c r="B18" s="3" t="s">
        <x:v>2568</x:v>
      </x:c>
      <x:c r="C18" s="60" t="s">
        <x:v>1905</x:v>
      </x:c>
      <x:c r="D18" s="44">
        <x:v>3.331</x:v>
      </x:c>
      <x:c r="E18" s="44">
        <x:v>4.3630000000000004</x:v>
      </x:c>
      <x:c r="F18" s="44">
        <x:v>6.2599999999999998</x:v>
      </x:c>
      <x:c r="G18" s="44">
        <x:v>7.806</x:v>
      </x:c>
      <x:c r="H18" s="44">
        <x:v>7.2679999999999998</x:v>
      </x:c>
      <x:c r="I18" s="44">
        <x:v>8.0250000000000004</x:v>
      </x:c>
      <x:c r="J18" s="44">
        <x:v>8.0250000000000004</x:v>
      </x:c>
      <x:c r="P18" s="189">
        <x:f>IF(COUNT(D18:J18)&lt;&gt;0,1,"")</x:f>
        <x:v>1</x:v>
      </x:c>
    </x:row>
    <x:row r="19" spans="2:16">
      <x:c r="B19" s="3" t="s">
        <x:v>2576</x:v>
      </x:c>
      <x:c r="C19" s="60" t="s">
        <x:v>1928</x:v>
      </x:c>
      <x:c r="D19" s="44">
        <x:v>18.853999999999999</x:v>
      </x:c>
      <x:c r="E19" s="44">
        <x:v>23.73</x:v>
      </x:c>
      <x:c r="F19" s="44">
        <x:v>8.6890000000000001</x:v>
      </x:c>
      <x:c r="G19" s="44">
        <x:v>33.668999999999997</x:v>
      </x:c>
      <x:c r="H19" s="44">
        <x:v>24.056999999999999</x:v>
      </x:c>
      <x:c r="I19" s="44">
        <x:v>35.158000000000001</x:v>
      </x:c>
      <x:c r="J19" s="44">
        <x:v>35.158000000000001</x:v>
      </x:c>
      <x:c r="P19" s="189">
        <x:f>IF(COUNT(D19:J19)&lt;&gt;0,1,"")</x:f>
        <x:v>1</x:v>
      </x:c>
    </x:row>
    <x:row r="20" spans="2:16">
      <x:c r="B20" s="3" t="s">
        <x:v>1669</x:v>
      </x:c>
      <x:c r="C20" s="60" t="s">
        <x:v>1931</x:v>
      </x:c>
      <x:c r="D20" s="44">
        <x:v>18.978000000000002</x:v>
      </x:c>
      <x:c r="E20" s="44">
        <x:v>23.864000000000001</x:v>
      </x:c>
      <x:c r="F20" s="44">
        <x:v>8.7260000000000009</x:v>
      </x:c>
      <x:c r="G20" s="44">
        <x:v>33.787999999999997</x:v>
      </x:c>
      <x:c r="H20" s="44">
        <x:v>24.137</x:v>
      </x:c>
      <x:c r="I20" s="44">
        <x:v>35.262999999999998</x:v>
      </x:c>
      <x:c r="J20" s="44">
        <x:v>35.262999999999998</x:v>
      </x:c>
      <x:c r="P20" s="189">
        <x:f>IF(COUNT(D20:J20)&lt;&gt;0,1,"")</x:f>
        <x:v>1</x:v>
      </x:c>
    </x:row>
    <x:row r="21" spans="3:16">
      <x:c r="C21" s="60"/>
      <x:c r="D21" s="22"/>
      <x:c r="E21" s="22"/>
      <x:c r="F21" s="22"/>
      <x:c r="G21" s="22"/>
      <x:c r="H21" s="22"/>
      <x:c r="I21" s="22"/>
      <x:c r="J21" s="22"/>
      <x:c r="P21" s="188">
        <x:v>1</x:v>
      </x:c>
    </x:row>
    <x:row r="22" spans="2:16">
      <x:c r="B22" s="88" t="s">
        <x:v>1976</x:v>
      </x:c>
      <x:c r="C22" s="60"/>
      <x:c r="D22" s="22"/>
      <x:c r="E22" s="22"/>
      <x:c r="F22" s="22"/>
      <x:c r="G22" s="22"/>
      <x:c r="H22" s="22"/>
      <x:c r="I22" s="22"/>
      <x:c r="J22" s="22"/>
      <x:c r="P22" s="188">
        <x:v>1</x:v>
      </x:c>
    </x:row>
    <x:row r="23" spans="2:16">
      <x:c r="B23" s="3" t="s">
        <x:v>2561</x:v>
      </x:c>
      <x:c r="C23" s="60" t="s">
        <x:v>1954</x:v>
      </x:c>
      <x:c r="D23" s="44">
        <x:v>55.936</x:v>
      </x:c>
      <x:c r="E23" s="44">
        <x:v>54.901000000000003</x:v>
      </x:c>
      <x:c r="F23" s="44">
        <x:v>54.003</x:v>
      </x:c>
      <x:c r="G23" s="44">
        <x:v>55.448</x:v>
      </x:c>
      <x:c r="H23" s="44">
        <x:v>56.654000000000003</x:v>
      </x:c>
      <x:c r="I23" s="44">
        <x:v>58.188000000000002</x:v>
      </x:c>
      <x:c r="J23" s="44">
        <x:v>58.188000000000002</x:v>
      </x:c>
      <x:c r="P23" s="189">
        <x:f t="shared" ref="P23:P34" si="1">IF(COUNT(D23:J23)&lt;&gt;0,1,"")</x:f>
        <x:v>1</x:v>
      </x:c>
    </x:row>
    <x:row r="24" spans="2:16">
      <x:c r="B24" s="3" t="s">
        <x:v>1961</x:v>
      </x:c>
      <x:c r="C24" s="60" t="s">
        <x:v>1967</x:v>
      </x:c>
      <x:c r="D24" s="44">
        <x:v>37.262</x:v>
      </x:c>
      <x:c r="E24" s="44">
        <x:v>34.920000000000002</x:v>
      </x:c>
      <x:c r="F24" s="44">
        <x:v>31.824000000000002</x:v>
      </x:c>
      <x:c r="G24" s="44">
        <x:v>29.876999999999999</x:v>
      </x:c>
      <x:c r="H24" s="44">
        <x:v>30.725000000000001</x:v>
      </x:c>
      <x:c r="I24" s="44">
        <x:v>29.893000000000001</x:v>
      </x:c>
      <x:c r="J24" s="44">
        <x:v>29.893000000000001</x:v>
      </x:c>
      <x:c r="P24" s="189">
        <x:f t="shared" si="1"/>
        <x:v>1</x:v>
      </x:c>
    </x:row>
    <x:row r="25" spans="2:16">
      <x:c r="B25" s="3" t="s">
        <x:v>1297</x:v>
      </x:c>
      <x:c r="C25" s="60" t="s">
        <x:v>1310</x:v>
      </x:c>
      <x:c r="D25" s="44">
        <x:v>20.582000000000001</x:v>
      </x:c>
      <x:c r="E25" s="44">
        <x:v>19.719000000000001</x:v>
      </x:c>
      <x:c r="F25" s="44">
        <x:v>17.800999999999998</x:v>
      </x:c>
      <x:c r="G25" s="44">
        <x:v>20.593</x:v>
      </x:c>
      <x:c r="H25" s="44">
        <x:v>20.533999999999999</x:v>
      </x:c>
      <x:c r="I25" s="44">
        <x:v>24.843</x:v>
      </x:c>
      <x:c r="J25" s="44">
        <x:v>24.843</x:v>
      </x:c>
      <x:c r="P25" s="189">
        <x:f t="shared" si="1"/>
        <x:v>1</x:v>
      </x:c>
    </x:row>
    <x:row r="26" spans="2:16">
      <x:c r="B26" s="3" t="s">
        <x:v>1312</x:v>
      </x:c>
      <x:c r="C26" s="60" t="s">
        <x:v>1960</x:v>
      </x:c>
      <x:c r="D26" s="44">
        <x:v>12.922000000000001</x:v>
      </x:c>
      <x:c r="E26" s="44">
        <x:v>12.94</x:v>
      </x:c>
      <x:c r="F26" s="44">
        <x:v>15.311</x:v>
      </x:c>
      <x:c r="G26" s="44">
        <x:v>18.638999999999999</x:v>
      </x:c>
      <x:c r="H26" s="44">
        <x:v>18.513999999999999</x:v>
      </x:c>
      <x:c r="I26" s="44">
        <x:v>17.408999999999999</x:v>
      </x:c>
      <x:c r="J26" s="44">
        <x:v>17.408999999999999</x:v>
      </x:c>
      <x:c r="P26" s="189">
        <x:f t="shared" si="1"/>
        <x:v>1</x:v>
      </x:c>
    </x:row>
    <x:row r="27" spans="2:16">
      <x:c r="B27" s="3" t="s">
        <x:v>1963</x:v>
      </x:c>
      <x:c r="C27" s="60" t="s">
        <x:v>1968</x:v>
      </x:c>
      <x:c r="D27" s="44">
        <x:v>8.4489999999999998</x:v>
      </x:c>
      <x:c r="E27" s="44">
        <x:v>9.7349999999999994</x:v>
      </x:c>
      <x:c r="F27" s="44">
        <x:v>12.425000000000001</x:v>
      </x:c>
      <x:c r="G27" s="44">
        <x:v>16.009</x:v>
      </x:c>
      <x:c r="H27" s="44">
        <x:v>15.598000000000001</x:v>
      </x:c>
      <x:c r="I27" s="44">
        <x:v>17.408999999999999</x:v>
      </x:c>
      <x:c r="J27" s="44">
        <x:v>17.408999999999999</x:v>
      </x:c>
      <x:c r="P27" s="189">
        <x:f t="shared" si="1"/>
        <x:v>1</x:v>
      </x:c>
    </x:row>
    <x:row r="28" spans="2:16">
      <x:c r="B28" s="3" t="s">
        <x:v>680</x:v>
      </x:c>
      <x:c r="C28" s="60" t="s">
        <x:v>2571</x:v>
      </x:c>
      <x:c r="D28" s="44">
        <x:v>7.1260000000000003</x:v>
      </x:c>
      <x:c r="E28" s="44">
        <x:v>8.218</x:v>
      </x:c>
      <x:c r="F28" s="44">
        <x:v>2.944</x:v>
      </x:c>
      <x:c r="G28" s="44">
        <x:v>12.147</x:v>
      </x:c>
      <x:c r="H28" s="44">
        <x:v>9.5850000000000009</x:v>
      </x:c>
      <x:c r="I28" s="44">
        <x:v>15.653</x:v>
      </x:c>
      <x:c r="J28" s="44">
        <x:v>15.653</x:v>
      </x:c>
      <x:c r="P28" s="189">
        <x:f t="shared" si="1"/>
        <x:v>1</x:v>
      </x:c>
    </x:row>
    <x:row r="29" spans="2:16">
      <x:c r="B29" s="3" t="s">
        <x:v>2579</x:v>
      </x:c>
      <x:c r="C29" s="60" t="s">
        <x:v>1977</x:v>
      </x:c>
      <x:c r="D29" s="44">
        <x:v>10.131</x:v>
      </x:c>
      <x:c r="E29" s="44">
        <x:v>10.013999999999999</x:v>
      </x:c>
      <x:c r="F29" s="44">
        <x:v>2.7080000000000002</x:v>
      </x:c>
      <x:c r="G29" s="44">
        <x:v>12.127000000000001</x:v>
      </x:c>
      <x:c r="H29" s="44">
        <x:v>9.5980000000000008</x:v>
      </x:c>
      <x:c r="I29" s="44">
        <x:v>15.685</x:v>
      </x:c>
      <x:c r="J29" s="44">
        <x:v>15.685</x:v>
      </x:c>
      <x:c r="P29" s="189">
        <x:f t="shared" si="1"/>
        <x:v>1</x:v>
      </x:c>
    </x:row>
    <x:row r="30" spans="2:16">
      <x:c r="B30" s="3" t="s">
        <x:v>267</x:v>
      </x:c>
      <x:c r="C30" s="60" t="s">
        <x:v>2570</x:v>
      </x:c>
      <x:c r="D30" s="44">
        <x:v>7.1260000000000003</x:v>
      </x:c>
      <x:c r="E30" s="44">
        <x:v>8.218</x:v>
      </x:c>
      <x:c r="F30" s="44">
        <x:v>2.944</x:v>
      </x:c>
      <x:c r="G30" s="44">
        <x:v>12.147</x:v>
      </x:c>
      <x:c r="H30" s="44">
        <x:v>9.5850000000000009</x:v>
      </x:c>
      <x:c r="I30" s="44">
        <x:v>15.653</x:v>
      </x:c>
      <x:c r="J30" s="44">
        <x:v>15.653</x:v>
      </x:c>
      <x:c r="P30" s="189">
        <x:f t="shared" si="1"/>
        <x:v>1</x:v>
      </x:c>
    </x:row>
    <x:row r="31" spans="2:16">
      <x:c r="B31" s="3" t="s">
        <x:v>683</x:v>
      </x:c>
      <x:c r="C31" s="60" t="s">
        <x:v>1313</x:v>
      </x:c>
      <x:c r="D31" s="44">
        <x:v>2.9129999999999998</x:v>
      </x:c>
      <x:c r="E31" s="44">
        <x:v>5.1260000000000003</x:v>
      </x:c>
      <x:c r="F31" s="44">
        <x:v>7.2999999999999998</x:v>
      </x:c>
      <x:c r="G31" s="44">
        <x:v>9.1709999999999994</x:v>
      </x:c>
      <x:c r="H31" s="44">
        <x:v>9.0670000000000002</x:v>
      </x:c>
      <x:c r="I31" s="44">
        <x:v>9.5589999999999993</x:v>
      </x:c>
      <x:c r="J31" s="44">
        <x:v>9.5589999999999993</x:v>
      </x:c>
      <x:c r="P31" s="189">
        <x:f t="shared" si="1"/>
        <x:v>1</x:v>
      </x:c>
    </x:row>
    <x:row r="32" spans="2:16">
      <x:c r="B32" s="3" t="s">
        <x:v>690</x:v>
      </x:c>
      <x:c r="C32" s="60" t="s">
        <x:v>1983</x:v>
      </x:c>
      <x:c r="D32" s="44">
        <x:v>26.966000000000001</x:v>
      </x:c>
      <x:c r="E32" s="44">
        <x:v>8.0670000000000002</x:v>
      </x:c>
      <x:c r="F32" s="44">
        <x:v>15.993</x:v>
      </x:c>
      <x:c r="G32" s="44">
        <x:v>17.495999999999999</x:v>
      </x:c>
      <x:c r="H32" s="44">
        <x:v>14.861000000000001</x:v>
      </x:c>
      <x:c r="I32" s="44">
        <x:v>18.91</x:v>
      </x:c>
      <x:c r="J32" s="44">
        <x:v>18.91</x:v>
      </x:c>
      <x:c r="P32" s="189">
        <x:f t="shared" si="1"/>
        <x:v>1</x:v>
      </x:c>
    </x:row>
    <x:row r="33" spans="2:16">
      <x:c r="B33" s="3" t="s">
        <x:v>674</x:v>
      </x:c>
      <x:c r="C33" s="60" t="s">
        <x:v>1979</x:v>
      </x:c>
      <x:c r="D33" s="44">
        <x:v>28.425000000000001</x:v>
      </x:c>
      <x:c r="E33" s="44">
        <x:v>9.3260000000000005</x:v>
      </x:c>
      <x:c r="F33" s="44">
        <x:v>17.248999999999999</x:v>
      </x:c>
      <x:c r="G33" s="44">
        <x:v>19.120000000000001</x:v>
      </x:c>
      <x:c r="H33" s="44">
        <x:v>16.565999999999999</x:v>
      </x:c>
      <x:c r="I33" s="44">
        <x:v>20.701000000000001</x:v>
      </x:c>
      <x:c r="J33" s="44">
        <x:v>20.701000000000001</x:v>
      </x:c>
      <x:c r="P33" s="189">
        <x:f t="shared" si="1"/>
        <x:v>1</x:v>
      </x:c>
    </x:row>
    <x:row r="34" spans="2:16">
      <x:c r="B34" s="3" t="s">
        <x:v>1033</x:v>
      </x:c>
      <x:c r="C34" s="60" t="s">
        <x:v>1311</x:v>
      </x:c>
      <x:c r="D34" s="44">
        <x:v>4.7450000000000001</x:v>
      </x:c>
      <x:c r="E34" s="44">
        <x:v>3.5950000000000002</x:v>
      </x:c>
      <x:c r="F34" s="44">
        <x:v>2.2240000000000002</x:v>
      </x:c>
      <x:c r="G34" s="44">
        <x:v>2.0129999999999999</x:v>
      </x:c>
      <x:c r="H34" s="44">
        <x:v>1.6699999999999999</x:v>
      </x:c>
      <x:c r="I34" s="44">
        <x:v>2.3940000000000001</x:v>
      </x:c>
      <x:c r="J34" s="44">
        <x:v>2.3940000000000001</x:v>
      </x:c>
      <x:c r="P34" s="189">
        <x:f t="shared" si="1"/>
        <x:v>1</x:v>
      </x:c>
    </x:row>
    <x:row r="35" spans="3:16">
      <x:c r="C35" s="60"/>
      <x:c r="D35" s="225"/>
      <x:c r="E35" s="225"/>
      <x:c r="F35" s="225"/>
      <x:c r="G35" s="225"/>
      <x:c r="H35" s="225"/>
      <x:c r="I35" s="225"/>
      <x:c r="J35" s="225"/>
      <x:c r="P35" s="188">
        <x:v>1</x:v>
      </x:c>
    </x:row>
    <x:row r="36" spans="2:16">
      <x:c r="B36" s="88" t="s">
        <x:v>1978</x:v>
      </x:c>
      <x:c r="C36" s="60" t="s">
        <x:v>798</x:v>
      </x:c>
      <x:c r="D36" s="225"/>
      <x:c r="E36" s="225"/>
      <x:c r="F36" s="225"/>
      <x:c r="G36" s="225"/>
      <x:c r="H36" s="225"/>
      <x:c r="I36" s="225"/>
      <x:c r="J36" s="225"/>
      <x:c r="P36" s="188">
        <x:v>1</x:v>
      </x:c>
    </x:row>
    <x:row r="37" spans="2:16">
      <x:c r="B37" s="84" t="s">
        <x:v>1674</x:v>
      </x:c>
      <x:c r="C37" s="60" t="s">
        <x:v>1971</x:v>
      </x:c>
      <x:c r="D37" s="44">
        <x:v>0.35799999999999998</x:v>
      </x:c>
      <x:c r="E37" s="44">
        <x:v>0.39800000000000002</x:v>
      </x:c>
      <x:c r="F37" s="44">
        <x:v>0.46700000000000003</x:v>
      </x:c>
      <x:c r="G37" s="44">
        <x:v>0.47099999999999997</x:v>
      </x:c>
      <x:c r="H37" s="44">
        <x:v>0.46100000000000002</x:v>
      </x:c>
      <x:c r="I37" s="44">
        <x:v>0.46700000000000003</x:v>
      </x:c>
      <x:c r="J37" s="44">
        <x:v>0.46700000000000003</x:v>
      </x:c>
      <x:c r="P37" s="189">
        <x:f>IF(COUNT(D37:J37)&lt;&gt;0,1,"")</x:f>
        <x:v>1</x:v>
      </x:c>
    </x:row>
    <x:row r="38" spans="2:16">
      <x:c r="B38" s="84" t="s">
        <x:v>1680</x:v>
      </x:c>
      <x:c r="C38" s="60" t="s">
        <x:v>2565</x:v>
      </x:c>
      <x:c r="D38" s="44">
        <x:v>4.4539999999999997</x:v>
      </x:c>
      <x:c r="E38" s="44">
        <x:v>6.1379999999999999</x:v>
      </x:c>
      <x:c r="F38" s="44">
        <x:v>7.0679999999999996</x:v>
      </x:c>
      <x:c r="G38" s="44">
        <x:v>7.306</x:v>
      </x:c>
      <x:c r="H38" s="44">
        <x:v>7.1109999999999998</x:v>
      </x:c>
      <x:c r="I38" s="44">
        <x:v>7.5220000000000002</x:v>
      </x:c>
      <x:c r="J38" s="44">
        <x:v>7.5220000000000002</x:v>
      </x:c>
      <x:c r="P38" s="189">
        <x:f>IF(COUNT(D38:J38)&lt;&gt;0,1,"")</x:f>
        <x:v>1</x:v>
      </x:c>
    </x:row>
    <x:row r="39" spans="2:16">
      <x:c r="B39" s="84" t="s">
        <x:v>681</x:v>
      </x:c>
      <x:c r="C39" s="60" t="s">
        <x:v>1149</x:v>
      </x:c>
      <x:c r="D39" s="44">
        <x:v>7.4359999999999999</x:v>
      </x:c>
      <x:c r="E39" s="44">
        <x:v>8.4179999999999993</x:v>
      </x:c>
      <x:c r="F39" s="44">
        <x:v>8.4160000000000004</x:v>
      </x:c>
      <x:c r="G39" s="44">
        <x:v>8.3019999999999996</x:v>
      </x:c>
      <x:c r="H39" s="44">
        <x:v>8.2970000000000006</x:v>
      </x:c>
      <x:c r="I39" s="44">
        <x:v>8.6959999999999997</x:v>
      </x:c>
      <x:c r="J39" s="44">
        <x:v>8.6959999999999997</x:v>
      </x:c>
      <x:c r="P39" s="189">
        <x:f>IF(COUNT(D39:J39)&lt;&gt;0,1,"")</x:f>
        <x:v>1</x:v>
      </x:c>
    </x:row>
    <x:row r="40" spans="2:16">
      <x:c r="B40" s="84" t="s">
        <x:v>2577</x:v>
      </x:c>
      <x:c r="C40" s="60" t="s">
        <x:v>1305</x:v>
      </x:c>
      <x:c r="D40" s="44">
        <x:v>13.837</x:v>
      </x:c>
      <x:c r="E40" s="44">
        <x:v>14.638</x:v>
      </x:c>
      <x:c r="F40" s="44">
        <x:v>17.141999999999999</x:v>
      </x:c>
      <x:c r="G40" s="44">
        <x:v>20.035</x:v>
      </x:c>
      <x:c r="H40" s="44">
        <x:v>21.904</x:v>
      </x:c>
      <x:c r="I40" s="44">
        <x:v>22.509</x:v>
      </x:c>
      <x:c r="J40" s="44">
        <x:v>22.509</x:v>
      </x:c>
      <x:c r="P40" s="189">
        <x:f>IF(COUNT(D40:J40)&lt;&gt;0,1,"")</x:f>
        <x:v>1</x:v>
      </x:c>
    </x:row>
    <x:row r="41" spans="2:16">
      <x:c r="B41" s="115"/>
      <x:c r="C41" s="60" t="s">
        <x:v>798</x:v>
      </x:c>
      <x:c r="D41" s="225"/>
      <x:c r="E41" s="225"/>
      <x:c r="F41" s="225"/>
      <x:c r="G41" s="225"/>
      <x:c r="H41" s="225"/>
      <x:c r="I41" s="225"/>
      <x:c r="J41" s="225"/>
      <x:c r="P41" s="188">
        <x:v>1</x:v>
      </x:c>
    </x:row>
    <x:row r="42" spans="2:16">
      <x:c r="B42" s="88" t="s">
        <x:v>2567</x:v>
      </x:c>
      <x:c r="C42" s="60" t="s">
        <x:v>798</x:v>
      </x:c>
      <x:c r="D42" s="225"/>
      <x:c r="E42" s="225"/>
      <x:c r="F42" s="225"/>
      <x:c r="G42" s="225"/>
      <x:c r="H42" s="225"/>
      <x:c r="I42" s="225"/>
      <x:c r="J42" s="225"/>
      <x:c r="P42" s="188">
        <x:v>1</x:v>
      </x:c>
    </x:row>
    <x:row r="43" spans="2:16">
      <x:c r="B43" s="84" t="s">
        <x:v>1298</x:v>
      </x:c>
      <x:c r="C43" s="60" t="s">
        <x:v>1314</x:v>
      </x:c>
      <x:c r="D43" s="44">
        <x:v>0.98199999999999998</x:v>
      </x:c>
      <x:c r="E43" s="44">
        <x:v>0.879</x:v>
      </x:c>
      <x:c r="F43" s="44">
        <x:v>0.92400000000000004</x:v>
      </x:c>
      <x:c r="G43" s="44">
        <x:v>0.96399999999999997</x:v>
      </x:c>
      <x:c r="H43" s="44">
        <x:v>1.04</x:v>
      </x:c>
      <x:c r="I43" s="44">
        <x:v>0.95599999999999996</x:v>
      </x:c>
      <x:c r="J43" s="44">
        <x:v>0.95599999999999996</x:v>
      </x:c>
      <x:c r="P43" s="189">
        <x:f t="shared" ref="P43:P49" si="2">IF(COUNT(D43:J43)&lt;&gt;0,1,"")</x:f>
        <x:v>1</x:v>
      </x:c>
    </x:row>
    <x:row r="44" spans="2:16">
      <x:c r="B44" s="84" t="s">
        <x:v>1964</x:v>
      </x:c>
      <x:c r="C44" s="60" t="s">
        <x:v>1959</x:v>
      </x:c>
      <x:c r="D44" s="44">
        <x:v>0.78300000000000003</x:v>
      </x:c>
      <x:c r="E44" s="44">
        <x:v>0.67500000000000004</x:v>
      </x:c>
      <x:c r="F44" s="44">
        <x:v>0.73899999999999999</x:v>
      </x:c>
      <x:c r="G44" s="44">
        <x:v>0.81699999999999995</x:v>
      </x:c>
      <x:c r="H44" s="44">
        <x:v>0.875</x:v>
      </x:c>
      <x:c r="I44" s="44">
        <x:v>0.80000000000000004</x:v>
      </x:c>
      <x:c r="J44" s="44">
        <x:v>0.80000000000000004</x:v>
      </x:c>
      <x:c r="P44" s="189">
        <x:f t="shared" si="2"/>
        <x:v>1</x:v>
      </x:c>
    </x:row>
    <x:row r="45" spans="2:16">
      <x:c r="B45" s="84" t="s">
        <x:v>107</x:v>
      </x:c>
      <x:c r="C45" s="60" t="s">
        <x:v>1309</x:v>
      </x:c>
      <x:c r="D45" s="44">
        <x:v>0.45600000000000002</x:v>
      </x:c>
      <x:c r="E45" s="44">
        <x:v>0.38100000000000001</x:v>
      </x:c>
      <x:c r="F45" s="44">
        <x:v>0.33100000000000002</x:v>
      </x:c>
      <x:c r="G45" s="44">
        <x:v>0.40799999999999997</x:v>
      </x:c>
      <x:c r="H45" s="44">
        <x:v>0.40600000000000003</x:v>
      </x:c>
      <x:c r="I45" s="44">
        <x:v>0.34100000000000003</x:v>
      </x:c>
      <x:c r="J45" s="44">
        <x:v>0.34100000000000003</x:v>
      </x:c>
      <x:c r="P45" s="189">
        <x:f t="shared" si="2"/>
        <x:v>1</x:v>
      </x:c>
    </x:row>
    <x:row r="46" spans="2:16">
      <x:c r="B46" s="84" t="s">
        <x:v>1684</x:v>
      </x:c>
      <x:c r="C46" s="60" t="s">
        <x:v>1300</x:v>
      </x:c>
      <x:c r="D46" s="44">
        <x:v>49.222000000000001</x:v>
      </x:c>
      <x:c r="E46" s="44">
        <x:v>43.357999999999997</x:v>
      </x:c>
      <x:c r="F46" s="44">
        <x:v>43.369999999999997</x:v>
      </x:c>
      <x:c r="G46" s="44">
        <x:v>43.962000000000003</x:v>
      </x:c>
      <x:c r="H46" s="44">
        <x:v>44.113</x:v>
      </x:c>
      <x:c r="I46" s="44">
        <x:v>41.975000000000001</x:v>
      </x:c>
      <x:c r="J46" s="44">
        <x:v>41.975000000000001</x:v>
      </x:c>
      <x:c r="P46" s="189">
        <x:f t="shared" si="2"/>
        <x:v>1</x:v>
      </x:c>
    </x:row>
    <x:row r="47" spans="2:16">
      <x:c r="B47" s="84" t="s">
        <x:v>1031</x:v>
      </x:c>
      <x:c r="C47" s="60" t="s">
        <x:v>2573</x:v>
      </x:c>
      <x:c r="D47" s="44">
        <x:v>26.451000000000001</x:v>
      </x:c>
      <x:c r="E47" s="44">
        <x:v>24.934999999999999</x:v>
      </x:c>
      <x:c r="F47" s="44">
        <x:v>21.292000000000002</x:v>
      </x:c>
      <x:c r="G47" s="44">
        <x:v>18.218</x:v>
      </x:c>
      <x:c r="H47" s="44">
        <x:v>16.709</x:v>
      </x:c>
      <x:c r="I47" s="44">
        <x:v>16.215</x:v>
      </x:c>
      <x:c r="J47" s="44">
        <x:v>16.215</x:v>
      </x:c>
      <x:c r="P47" s="189">
        <x:f t="shared" si="2"/>
        <x:v>1</x:v>
      </x:c>
    </x:row>
    <x:row r="48" spans="2:16">
      <x:c r="B48" s="84" t="s">
        <x:v>1032</x:v>
      </x:c>
      <x:c r="C48" s="60" t="s">
        <x:v>1306</x:v>
      </x:c>
      <x:c r="D48" s="44">
        <x:v>68.281999999999996</x:v>
      </x:c>
      <x:c r="E48" s="44">
        <x:v>57.923000000000002</x:v>
      </x:c>
      <x:c r="F48" s="44">
        <x:v>53.442999999999998</x:v>
      </x:c>
      <x:c r="G48" s="44">
        <x:v>55.750999999999998</x:v>
      </x:c>
      <x:c r="H48" s="44">
        <x:v>55.415999999999997</x:v>
      </x:c>
      <x:c r="I48" s="44">
        <x:v>56.935000000000002</x:v>
      </x:c>
      <x:c r="J48" s="44">
        <x:v>56.935000000000002</x:v>
      </x:c>
      <x:c r="P48" s="189">
        <x:f t="shared" si="2"/>
        <x:v>1</x:v>
      </x:c>
    </x:row>
    <x:row r="49" spans="2:16">
      <x:c r="B49" s="84" t="s">
        <x:v>1685</x:v>
      </x:c>
      <x:c r="C49" s="60" t="s">
        <x:v>1301</x:v>
      </x:c>
      <x:c r="D49" s="44">
        <x:v>7.391</x:v>
      </x:c>
      <x:c r="E49" s="44">
        <x:v>10.369999999999999</x:v>
      </x:c>
      <x:c r="F49" s="44">
        <x:v>11.218999999999999</x:v>
      </x:c>
      <x:c r="G49" s="44">
        <x:v>6.4290000000000003</x:v>
      </x:c>
      <x:c r="H49" s="44">
        <x:v>5.407</x:v>
      </x:c>
      <x:c r="I49" s="44">
        <x:v>1.2549999999999999</x:v>
      </x:c>
      <x:c r="J49" s="44">
        <x:v>1.2549999999999999</x:v>
      </x:c>
      <x:c r="P49" s="189">
        <x:f t="shared" si="2"/>
        <x:v>1</x:v>
      </x:c>
    </x:row>
    <x:row r="50" spans="2:16">
      <x:c r="B50" s="115"/>
      <x:c r="C50" s="60" t="s">
        <x:v>798</x:v>
      </x:c>
      <x:c r="D50" s="225"/>
      <x:c r="E50" s="225"/>
      <x:c r="F50" s="225"/>
      <x:c r="G50" s="225"/>
      <x:c r="H50" s="225"/>
      <x:c r="I50" s="225"/>
      <x:c r="J50" s="225"/>
      <x:c r="P50" s="188">
        <x:v>1</x:v>
      </x:c>
    </x:row>
    <x:row r="51" spans="2:16">
      <x:c r="B51" s="88" t="s">
        <x:v>1307</x:v>
      </x:c>
      <x:c r="C51" s="60" t="s">
        <x:v>798</x:v>
      </x:c>
      <x:c r="D51" s="225"/>
      <x:c r="E51" s="225"/>
      <x:c r="F51" s="225"/>
      <x:c r="G51" s="225"/>
      <x:c r="H51" s="225"/>
      <x:c r="I51" s="225"/>
      <x:c r="J51" s="225"/>
      <x:c r="P51" s="188">
        <x:v>1</x:v>
      </x:c>
    </x:row>
    <x:row r="52" spans="2:16">
      <x:c r="B52" s="84" t="s">
        <x:v>2578</x:v>
      </x:c>
      <x:c r="C52" s="60" t="s">
        <x:v>1315</x:v>
      </x:c>
      <x:c r="D52" s="44">
        <x:v>314.04000000000002</x:v>
      </x:c>
      <x:c r="E52" s="44">
        <x:v>290.27199999999999</x:v>
      </x:c>
      <x:c r="F52" s="44">
        <x:v>245.28</x:v>
      </x:c>
      <x:c r="G52" s="44">
        <x:v>265.04700000000003</x:v>
      </x:c>
      <x:c r="H52" s="44">
        <x:v>213.179</x:v>
      </x:c>
      <x:c r="I52" s="44">
        <x:v>197.328</x:v>
      </x:c>
      <x:c r="J52" s="44">
        <x:v>197.328</x:v>
      </x:c>
      <x:c r="P52" s="189">
        <x:f>IF(COUNT(D52:J52)&lt;&gt;0,1,"")</x:f>
        <x:v>1</x:v>
      </x:c>
    </x:row>
    <x:row r="53" spans="2:16">
      <x:c r="B53" s="84" t="s">
        <x:v>1686</x:v>
      </x:c>
      <x:c r="C53" s="60" t="s">
        <x:v>381</x:v>
      </x:c>
      <x:c r="D53" s="44">
        <x:v>75.847999999999999</x:v>
      </x:c>
      <x:c r="E53" s="44">
        <x:v>74.376999999999995</x:v>
      </x:c>
      <x:c r="F53" s="44">
        <x:v>71.037999999999997</x:v>
      </x:c>
      <x:c r="G53" s="44">
        <x:v>72.605999999999995</x:v>
      </x:c>
      <x:c r="H53" s="44">
        <x:v>68.069000000000003</x:v>
      </x:c>
      <x:c r="I53" s="44">
        <x:v>66.367000000000004</x:v>
      </x:c>
      <x:c r="J53" s="44">
        <x:v>66.367000000000004</x:v>
      </x:c>
      <x:c r="P53" s="189">
        <x:f>IF(COUNT(D53:J53)&lt;&gt;0,1,"")</x:f>
        <x:v>1</x:v>
      </x:c>
    </x:row>
    <x:row r="54" spans="2:16">
      <x:c r="B54" s="84" t="s">
        <x:v>2617</x:v>
      </x:c>
      <x:c r="C54" s="60" t="s">
        <x:v>2604</x:v>
      </x:c>
      <x:c r="D54" s="44">
        <x:v>274.71300000000002</x:v>
      </x:c>
      <x:c r="E54" s="44">
        <x:v>249.416</x:v>
      </x:c>
      <x:c r="F54" s="44">
        <x:v>219.69499999999999</x:v>
      </x:c>
      <x:c r="G54" s="44">
        <x:v>233.00299999999999</x:v>
      </x:c>
      <x:c r="H54" s="44">
        <x:v>191.797</x:v>
      </x:c>
      <x:c r="I54" s="44">
        <x:v>175.26300000000001</x:v>
      </x:c>
      <x:c r="J54" s="44">
        <x:v>175.26300000000001</x:v>
      </x:c>
      <x:c r="P54" s="189">
        <x:f>IF(COUNT(D54:J54)&lt;&gt;0,1,"")</x:f>
        <x:v>1</x:v>
      </x:c>
    </x:row>
    <x:row r="55" spans="2:16">
      <x:c r="B55" s="84" t="s">
        <x:v>2615</x:v>
      </x:c>
      <x:c r="C55" s="60" t="s">
        <x:v>1718</x:v>
      </x:c>
      <x:c r="D55" s="44">
        <x:v>66.349000000000004</x:v>
      </x:c>
      <x:c r="E55" s="44">
        <x:v>63.908000000000001</x:v>
      </x:c>
      <x:c r="F55" s="44">
        <x:v>63.628</x:v>
      </x:c>
      <x:c r="G55" s="44">
        <x:v>63.828000000000003</x:v>
      </x:c>
      <x:c r="H55" s="44">
        <x:v>61.241999999999997</x:v>
      </x:c>
      <x:c r="I55" s="44">
        <x:v>58.945999999999998</x:v>
      </x:c>
      <x:c r="J55" s="44">
        <x:v>58.945999999999998</x:v>
      </x:c>
      <x:c r="P55" s="189">
        <x:f>IF(COUNT(D55:J55)&lt;&gt;0,1,"")</x:f>
        <x:v>1</x:v>
      </x:c>
    </x:row>
    <x:row r="56" spans="2:16">
      <x:c r="B56" s="84" t="s">
        <x:v>268</x:v>
      </x:c>
      <x:c r="C56" s="60" t="s">
        <x:v>1034</x:v>
      </x:c>
      <x:c r="D56" s="44">
        <x:v>86.712000000000003</x:v>
      </x:c>
      <x:c r="E56" s="44">
        <x:v>85.608999999999995</x:v>
      </x:c>
      <x:c r="F56" s="44">
        <x:v>82.694000000000003</x:v>
      </x:c>
      <x:c r="G56" s="44">
        <x:v>83.278999999999996</x:v>
      </x:c>
      <x:c r="H56" s="44">
        <x:v>80.031000000000006</x:v>
      </x:c>
      <x:c r="I56" s="44">
        <x:v>78.442999999999998</x:v>
      </x:c>
      <x:c r="J56" s="44">
        <x:v>78.442999999999998</x:v>
      </x:c>
      <x:c r="P56" s="189">
        <x:f>IF(COUNT(D56:J56)&lt;&gt;0,1,"")</x:f>
        <x:v>1</x:v>
      </x:c>
    </x:row>
    <x:row r="57" spans="2:16">
      <x:c r="B57" s="84"/>
      <x:c r="C57" s="60" t="s">
        <x:v>798</x:v>
      </x:c>
      <x:c r="D57" s="225"/>
      <x:c r="E57" s="225"/>
      <x:c r="F57" s="225"/>
      <x:c r="G57" s="225"/>
      <x:c r="H57" s="225"/>
      <x:c r="I57" s="225"/>
      <x:c r="J57" s="225"/>
      <x:c r="P57" s="188">
        <x:v>1</x:v>
      </x:c>
    </x:row>
    <x:row r="58" spans="2:16">
      <x:c r="B58" s="84" t="s">
        <x:v>1702</x:v>
      </x:c>
      <x:c r="C58" s="60" t="s">
        <x:v>1151</x:v>
      </x:c>
      <x:c r="D58" s="44">
        <x:v>3.6200000000000001</x:v>
      </x:c>
      <x:c r="E58" s="44">
        <x:v>4.8339999999999996</x:v>
      </x:c>
      <x:c r="F58" s="44">
        <x:v>6.1849999999999996</x:v>
      </x:c>
      <x:c r="G58" s="44">
        <x:v>6.1619999999999999</x:v>
      </x:c>
      <x:c r="H58" s="44">
        <x:v>5.7169999999999996</x:v>
      </x:c>
      <x:c r="I58" s="44">
        <x:v>6.0759999999999996</x:v>
      </x:c>
      <x:c r="J58" s="44">
        <x:v>6.0759999999999996</x:v>
      </x:c>
      <x:c r="P58" s="189">
        <x:f t="shared" ref="P58:P70" si="3">IF(COUNT(D58:J58)&lt;&gt;0,1,"")</x:f>
        <x:v>1</x:v>
      </x:c>
    </x:row>
    <x:row r="59" spans="2:16">
      <x:c r="B59" s="84" t="s">
        <x:v>1035</x:v>
      </x:c>
      <x:c r="C59" s="60" t="s">
        <x:v>1973</x:v>
      </x:c>
      <x:c r="D59" s="44">
        <x:v>10.000999999999999</x:v>
      </x:c>
      <x:c r="E59" s="44">
        <x:v>11.035</x:v>
      </x:c>
      <x:c r="F59" s="44">
        <x:v>9.8870000000000005</x:v>
      </x:c>
      <x:c r="G59" s="44">
        <x:v>8.7309999999999999</x:v>
      </x:c>
      <x:c r="H59" s="44">
        <x:v>8.2910000000000004</x:v>
      </x:c>
      <x:c r="I59" s="44">
        <x:v>9.3469999999999995</x:v>
      </x:c>
      <x:c r="J59" s="44">
        <x:v>9.3469999999999995</x:v>
      </x:c>
      <x:c r="P59" s="189">
        <x:f t="shared" si="3"/>
        <x:v>1</x:v>
      </x:c>
    </x:row>
    <x:row r="60" spans="2:16">
      <x:c r="B60" s="84" t="s">
        <x:v>89</x:v>
      </x:c>
      <x:c r="C60" s="60" t="s">
        <x:v>240</x:v>
      </x:c>
      <x:c r="D60" s="44">
        <x:v>5.7309999999999999</x:v>
      </x:c>
      <x:c r="E60" s="44">
        <x:v>4.8760000000000003</x:v>
      </x:c>
      <x:c r="F60" s="44">
        <x:v>5.0129999999999999</x:v>
      </x:c>
      <x:c r="G60" s="44">
        <x:v>4.7050000000000001</x:v>
      </x:c>
      <x:c r="H60" s="44">
        <x:v>4.532</x:v>
      </x:c>
      <x:c r="I60" s="44">
        <x:v>3.851</x:v>
      </x:c>
      <x:c r="J60" s="44">
        <x:v>3.851</x:v>
      </x:c>
      <x:c r="P60" s="189">
        <x:f t="shared" si="3"/>
        <x:v>1</x:v>
      </x:c>
    </x:row>
    <x:row r="61" spans="2:16">
      <x:c r="B61" s="84" t="s">
        <x:v>244</x:v>
      </x:c>
      <x:c r="C61" s="60" t="s">
        <x:v>1695</x:v>
      </x:c>
      <x:c r="D61" s="44">
        <x:v>7.968</x:v>
      </x:c>
      <x:c r="E61" s="44">
        <x:v>9.25</x:v>
      </x:c>
      <x:c r="F61" s="44">
        <x:v>8.7799999999999994</x:v>
      </x:c>
      <x:c r="G61" s="44">
        <x:v>7.9560000000000004</x:v>
      </x:c>
      <x:c r="H61" s="44">
        <x:v>7.6790000000000003</x:v>
      </x:c>
      <x:c r="I61" s="44">
        <x:v>8.5120000000000005</x:v>
      </x:c>
      <x:c r="J61" s="44">
        <x:v>8.5120000000000005</x:v>
      </x:c>
      <x:c r="P61" s="189">
        <x:f t="shared" si="3"/>
        <x:v>1</x:v>
      </x:c>
    </x:row>
    <x:row r="62" spans="2:16">
      <x:c r="B62" s="84" t="s">
        <x:v>445</x:v>
      </x:c>
      <x:c r="C62" s="60" t="s">
        <x:v>347</x:v>
      </x:c>
      <x:c r="D62" s="44">
        <x:v>6.7850000000000001</x:v>
      </x:c>
      <x:c r="E62" s="44">
        <x:v>8.0060000000000002</x:v>
      </x:c>
      <x:c r="F62" s="44">
        <x:v>7.7539999999999996</x:v>
      </x:c>
      <x:c r="G62" s="44">
        <x:v>7.1520000000000001</x:v>
      </x:c>
      <x:c r="H62" s="44">
        <x:v>6.915</x:v>
      </x:c>
      <x:c r="I62" s="44">
        <x:v>7.835</x:v>
      </x:c>
      <x:c r="J62" s="44">
        <x:v>7.835</x:v>
      </x:c>
      <x:c r="P62" s="189">
        <x:f t="shared" si="3"/>
        <x:v>1</x:v>
      </x:c>
    </x:row>
    <x:row r="63" spans="2:16">
      <x:c r="B63" s="84" t="s">
        <x:v>2533</x:v>
      </x:c>
      <x:c r="C63" s="60" t="s">
        <x:v>410</x:v>
      </x:c>
      <x:c r="D63" s="44">
        <x:v>5.0529999999999999</x:v>
      </x:c>
      <x:c r="E63" s="44">
        <x:v>4.3259999999999996</x:v>
      </x:c>
      <x:c r="F63" s="44">
        <x:v>4.4930000000000003</x:v>
      </x:c>
      <x:c r="G63" s="44">
        <x:v>4.2720000000000002</x:v>
      </x:c>
      <x:c r="H63" s="44">
        <x:v>4.1139999999999999</x:v>
      </x:c>
      <x:c r="I63" s="44">
        <x:v>3.5720000000000001</x:v>
      </x:c>
      <x:c r="J63" s="44">
        <x:v>3.5720000000000001</x:v>
      </x:c>
      <x:c r="P63" s="189">
        <x:f t="shared" si="3"/>
        <x:v>1</x:v>
      </x:c>
    </x:row>
    <x:row r="64" spans="2:16">
      <x:c r="B64" s="84" t="s">
        <x:v>142</x:v>
      </x:c>
      <x:c r="C64" s="60" t="s">
        <x:v>240</x:v>
      </x:c>
      <x:c r="D64" s="44">
        <x:v>5.7309999999999999</x:v>
      </x:c>
      <x:c r="E64" s="44">
        <x:v>4.8760000000000003</x:v>
      </x:c>
      <x:c r="F64" s="44">
        <x:v>5.0129999999999999</x:v>
      </x:c>
      <x:c r="G64" s="44">
        <x:v>4.7050000000000001</x:v>
      </x:c>
      <x:c r="H64" s="44">
        <x:v>4.532</x:v>
      </x:c>
      <x:c r="I64" s="44">
        <x:v>3.851</x:v>
      </x:c>
      <x:c r="J64" s="44">
        <x:v>3.851</x:v>
      </x:c>
      <x:c r="P64" s="189">
        <x:f t="shared" si="3"/>
        <x:v>1</x:v>
      </x:c>
    </x:row>
    <x:row r="65" spans="2:16">
      <x:c r="B65" s="84" t="s">
        <x:v>2534</x:v>
      </x:c>
      <x:c r="C65" s="60" t="s">
        <x:v>408</x:v>
      </x:c>
      <x:c r="D65" s="44">
        <x:v>3.9830000000000001</x:v>
      </x:c>
      <x:c r="E65" s="44">
        <x:v>3.7570000000000001</x:v>
      </x:c>
      <x:c r="F65" s="44">
        <x:v>3.766</x:v>
      </x:c>
      <x:c r="G65" s="44">
        <x:v>3.3140000000000001</x:v>
      </x:c>
      <x:c r="H65" s="44">
        <x:v>3.0859999999999999</x:v>
      </x:c>
      <x:c r="I65" s="44">
        <x:v>2.7749999999999999</x:v>
      </x:c>
      <x:c r="J65" s="44">
        <x:v>2.7749999999999999</x:v>
      </x:c>
      <x:c r="P65" s="189">
        <x:f t="shared" si="3"/>
        <x:v>1</x:v>
      </x:c>
    </x:row>
    <x:row r="66" spans="2:16">
      <x:c r="B66" s="84" t="s">
        <x:v>269</x:v>
      </x:c>
      <x:c r="C66" s="60" t="s">
        <x:v>174</x:v>
      </x:c>
      <x:c r="D66" s="44">
        <x:v>4.5170000000000003</x:v>
      </x:c>
      <x:c r="E66" s="44">
        <x:v>4.2350000000000003</x:v>
      </x:c>
      <x:c r="F66" s="44">
        <x:v>4.202</x:v>
      </x:c>
      <x:c r="G66" s="44">
        <x:v>3.6499999999999999</x:v>
      </x:c>
      <x:c r="H66" s="44">
        <x:v>3.399</x:v>
      </x:c>
      <x:c r="I66" s="44">
        <x:v>2.9910000000000001</x:v>
      </x:c>
      <x:c r="J66" s="44">
        <x:v>2.9910000000000001</x:v>
      </x:c>
      <x:c r="P66" s="189">
        <x:f t="shared" si="3"/>
        <x:v>1</x:v>
      </x:c>
    </x:row>
    <x:row r="67" spans="2:16">
      <x:c r="B67" s="84" t="s">
        <x:v>183</x:v>
      </x:c>
      <x:c r="C67" s="60" t="s">
        <x:v>347</x:v>
      </x:c>
      <x:c r="D67" s="44">
        <x:v>6.7850000000000001</x:v>
      </x:c>
      <x:c r="E67" s="44">
        <x:v>8.0060000000000002</x:v>
      </x:c>
      <x:c r="F67" s="44">
        <x:v>7.7539999999999996</x:v>
      </x:c>
      <x:c r="G67" s="44">
        <x:v>7.1520000000000001</x:v>
      </x:c>
      <x:c r="H67" s="44">
        <x:v>6.915</x:v>
      </x:c>
      <x:c r="I67" s="44">
        <x:v>7.835</x:v>
      </x:c>
      <x:c r="J67" s="44">
        <x:v>7.835</x:v>
      </x:c>
      <x:c r="P67" s="189">
        <x:f t="shared" si="3"/>
        <x:v>1</x:v>
      </x:c>
    </x:row>
    <x:row r="68" spans="2:16">
      <x:c r="B68" s="84" t="s">
        <x:v>1036</x:v>
      </x:c>
      <x:c r="C68" s="60" t="s">
        <x:v>1668</x:v>
      </x:c>
      <x:c r="D68" s="44">
        <x:v>6.3419999999999996</x:v>
      </x:c>
      <x:c r="E68" s="44">
        <x:v>5.1609999999999996</x:v>
      </x:c>
      <x:c r="F68" s="44">
        <x:v>5.0590000000000002</x:v>
      </x:c>
      <x:c r="G68" s="44">
        <x:v>4.6879999999999997</x:v>
      </x:c>
      <x:c r="H68" s="44">
        <x:v>4.4420000000000002</x:v>
      </x:c>
      <x:c r="I68" s="44">
        <x:v>3.923</x:v>
      </x:c>
      <x:c r="J68" s="44">
        <x:v>3.923</x:v>
      </x:c>
      <x:c r="P68" s="189">
        <x:f t="shared" si="3"/>
        <x:v>1</x:v>
      </x:c>
    </x:row>
    <x:row r="69" spans="2:16">
      <x:c r="B69" s="84" t="s">
        <x:v>1037</x:v>
      </x:c>
      <x:c r="C69" s="60" t="s">
        <x:v>1663</x:v>
      </x:c>
      <x:c r="D69" s="44">
        <x:v>4.9989999999999997</x:v>
      </x:c>
      <x:c r="E69" s="44">
        <x:v>4.4820000000000002</x:v>
      </x:c>
      <x:c r="F69" s="44">
        <x:v>4.2409999999999997</x:v>
      </x:c>
      <x:c r="G69" s="44">
        <x:v>3.6360000000000001</x:v>
      </x:c>
      <x:c r="H69" s="44">
        <x:v>3.3319999999999999</x:v>
      </x:c>
      <x:c r="I69" s="44">
        <x:v>3.0470000000000002</x:v>
      </x:c>
      <x:c r="J69" s="44">
        <x:v>3.0470000000000002</x:v>
      </x:c>
      <x:c r="P69" s="189">
        <x:f t="shared" si="3"/>
        <x:v>1</x:v>
      </x:c>
    </x:row>
    <x:row r="70" spans="2:16">
      <x:c r="B70" s="84" t="s">
        <x:v>180</x:v>
      </x:c>
      <x:c r="C70" s="60" t="s">
        <x:v>140</x:v>
      </x:c>
      <x:c r="D70" s="44">
        <x:v>5.8700000000000001</x:v>
      </x:c>
      <x:c r="E70" s="44">
        <x:v>5.1790000000000003</x:v>
      </x:c>
      <x:c r="F70" s="44">
        <x:v>4.8019999999999996</x:v>
      </x:c>
      <x:c r="G70" s="44">
        <x:v>4.0449999999999999</x:v>
      </x:c>
      <x:c r="H70" s="44">
        <x:v>3.7000000000000002</x:v>
      </x:c>
      <x:c r="I70" s="44">
        <x:v>3.3100000000000001</x:v>
      </x:c>
      <x:c r="J70" s="44">
        <x:v>3.3100000000000001</x:v>
      </x:c>
      <x:c r="P70" s="189">
        <x:f t="shared" si="3"/>
        <x:v>1</x:v>
      </x:c>
    </x:row>
    <x:row r="71" spans="2:16">
      <x:c r="B71" s="84"/>
      <x:c r="C71" s="60"/>
      <x:c r="D71" s="44"/>
      <x:c r="E71" s="44"/>
      <x:c r="F71" s="44"/>
      <x:c r="G71" s="44"/>
      <x:c r="H71" s="44"/>
      <x:c r="I71" s="44"/>
      <x:c r="J71" s="44"/>
      <x:c r="P71" s="188">
        <x:v>1</x:v>
      </x:c>
    </x:row>
    <x:row r="72" spans="2:16">
      <x:c r="B72" s="116" t="s">
        <x:v>2598</x:v>
      </x:c>
      <x:c r="C72" s="60"/>
      <x:c r="D72" s="225"/>
      <x:c r="E72" s="225"/>
      <x:c r="F72" s="225"/>
      <x:c r="G72" s="225"/>
      <x:c r="H72" s="225"/>
      <x:c r="I72" s="225"/>
      <x:c r="J72" s="225"/>
      <x:c r="P72" s="188">
        <x:v>1</x:v>
      </x:c>
    </x:row>
    <x:row r="73" spans="2:16">
      <x:c r="B73" s="3" t="s">
        <x:v>382</x:v>
      </x:c>
      <x:c r="C73" s="60" t="s">
        <x:v>1546</x:v>
      </x:c>
      <x:c r="D73" s="44">
        <x:v>-4.3920000000000003</x:v>
      </x:c>
      <x:c r="E73" s="44">
        <x:v>3.9359999999999999</x:v>
      </x:c>
      <x:c r="F73" s="44">
        <x:v>5.5430000000000001</x:v>
      </x:c>
      <x:c r="G73" s="44">
        <x:v>2.1970000000000001</x:v>
      </x:c>
      <x:c r="H73" s="44">
        <x:v>1.444</x:v>
      </x:c>
      <x:c r="I73" s="44">
        <x:v>7.6200000000000001</x:v>
      </x:c>
      <x:c r="J73" s="44">
        <x:v>7.6200000000000001</x:v>
      </x:c>
      <x:c r="P73" s="189">
        <x:f t="shared" ref="P73:P92" si="4">IF(COUNT(D73:J73)&lt;&gt;0,1,"")</x:f>
        <x:v>1</x:v>
      </x:c>
    </x:row>
    <x:row r="74" spans="2:16">
      <x:c r="B74" s="3" t="s">
        <x:v>1966</x:v>
      </x:c>
      <x:c r="C74" s="60" t="s">
        <x:v>2605</x:v>
      </x:c>
      <x:c r="D74" s="44">
        <x:v>-2.1219999999999999</x:v>
      </x:c>
      <x:c r="E74" s="44">
        <x:v>2.012</x:v>
      </x:c>
      <x:c r="F74" s="44">
        <x:v>3.8180000000000001</x:v>
      </x:c>
      <x:c r="G74" s="44">
        <x:v>4.931</x:v>
      </x:c>
      <x:c r="H74" s="44">
        <x:v>3.6499999999999999</x:v>
      </x:c>
      <x:c r="I74" s="44">
        <x:v>10.534000000000001</x:v>
      </x:c>
      <x:c r="J74" s="44">
        <x:v>10.534000000000001</x:v>
      </x:c>
      <x:c r="P74" s="189">
        <x:f t="shared" si="4"/>
        <x:v>1</x:v>
      </x:c>
    </x:row>
    <x:row r="75" spans="2:16">
      <x:c r="B75" s="3" t="s">
        <x:v>1150</x:v>
      </x:c>
      <x:c r="C75" s="60" t="s">
        <x:v>1699</x:v>
      </x:c>
      <x:c r="D75" s="44">
        <x:v>-16.48</x:v>
      </x:c>
      <x:c r="E75" s="44">
        <x:v>-0.42299999999999999</x:v>
      </x:c>
      <x:c r="F75" s="44">
        <x:v>-4.7220000000000004</x:v>
      </x:c>
      <x:c r="G75" s="44">
        <x:v>18.227</x:v>
      </x:c>
      <x:c r="H75" s="44">
        <x:v>1.1539999999999999</x:v>
      </x:c>
      <x:c r="I75" s="44">
        <x:v>30.202999999999999</x:v>
      </x:c>
      <x:c r="J75" s="44">
        <x:v>30.202999999999999</x:v>
      </x:c>
      <x:c r="P75" s="189">
        <x:f t="shared" si="4"/>
        <x:v>1</x:v>
      </x:c>
    </x:row>
    <x:row r="76" spans="2:16">
      <x:c r="B76" s="3" t="s">
        <x:v>1153</x:v>
      </x:c>
      <x:c r="C76" s="60" t="s">
        <x:v>2591</x:v>
      </x:c>
      <x:c r="D76" s="44">
        <x:v>-24.059999999999999</x:v>
      </x:c>
      <x:c r="E76" s="44">
        <x:v>4.0810000000000004</x:v>
      </x:c>
      <x:c r="F76" s="44">
        <x:v>24.888999999999999</x:v>
      </x:c>
      <x:c r="G76" s="44">
        <x:v>24.407</x:v>
      </x:c>
      <x:c r="H76" s="44">
        <x:v>0.76300000000000001</x:v>
      </x:c>
      <x:c r="I76" s="44">
        <x:v>1.196</x:v>
      </x:c>
      <x:c r="J76" s="44">
        <x:v>1.196</x:v>
      </x:c>
      <x:c r="P76" s="189">
        <x:f t="shared" si="4"/>
        <x:v>1</x:v>
      </x:c>
    </x:row>
    <x:row r="77" spans="2:16">
      <x:c r="B77" s="3" t="s">
        <x:v>1152</x:v>
      </x:c>
      <x:c r="C77" s="60" t="s">
        <x:v>2614</x:v>
      </x:c>
      <x:c r="D77" s="44">
        <x:v>-38.161999999999999</x:v>
      </x:c>
      <x:c r="E77" s="44">
        <x:v>19.754999999999999</x:v>
      </x:c>
      <x:c r="F77" s="44">
        <x:v>34.713000000000001</x:v>
      </x:c>
      <x:c r="G77" s="44">
        <x:v>31.670999999999999</x:v>
      </x:c>
      <x:c r="H77" s="44">
        <x:v>-1.161</x:v>
      </x:c>
      <x:c r="I77" s="44">
        <x:v>20.116</x:v>
      </x:c>
      <x:c r="J77" s="44">
        <x:v>20.116</x:v>
      </x:c>
      <x:c r="P77" s="189">
        <x:f t="shared" si="4"/>
        <x:v>1</x:v>
      </x:c>
    </x:row>
    <x:row r="78" spans="2:16">
      <x:c r="B78" s="3" t="s">
        <x:v>691</x:v>
      </x:c>
      <x:c r="C78" s="60" t="s">
        <x:v>1039</x:v>
      </x:c>
      <x:c r="D78" s="44">
        <x:v>-44.975999999999999</x:v>
      </x:c>
      <x:c r="E78" s="44">
        <x:v>19.863</x:v>
      </x:c>
      <x:c r="F78" s="44">
        <x:v>-62.189999999999998</x:v>
      </x:c>
      <x:c r="G78" s="44" t="s">
        <x:v>821</x:v>
      </x:c>
      <x:c r="H78" s="44">
        <x:v>-19.949999999999999</x:v>
      </x:c>
      <x:c r="I78" s="44">
        <x:v>75.744</x:v>
      </x:c>
      <x:c r="J78" s="44">
        <x:v>75.744</x:v>
      </x:c>
      <x:c r="P78" s="189">
        <x:f t="shared" si="4"/>
        <x:v>1</x:v>
      </x:c>
    </x:row>
    <x:row r="79" spans="2:16">
      <x:c r="B79" s="3" t="s">
        <x:v>1972</x:v>
      </x:c>
      <x:c r="C79" s="60" t="s">
        <x:v>2618</x:v>
      </x:c>
      <x:c r="D79" s="44">
        <x:v>-40.726999999999997</x:v>
      </x:c>
      <x:c r="E79" s="44">
        <x:v>2.7370000000000001</x:v>
      </x:c>
      <x:c r="F79" s="44">
        <x:v>-71.460999999999999</x:v>
      </x:c>
      <x:c r="G79" s="44" t="s">
        <x:v>821</x:v>
      </x:c>
      <x:c r="H79" s="44">
        <x:v>-19.715</x:v>
      </x:c>
      <x:c r="I79" s="44">
        <x:v>75.876000000000005</x:v>
      </x:c>
      <x:c r="J79" s="44">
        <x:v>75.876000000000005</x:v>
      </x:c>
      <x:c r="P79" s="189">
        <x:f t="shared" si="4"/>
        <x:v>1</x:v>
      </x:c>
    </x:row>
    <x:row r="80" spans="2:16">
      <x:c r="B80" s="3" t="s">
        <x:v>1712</x:v>
      </x:c>
      <x:c r="C80" s="60" t="s">
        <x:v>1707</x:v>
      </x:c>
      <x:c r="D80" s="44">
        <x:v>-60.087000000000003</x:v>
      </x:c>
      <x:c r="E80" s="44">
        <x:v>82.893000000000001</x:v>
      </x:c>
      <x:c r="F80" s="44">
        <x:v>50.298000000000002</x:v>
      </x:c>
      <x:c r="G80" s="44">
        <x:v>28.388000000000002</x:v>
      </x:c>
      <x:c r="H80" s="44">
        <x:v>0.29699999999999999</x:v>
      </x:c>
      <x:c r="I80" s="44">
        <x:v>13.456</x:v>
      </x:c>
      <x:c r="J80" s="44">
        <x:v>13.456</x:v>
      </x:c>
      <x:c r="P80" s="189">
        <x:f t="shared" si="4"/>
        <x:v>1</x:v>
      </x:c>
    </x:row>
    <x:row r="81" spans="2:16">
      <x:c r="B81" s="3" t="s">
        <x:v>1713</x:v>
      </x:c>
      <x:c r="C81" s="60" t="s">
        <x:v>2392</x:v>
      </x:c>
      <x:c r="D81" s="44">
        <x:v>-45.207999999999998</x:v>
      </x:c>
      <x:c r="E81" s="44">
        <x:v>18.856999999999999</x:v>
      </x:c>
      <x:c r="F81" s="44">
        <x:v>-62.572000000000003</x:v>
      </x:c>
      <x:c r="G81" s="44" t="s">
        <x:v>821</x:v>
      </x:c>
      <x:c r="H81" s="44">
        <x:v>-21.227</x:v>
      </x:c>
      <x:c r="I81" s="44">
        <x:v>73.519999999999996</x:v>
      </x:c>
      <x:c r="J81" s="44">
        <x:v>73.519999999999996</x:v>
      </x:c>
      <x:c r="P81" s="189">
        <x:f t="shared" si="4"/>
        <x:v>1</x:v>
      </x:c>
    </x:row>
    <x:row r="82" spans="2:16">
      <x:c r="B82" s="3" t="s">
        <x:v>2608</x:v>
      </x:c>
      <x:c r="C82" s="60" t="s">
        <x:v>1703</x:v>
      </x:c>
      <x:c r="D82" s="44">
        <x:v>-25.675999999999998</x:v>
      </x:c>
      <x:c r="E82" s="44">
        <x:v>16.251000000000001</x:v>
      </x:c>
      <x:c r="F82" s="44">
        <x:v>-3.0449999999999999</x:v>
      </x:c>
      <x:c r="G82" s="44">
        <x:v>10.193</x:v>
      </x:c>
      <x:c r="H82" s="44">
        <x:v>-6.2439999999999998</x:v>
      </x:c>
      <x:c r="I82" s="44">
        <x:v>12.090999999999999</x:v>
      </x:c>
      <x:c r="J82" s="44">
        <x:v>12.090999999999999</x:v>
      </x:c>
      <x:c r="P82" s="189">
        <x:f t="shared" si="4"/>
        <x:v>1</x:v>
      </x:c>
    </x:row>
    <x:row r="83" spans="2:16">
      <x:c r="B83" s="3" t="s">
        <x:v>1974</x:v>
      </x:c>
      <x:c r="C83" s="60" t="s">
        <x:v>2594</x:v>
      </x:c>
      <x:c r="D83" s="44">
        <x:v>11.920999999999999</x:v>
      </x:c>
      <x:c r="E83" s="44">
        <x:v>-8.9960000000000004</x:v>
      </x:c>
      <x:c r="F83" s="44">
        <x:v>-5.8819999999999997</x:v>
      </x:c>
      <x:c r="G83" s="44">
        <x:v>-25.193000000000001</x:v>
      </x:c>
      <x:c r="H83" s="44">
        <x:v>11.025</x:v>
      </x:c>
      <x:c r="I83" s="44">
        <x:v>-5.3529999999999998</x:v>
      </x:c>
      <x:c r="J83" s="44">
        <x:v>-5.3529999999999998</x:v>
      </x:c>
      <x:c r="P83" s="189">
        <x:f t="shared" si="4"/>
        <x:v>1</x:v>
      </x:c>
    </x:row>
    <x:row r="84" spans="2:16">
      <x:c r="B84" s="3" t="s">
        <x:v>667</x:v>
      </x:c>
      <x:c r="C84" s="60" t="s">
        <x:v>2601</x:v>
      </x:c>
      <x:c r="D84" s="44">
        <x:v>-34.886000000000003</x:v>
      </x:c>
      <x:c r="E84" s="44">
        <x:v>-8.75</x:v>
      </x:c>
      <x:c r="F84" s="44">
        <x:v>-7.8959999999999999</x:v>
      </x:c>
      <x:c r="G84" s="44">
        <x:v>6.1980000000000004</x:v>
      </x:c>
      <x:c r="H84" s="44">
        <x:v>2.3849999999999998</x:v>
      </x:c>
      <x:c r="I84" s="44">
        <x:v>1.109</x:v>
      </x:c>
      <x:c r="J84" s="44">
        <x:v>1.109</x:v>
      </x:c>
      <x:c r="P84" s="189">
        <x:f t="shared" si="4"/>
        <x:v>1</x:v>
      </x:c>
    </x:row>
    <x:row r="85" spans="2:16">
      <x:c r="B85" s="3" t="s">
        <x:v>1965</x:v>
      </x:c>
      <x:c r="C85" s="60" t="s">
        <x:v>1038</x:v>
      </x:c>
      <x:c r="D85" s="44">
        <x:v>2.4870000000000001</x:v>
      </x:c>
      <x:c r="E85" s="44">
        <x:v>-15.368</x:v>
      </x:c>
      <x:c r="F85" s="44">
        <x:v>-3.605</x:v>
      </x:c>
      <x:c r="G85" s="44">
        <x:v>6.2859999999999996</x:v>
      </x:c>
      <x:c r="H85" s="44">
        <x:v>1.4299999999999999</x:v>
      </x:c>
      <x:c r="I85" s="44">
        <x:v>10.720000000000001</x:v>
      </x:c>
      <x:c r="J85" s="44">
        <x:v>10.720000000000001</x:v>
      </x:c>
      <x:c r="P85" s="189">
        <x:f t="shared" si="4"/>
        <x:v>1</x:v>
      </x:c>
    </x:row>
    <x:row r="86" spans="2:16">
      <x:c r="B86" s="3" t="s">
        <x:v>2612</x:v>
      </x:c>
      <x:c r="C86" s="60" t="s">
        <x:v>2613</x:v>
      </x:c>
      <x:c r="D86" s="44">
        <x:v>-10.85</x:v>
      </x:c>
      <x:c r="E86" s="44">
        <x:v>5.0010000000000003</x:v>
      </x:c>
      <x:c r="F86" s="44">
        <x:v>-8.2509999999999994</x:v>
      </x:c>
      <x:c r="G86" s="44">
        <x:v>7.7279999999999998</x:v>
      </x:c>
      <x:c r="H86" s="44">
        <x:v>-9.4949999999999992</x:v>
      </x:c>
      <x:c r="I86" s="44">
        <x:v>5.4500000000000002</x:v>
      </x:c>
      <x:c r="J86" s="44">
        <x:v>5.4500000000000002</x:v>
      </x:c>
      <x:c r="P86" s="189">
        <x:f t="shared" si="4"/>
        <x:v>1</x:v>
      </x:c>
    </x:row>
    <x:row r="87" spans="2:16">
      <x:c r="B87" s="3" t="s">
        <x:v>383</x:v>
      </x:c>
      <x:c r="C87" s="60" t="s">
        <x:v>1040</x:v>
      </x:c>
      <x:c r="D87" s="44">
        <x:v>-1.171</x:v>
      </x:c>
      <x:c r="E87" s="44">
        <x:v>-8.234</x:v>
      </x:c>
      <x:c r="F87" s="44">
        <x:v>16.100000000000001</x:v>
      </x:c>
      <x:c r="G87" s="44">
        <x:v>2.6840000000000002</x:v>
      </x:c>
      <x:c r="H87" s="44">
        <x:v>21.187000000000001</x:v>
      </x:c>
      <x:c r="I87" s="44">
        <x:v>19.559000000000001</x:v>
      </x:c>
      <x:c r="J87" s="44">
        <x:v>19.559000000000001</x:v>
      </x:c>
      <x:c r="P87" s="189">
        <x:f t="shared" si="4"/>
        <x:v>1</x:v>
      </x:c>
    </x:row>
    <x:row r="88" spans="2:16">
      <x:c r="B88" s="3" t="s">
        <x:v>1716</x:v>
      </x:c>
      <x:c r="C88" s="60" t="s">
        <x:v>2619</x:v>
      </x:c>
      <x:c r="D88" s="44">
        <x:v>23.202000000000002</x:v>
      </x:c>
      <x:c r="E88" s="44">
        <x:v>-29.681000000000001</x:v>
      </x:c>
      <x:c r="F88" s="44">
        <x:v>-18.451000000000001</x:v>
      </x:c>
      <x:c r="G88" s="44">
        <x:v>33.503</x:v>
      </x:c>
      <x:c r="H88" s="44">
        <x:v>-3.4889999999999999</x:v>
      </x:c>
      <x:c r="I88" s="44">
        <x:v>-1.8740000000000001</x:v>
      </x:c>
      <x:c r="J88" s="44">
        <x:v>-1.8740000000000001</x:v>
      </x:c>
      <x:c r="P88" s="189">
        <x:f t="shared" si="4"/>
        <x:v>1</x:v>
      </x:c>
    </x:row>
    <x:row r="89" spans="2:16">
      <x:c r="B89" s="3" t="s">
        <x:v>1721</x:v>
      </x:c>
      <x:c r="C89" s="60" t="s">
        <x:v>2597</x:v>
      </x:c>
      <x:c r="D89" s="44">
        <x:v>14.523</x:v>
      </x:c>
      <x:c r="E89" s="44">
        <x:v>-21.238</x:v>
      </x:c>
      <x:c r="F89" s="44">
        <x:v>-34.723999999999997</x:v>
      </x:c>
      <x:c r="G89" s="44">
        <x:v>-7.5039999999999996</x:v>
      </x:c>
      <x:c r="H89" s="44">
        <x:v>-15.823</x:v>
      </x:c>
      <x:c r="I89" s="44">
        <x:v>54.293999999999997</x:v>
      </x:c>
      <x:c r="J89" s="44">
        <x:v>54.293999999999997</x:v>
      </x:c>
      <x:c r="P89" s="189">
        <x:f t="shared" si="4"/>
        <x:v>1</x:v>
      </x:c>
    </x:row>
    <x:row r="90" spans="2:16">
      <x:c r="B90" s="3" t="s">
        <x:v>1717</x:v>
      </x:c>
      <x:c r="C90" s="60" t="s">
        <x:v>2607</x:v>
      </x:c>
      <x:c r="D90" s="44">
        <x:v>0.51300000000000001</x:v>
      </x:c>
      <x:c r="E90" s="44">
        <x:v>-68.908000000000001</x:v>
      </x:c>
      <x:c r="F90" s="44">
        <x:v>109.24299999999999</x:v>
      </x:c>
      <x:c r="G90" s="44">
        <x:v>11.801</x:v>
      </x:c>
      <x:c r="H90" s="44">
        <x:v>-13.836</x:v>
      </x:c>
      <x:c r="I90" s="44">
        <x:v>36.944000000000003</x:v>
      </x:c>
      <x:c r="J90" s="44">
        <x:v>36.944000000000003</x:v>
      </x:c>
      <x:c r="P90" s="189">
        <x:f t="shared" si="4"/>
        <x:v>1</x:v>
      </x:c>
    </x:row>
    <x:row r="91" spans="2:16">
      <x:c r="B91" s="3" t="s">
        <x:v>1041</x:v>
      </x:c>
      <x:c r="C91" s="60" t="s">
        <x:v>2592</x:v>
      </x:c>
      <x:c r="D91" s="44">
        <x:v>0.26100000000000001</x:v>
      </x:c>
      <x:c r="E91" s="44">
        <x:v>-65.900999999999996</x:v>
      </x:c>
      <x:c r="F91" s="44">
        <x:v>95.210999999999999</x:v>
      </x:c>
      <x:c r="G91" s="44">
        <x:v>13.282</x:v>
      </x:c>
      <x:c r="H91" s="44">
        <x:v>-12.106999999999999</x:v>
      </x:c>
      <x:c r="I91" s="44">
        <x:v>34.481999999999999</x:v>
      </x:c>
      <x:c r="J91" s="44">
        <x:v>34.481999999999999</x:v>
      </x:c>
      <x:c r="P91" s="189">
        <x:f t="shared" si="4"/>
        <x:v>1</x:v>
      </x:c>
    </x:row>
    <x:row r="92" spans="2:16">
      <x:c r="B92" s="3" t="s">
        <x:v>2616</x:v>
      </x:c>
      <x:c r="C92" s="60" t="s">
        <x:v>2609</x:v>
      </x:c>
      <x:c r="D92" s="44">
        <x:v>1.244</x:v>
      </x:c>
      <x:c r="E92" s="44">
        <x:v>0.61399999999999999</x:v>
      </x:c>
      <x:c r="F92" s="44">
        <x:v>0.61099999999999999</x:v>
      </x:c>
      <x:c r="G92" s="44">
        <x:v>0.60699999999999998</x:v>
      </x:c>
      <x:c r="H92" s="44">
        <x:v>0.60299999999999998</x:v>
      </x:c>
      <x:c r="I92" s="44">
        <x:v>0.59999999999999998</x:v>
      </x:c>
      <x:c r="J92" s="44">
        <x:v>0.59999999999999998</x:v>
      </x:c>
      <x:c r="P92" s="189">
        <x:f t="shared" si="4"/>
        <x:v>1</x:v>
      </x:c>
    </x:row>
    <x:row r="93" spans="3:16">
      <x:c r="C93" s="60"/>
      <x:c r="D93" s="225"/>
      <x:c r="E93" s="225"/>
      <x:c r="F93" s="225"/>
      <x:c r="G93" s="225"/>
      <x:c r="H93" s="225"/>
      <x:c r="I93" s="225"/>
      <x:c r="J93" s="225"/>
      <x:c r="P93" s="188">
        <x:v>1</x:v>
      </x:c>
    </x:row>
    <x:row r="94" spans="2:16">
      <x:c r="B94" s="87" t="s">
        <x:v>80</x:v>
      </x:c>
      <x:c r="C94" s="60"/>
      <x:c r="D94" s="225"/>
      <x:c r="E94" s="225"/>
      <x:c r="F94" s="225"/>
      <x:c r="G94" s="225"/>
      <x:c r="H94" s="225"/>
      <x:c r="I94" s="225"/>
      <x:c r="J94" s="225"/>
      <x:c r="P94" s="188">
        <x:v>1</x:v>
      </x:c>
    </x:row>
    <x:row r="95" spans="2:16">
      <x:c r="B95" s="84" t="s">
        <x:v>382</x:v>
      </x:c>
      <x:c r="C95" s="60" t="s">
        <x:v>1714</x:v>
      </x:c>
      <x:c r="D95" s="44">
        <x:v>-16.736999999999998</x:v>
      </x:c>
      <x:c r="E95" s="44">
        <x:v>-0.315</x:v>
      </x:c>
      <x:c r="F95" s="44">
        <x:v>4.7370000000000001</x:v>
      </x:c>
      <x:c r="G95" s="44">
        <x:v>3.8570000000000002</x:v>
      </x:c>
      <x:c r="H95" s="44">
        <x:v>1.8200000000000001</x:v>
      </x:c>
      <x:c r="I95" s="44">
        <x:v>4.4859999999999998</x:v>
      </x:c>
      <x:c r="J95" s="44">
        <x:v>4.4859999999999998</x:v>
      </x:c>
      <x:c r="P95" s="189">
        <x:f t="shared" ref="P95:P114" si="5">IF(COUNT(D95:J95)&lt;&gt;0,1,"")</x:f>
        <x:v>1</x:v>
      </x:c>
    </x:row>
    <x:row r="96" spans="2:16">
      <x:c r="B96" s="84" t="s">
        <x:v>1966</x:v>
      </x:c>
      <x:c r="C96" s="60" t="s">
        <x:v>2600</x:v>
      </x:c>
      <x:c r="D96" s="44">
        <x:v>-8.5879999999999992</x:v>
      </x:c>
      <x:c r="E96" s="44">
        <x:v>-0.076000000000000001</x:v>
      </x:c>
      <x:c r="F96" s="44">
        <x:v>2.911</x:v>
      </x:c>
      <x:c r="G96" s="44">
        <x:v>4.3730000000000002</x:v>
      </x:c>
      <x:c r="H96" s="44">
        <x:v>4.2889999999999997</x:v>
      </x:c>
      <x:c r="I96" s="44">
        <x:v>7.0369999999999999</x:v>
      </x:c>
      <x:c r="J96" s="44">
        <x:v>7.0369999999999999</x:v>
      </x:c>
      <x:c r="P96" s="189">
        <x:f t="shared" si="5"/>
        <x:v>1</x:v>
      </x:c>
    </x:row>
    <x:row r="97" spans="2:16">
      <x:c r="B97" s="84" t="s">
        <x:v>1150</x:v>
      </x:c>
      <x:c r="C97" s="60" t="s">
        <x:v>1708</x:v>
      </x:c>
      <x:c r="D97" s="44">
        <x:v>-19.893000000000001</x:v>
      </x:c>
      <x:c r="E97" s="44">
        <x:v>-8.8040000000000003</x:v>
      </x:c>
      <x:c r="F97" s="44">
        <x:v>-2.5960000000000001</x:v>
      </x:c>
      <x:c r="G97" s="44">
        <x:v>6.1340000000000003</x:v>
      </x:c>
      <x:c r="H97" s="44">
        <x:v>9.3580000000000005</x:v>
      </x:c>
      <x:c r="I97" s="44">
        <x:v>14.763</x:v>
      </x:c>
      <x:c r="J97" s="44">
        <x:v>14.763</x:v>
      </x:c>
      <x:c r="P97" s="189">
        <x:f t="shared" si="5"/>
        <x:v>1</x:v>
      </x:c>
    </x:row>
    <x:row r="98" spans="2:16">
      <x:c r="B98" s="84" t="s">
        <x:v>1153</x:v>
      </x:c>
      <x:c r="C98" s="60" t="s">
        <x:v>2610</x:v>
      </x:c>
      <x:c r="D98" s="44">
        <x:v>-30.047999999999998</x:v>
      </x:c>
      <x:c r="E98" s="44">
        <x:v>-11.096</x:v>
      </x:c>
      <x:c r="F98" s="44">
        <x:v>14.010999999999999</x:v>
      </x:c>
      <x:c r="G98" s="44">
        <x:v>24.646999999999998</x:v>
      </x:c>
      <x:c r="H98" s="44">
        <x:v>11.962999999999999</x:v>
      </x:c>
      <x:c r="I98" s="44">
        <x:v>0.97999999999999998</x:v>
      </x:c>
      <x:c r="J98" s="44">
        <x:v>0.97999999999999998</x:v>
      </x:c>
      <x:c r="P98" s="189">
        <x:f t="shared" si="5"/>
        <x:v>1</x:v>
      </x:c>
    </x:row>
    <x:row r="99" spans="2:16">
      <x:c r="B99" s="84" t="s">
        <x:v>1152</x:v>
      </x:c>
      <x:c r="C99" s="60" t="s">
        <x:v>2599</x:v>
      </x:c>
      <x:c r="D99" s="44">
        <x:v>-40.610999999999997</x:v>
      </x:c>
      <x:c r="E99" s="44">
        <x:v>-13.945</x:v>
      </x:c>
      <x:c r="F99" s="44">
        <x:v>27.013999999999999</x:v>
      </x:c>
      <x:c r="G99" s="44">
        <x:v>33.183</x:v>
      </x:c>
      <x:c r="H99" s="44">
        <x:v>14.08</x:v>
      </x:c>
      <x:c r="I99" s="44">
        <x:v>8.9589999999999996</x:v>
      </x:c>
      <x:c r="J99" s="44">
        <x:v>8.9589999999999996</x:v>
      </x:c>
      <x:c r="P99" s="189">
        <x:f t="shared" si="5"/>
        <x:v>1</x:v>
      </x:c>
    </x:row>
    <x:row r="100" spans="2:16">
      <x:c r="B100" s="84" t="s">
        <x:v>691</x:v>
      </x:c>
      <x:c r="C100" s="60" t="s">
        <x:v>1043</x:v>
      </x:c>
      <x:c r="D100" s="44">
        <x:v>-32.860999999999997</x:v>
      </x:c>
      <x:c r="E100" s="44">
        <x:v>-18.789000000000001</x:v>
      </x:c>
      <x:c r="F100" s="44">
        <x:v>-32.68</x:v>
      </x:c>
      <x:c r="G100" s="44">
        <x:v>26.265999999999998</x:v>
      </x:c>
      <x:c r="H100" s="44">
        <x:v>83.722999999999999</x:v>
      </x:c>
      <x:c r="I100" s="44">
        <x:v>18.609999999999999</x:v>
      </x:c>
      <x:c r="J100" s="44">
        <x:v>18.609999999999999</x:v>
      </x:c>
      <x:c r="P100" s="189">
        <x:f t="shared" si="5"/>
        <x:v>1</x:v>
      </x:c>
    </x:row>
    <x:row r="101" spans="2:16">
      <x:c r="B101" s="84" t="s">
        <x:v>1972</x:v>
      </x:c>
      <x:c r="C101" s="60" t="s">
        <x:v>2602</x:v>
      </x:c>
      <x:c r="D101" s="44">
        <x:v>-19.971</x:v>
      </x:c>
      <x:c r="E101" s="44">
        <x:v>-21.965</x:v>
      </x:c>
      <x:c r="F101" s="44">
        <x:v>-45.851999999999997</x:v>
      </x:c>
      <x:c r="G101" s="44">
        <x:v>14.292999999999999</x:v>
      </x:c>
      <x:c r="H101" s="44">
        <x:v>91.697999999999993</x:v>
      </x:c>
      <x:c r="I101" s="44">
        <x:v>18.829000000000001</x:v>
      </x:c>
      <x:c r="J101" s="44">
        <x:v>18.829000000000001</x:v>
      </x:c>
      <x:c r="P101" s="189">
        <x:f t="shared" si="5"/>
        <x:v>1</x:v>
      </x:c>
    </x:row>
    <x:row r="102" spans="2:16">
      <x:c r="B102" s="84" t="s">
        <x:v>1712</x:v>
      </x:c>
      <x:c r="C102" s="60" t="s">
        <x:v>1719</x:v>
      </x:c>
      <x:c r="D102" s="44">
        <x:v>-52.380000000000003</x:v>
      </x:c>
      <x:c r="E102" s="44">
        <x:v>-14.561</x:v>
      </x:c>
      <x:c r="F102" s="44">
        <x:v>65.796000000000006</x:v>
      </x:c>
      <x:c r="G102" s="44">
        <x:v>38.911000000000001</x:v>
      </x:c>
      <x:c r="H102" s="44">
        <x:v>13.477</x:v>
      </x:c>
      <x:c r="I102" s="44">
        <x:v>6.6740000000000004</x:v>
      </x:c>
      <x:c r="J102" s="44">
        <x:v>6.6740000000000004</x:v>
      </x:c>
      <x:c r="P102" s="189">
        <x:f t="shared" si="5"/>
        <x:v>1</x:v>
      </x:c>
    </x:row>
    <x:row r="103" spans="2:16">
      <x:c r="B103" s="84" t="s">
        <x:v>1713</x:v>
      </x:c>
      <x:c r="C103" s="60" t="s">
        <x:v>2606</x:v>
      </x:c>
      <x:c r="D103" s="44">
        <x:v>-32.124000000000002</x:v>
      </x:c>
      <x:c r="E103" s="44">
        <x:v>-19.300000000000001</x:v>
      </x:c>
      <x:c r="F103" s="44">
        <x:v>-33.302</x:v>
      </x:c>
      <x:c r="G103" s="44">
        <x:v>25.071999999999999</x:v>
      </x:c>
      <x:c r="H103" s="44">
        <x:v>81.447000000000003</x:v>
      </x:c>
      <x:c r="I103" s="44">
        <x:v>16.913</x:v>
      </x:c>
      <x:c r="J103" s="44">
        <x:v>16.913</x:v>
      </x:c>
      <x:c r="P103" s="189">
        <x:f t="shared" si="5"/>
        <x:v>1</x:v>
      </x:c>
    </x:row>
    <x:row r="104" spans="2:16">
      <x:c r="B104" s="84" t="s">
        <x:v>2608</x:v>
      </x:c>
      <x:c r="C104" s="60" t="s">
        <x:v>1692</x:v>
      </x:c>
      <x:c r="D104" s="44">
        <x:v>-11.315</x:v>
      </x:c>
      <x:c r="E104" s="44">
        <x:v>-7.0469999999999997</x:v>
      </x:c>
      <x:c r="F104" s="44">
        <x:v>6.1660000000000004</x:v>
      </x:c>
      <x:c r="G104" s="44">
        <x:v>3.3620000000000001</x:v>
      </x:c>
      <x:c r="H104" s="44">
        <x:v>1.643</x:v>
      </x:c>
      <x:c r="I104" s="44">
        <x:v>2.5139999999999998</x:v>
      </x:c>
      <x:c r="J104" s="44">
        <x:v>2.5139999999999998</x:v>
      </x:c>
      <x:c r="P104" s="189">
        <x:f t="shared" si="5"/>
        <x:v>1</x:v>
      </x:c>
    </x:row>
    <x:row r="105" spans="2:16">
      <x:c r="B105" s="84" t="s">
        <x:v>1974</x:v>
      </x:c>
      <x:c r="C105" s="60" t="s">
        <x:v>2620</x:v>
      </x:c>
      <x:c r="D105" s="44">
        <x:v>3.7930000000000001</x:v>
      </x:c>
      <x:c r="E105" s="44">
        <x:v>0.92200000000000004</x:v>
      </x:c>
      <x:c r="F105" s="44">
        <x:v>-7.452</x:v>
      </x:c>
      <x:c r="G105" s="44">
        <x:v>-16.091999999999999</x:v>
      </x:c>
      <x:c r="H105" s="44">
        <x:v>-8.8659999999999997</x:v>
      </x:c>
      <x:c r="I105" s="44">
        <x:v>2.5089999999999999</x:v>
      </x:c>
      <x:c r="J105" s="44">
        <x:v>2.5089999999999999</x:v>
      </x:c>
      <x:c r="P105" s="189">
        <x:f t="shared" si="5"/>
        <x:v>1</x:v>
      </x:c>
    </x:row>
    <x:row r="106" spans="2:16">
      <x:c r="B106" s="84" t="s">
        <x:v>667</x:v>
      </x:c>
      <x:c r="C106" s="60" t="s">
        <x:v>2621</x:v>
      </x:c>
      <x:c r="D106" s="44">
        <x:v>-4.8479999999999999</x:v>
      </x:c>
      <x:c r="E106" s="44">
        <x:v>-22.917999999999999</x:v>
      </x:c>
      <x:c r="F106" s="44">
        <x:v>-8.3239999999999998</x:v>
      </x:c>
      <x:c r="G106" s="44">
        <x:v>-1.1000000000000001</x:v>
      </x:c>
      <x:c r="H106" s="44">
        <x:v>4.274</x:v>
      </x:c>
      <x:c r="I106" s="44">
        <x:v>1.7450000000000001</x:v>
      </x:c>
      <x:c r="J106" s="44">
        <x:v>1.7450000000000001</x:v>
      </x:c>
      <x:c r="P106" s="189">
        <x:f t="shared" si="5"/>
        <x:v>1</x:v>
      </x:c>
    </x:row>
    <x:row r="107" spans="2:16">
      <x:c r="B107" s="84" t="s">
        <x:v>1965</x:v>
      </x:c>
      <x:c r="C107" s="60" t="s">
        <x:v>1042</x:v>
      </x:c>
      <x:c r="D107" s="44">
        <x:v>12.433999999999999</x:v>
      </x:c>
      <x:c r="E107" s="44">
        <x:v>-6.8680000000000003</x:v>
      </x:c>
      <x:c r="F107" s="44">
        <x:v>-9.6780000000000008</x:v>
      </x:c>
      <x:c r="G107" s="44">
        <x:v>1.22</x:v>
      </x:c>
      <x:c r="H107" s="44">
        <x:v>3.8290000000000002</x:v>
      </x:c>
      <x:c r="I107" s="44">
        <x:v>5.9729999999999999</x:v>
      </x:c>
      <x:c r="J107" s="44">
        <x:v>5.9729999999999999</x:v>
      </x:c>
      <x:c r="P107" s="189">
        <x:f t="shared" si="5"/>
        <x:v>1</x:v>
      </x:c>
    </x:row>
    <x:row r="108" spans="2:16">
      <x:c r="B108" s="84" t="s">
        <x:v>2612</x:v>
      </x:c>
      <x:c r="C108" s="60" t="s">
        <x:v>2603</x:v>
      </x:c>
      <x:c r="D108" s="44">
        <x:v>44.207999999999998</x:v>
      </x:c>
      <x:c r="E108" s="44">
        <x:v>-3.2490000000000001</x:v>
      </x:c>
      <x:c r="F108" s="44">
        <x:v>-1.8480000000000001</x:v>
      </x:c>
      <x:c r="G108" s="44">
        <x:v>-0.58199999999999996</x:v>
      </x:c>
      <x:c r="H108" s="44">
        <x:v>-1.258</x:v>
      </x:c>
      <x:c r="I108" s="44">
        <x:v>-2.3079999999999998</x:v>
      </x:c>
      <x:c r="J108" s="44">
        <x:v>-2.3079999999999998</x:v>
      </x:c>
      <x:c r="P108" s="189">
        <x:f t="shared" si="5"/>
        <x:v>1</x:v>
      </x:c>
    </x:row>
    <x:row r="109" spans="2:16">
      <x:c r="B109" s="84" t="s">
        <x:v>383</x:v>
      </x:c>
      <x:c r="C109" s="60" t="s">
        <x:v>1044</x:v>
      </x:c>
      <x:c r="D109" s="44">
        <x:v>10.739000000000001</x:v>
      </x:c>
      <x:c r="E109" s="44">
        <x:v>-4.7679999999999998</x:v>
      </x:c>
      <x:c r="F109" s="44">
        <x:v>3.218</x:v>
      </x:c>
      <x:c r="G109" s="44">
        <x:v>9.1859999999999999</x:v>
      </x:c>
      <x:c r="H109" s="44">
        <x:v>11.552</x:v>
      </x:c>
      <x:c r="I109" s="44">
        <x:v>20.370000000000001</x:v>
      </x:c>
      <x:c r="J109" s="44">
        <x:v>20.370000000000001</x:v>
      </x:c>
      <x:c r="P109" s="189">
        <x:f t="shared" si="5"/>
        <x:v>1</x:v>
      </x:c>
    </x:row>
    <x:row r="110" spans="2:16">
      <x:c r="B110" s="84" t="s">
        <x:v>1716</x:v>
      </x:c>
      <x:c r="C110" s="60" t="s">
        <x:v>2611</x:v>
      </x:c>
      <x:c r="D110" s="44">
        <x:v>9.2469999999999999</x:v>
      </x:c>
      <x:c r="E110" s="44">
        <x:v>-6.9219999999999997</x:v>
      </x:c>
      <x:c r="F110" s="44">
        <x:v>-24.274000000000001</x:v>
      </x:c>
      <x:c r="G110" s="44">
        <x:v>4.3410000000000002</x:v>
      </x:c>
      <x:c r="H110" s="44">
        <x:v>13.51</x:v>
      </x:c>
      <x:c r="I110" s="44">
        <x:v>-2.6850000000000001</x:v>
      </x:c>
      <x:c r="J110" s="44">
        <x:v>-2.6850000000000001</x:v>
      </x:c>
      <x:c r="P110" s="189">
        <x:f t="shared" si="5"/>
        <x:v>1</x:v>
      </x:c>
    </x:row>
    <x:row r="111" spans="2:16">
      <x:c r="B111" s="84" t="s">
        <x:v>1721</x:v>
      </x:c>
      <x:c r="C111" s="60" t="s">
        <x:v>2590</x:v>
      </x:c>
      <x:c r="D111" s="44">
        <x:v>-12.186</x:v>
      </x:c>
      <x:c r="E111" s="44">
        <x:v>-5.0259999999999998</x:v>
      </x:c>
      <x:c r="F111" s="44">
        <x:v>-28.297000000000001</x:v>
      </x:c>
      <x:c r="G111" s="44">
        <x:v>-22.297000000000001</x:v>
      </x:c>
      <x:c r="H111" s="44">
        <x:v>-11.762</x:v>
      </x:c>
      <x:c r="I111" s="44">
        <x:v>13.965</x:v>
      </x:c>
      <x:c r="J111" s="44">
        <x:v>13.965</x:v>
      </x:c>
      <x:c r="P111" s="189">
        <x:f t="shared" si="5"/>
        <x:v>1</x:v>
      </x:c>
    </x:row>
    <x:row r="112" spans="2:16">
      <x:c r="B112" s="84" t="s">
        <x:v>1717</x:v>
      </x:c>
      <x:c r="C112" s="60" t="s">
        <x:v>2593</x:v>
      </x:c>
      <x:c r="D112" s="44">
        <x:v>51.494999999999997</x:v>
      </x:c>
      <x:c r="E112" s="44">
        <x:v>-44.097000000000001</x:v>
      </x:c>
      <x:c r="F112" s="44">
        <x:v>-19.341000000000001</x:v>
      </x:c>
      <x:c r="G112" s="44">
        <x:v>52.948999999999998</x:v>
      </x:c>
      <x:c r="H112" s="44">
        <x:v>-1.851</x:v>
      </x:c>
      <x:c r="I112" s="44">
        <x:v>8.6259999999999994</x:v>
      </x:c>
      <x:c r="J112" s="44">
        <x:v>8.6259999999999994</x:v>
      </x:c>
      <x:c r="P112" s="189">
        <x:f t="shared" si="5"/>
        <x:v>1</x:v>
      </x:c>
    </x:row>
    <x:row r="113" spans="2:16">
      <x:c r="B113" s="84" t="s">
        <x:v>1041</x:v>
      </x:c>
      <x:c r="C113" s="60" t="s">
        <x:v>2595</x:v>
      </x:c>
      <x:c r="D113" s="44">
        <x:v>50.386000000000003</x:v>
      </x:c>
      <x:c r="E113" s="44">
        <x:v>-41.529000000000003</x:v>
      </x:c>
      <x:c r="F113" s="44">
        <x:v>-18.411999999999999</x:v>
      </x:c>
      <x:c r="G113" s="44">
        <x:v>48.707999999999998</x:v>
      </x:c>
      <x:c r="H113" s="44">
        <x:v>-0.216</x:v>
      </x:c>
      <x:c r="I113" s="44">
        <x:v>8.7210000000000001</x:v>
      </x:c>
      <x:c r="J113" s="44">
        <x:v>8.7210000000000001</x:v>
      </x:c>
      <x:c r="P113" s="189">
        <x:f t="shared" si="5"/>
        <x:v>1</x:v>
      </x:c>
    </x:row>
    <x:row r="114" spans="2:16">
      <x:c r="B114" s="84" t="s">
        <x:v>2616</x:v>
      </x:c>
      <x:c r="C114" s="60" t="s">
        <x:v>2596</x:v>
      </x:c>
      <x:c r="D114" s="44">
        <x:v>2.387</x:v>
      </x:c>
      <x:c r="E114" s="44">
        <x:v>0.92900000000000005</x:v>
      </x:c>
      <x:c r="F114" s="44">
        <x:v>0.61299999999999999</x:v>
      </x:c>
      <x:c r="G114" s="44">
        <x:v>0.60899999999999999</x:v>
      </x:c>
      <x:c r="H114" s="44">
        <x:v>0.60499999999999998</x:v>
      </x:c>
      <x:c r="I114" s="44">
        <x:v>0.60199999999999998</x:v>
      </x:c>
      <x:c r="J114" s="44">
        <x:v>0.60199999999999998</x:v>
      </x:c>
      <x:c r="P114" s="189">
        <x:f t="shared" si="5"/>
        <x:v>1</x:v>
      </x:c>
    </x:row>
    <x:row r="115" spans="3:16">
      <x:c r="C115" s="60"/>
      <x:c r="D115" s="225"/>
      <x:c r="E115" s="225"/>
      <x:c r="F115" s="225"/>
      <x:c r="G115" s="225"/>
      <x:c r="H115" s="225"/>
      <x:c r="I115" s="225"/>
      <x:c r="J115" s="225"/>
      <x:c r="P115" s="188">
        <x:v>1</x:v>
      </x:c>
    </x:row>
    <x:row r="116" spans="2:16">
      <x:c r="B116" s="87" t="s">
        <x:v>63</x:v>
      </x:c>
      <x:c r="C116" s="60"/>
      <x:c r="D116" s="225"/>
      <x:c r="E116" s="225"/>
      <x:c r="F116" s="225"/>
      <x:c r="G116" s="225"/>
      <x:c r="H116" s="225"/>
      <x:c r="I116" s="225"/>
      <x:c r="J116" s="225"/>
      <x:c r="P116" s="188">
        <x:v>1</x:v>
      </x:c>
    </x:row>
    <x:row r="117" spans="2:16">
      <x:c r="B117" s="3" t="s">
        <x:v>382</x:v>
      </x:c>
      <x:c r="C117" s="60" t="s">
        <x:v>1715</x:v>
      </x:c>
      <x:c r="D117" s="44">
        <x:v>-11.326000000000001</x:v>
      </x:c>
      <x:c r="E117" s="44">
        <x:v>-10.348000000000001</x:v>
      </x:c>
      <x:c r="F117" s="44">
        <x:v>1.601</x:v>
      </x:c>
      <x:c r="G117" s="44">
        <x:v>3.883</x:v>
      </x:c>
      <x:c r="H117" s="44">
        <x:v>3.0459999999999998</x:v>
      </x:c>
      <x:c r="I117" s="44">
        <x:v>3.718</x:v>
      </x:c>
      <x:c r="J117" s="44">
        <x:v>3.718</x:v>
      </x:c>
      <x:c r="P117" s="189">
        <x:f t="shared" ref="P117:P136" si="6">IF(COUNT(D117:J117)&lt;&gt;0,1,"")</x:f>
        <x:v>1</x:v>
      </x:c>
    </x:row>
    <x:row r="118" spans="2:16">
      <x:c r="B118" s="3" t="s">
        <x:v>1966</x:v>
      </x:c>
      <x:c r="C118" s="60" t="s">
        <x:v>2634</x:v>
      </x:c>
      <x:c r="D118" s="44">
        <x:v>-5.8159999999999998</x:v>
      </x:c>
      <x:c r="E118" s="44">
        <x:v>-5.1829999999999998</x:v>
      </x:c>
      <x:c r="F118" s="44">
        <x:v>1.2050000000000001</x:v>
      </x:c>
      <x:c r="G118" s="44">
        <x:v>3.5800000000000001</x:v>
      </x:c>
      <x:c r="H118" s="44">
        <x:v>4.1319999999999997</x:v>
      </x:c>
      <x:c r="I118" s="44">
        <x:v>6.3300000000000001</x:v>
      </x:c>
      <x:c r="J118" s="44">
        <x:v>6.3300000000000001</x:v>
      </x:c>
      <x:c r="P118" s="189">
        <x:f t="shared" si="6"/>
        <x:v>1</x:v>
      </x:c>
    </x:row>
    <x:row r="119" spans="2:16">
      <x:c r="B119" s="3" t="s">
        <x:v>1150</x:v>
      </x:c>
      <x:c r="C119" s="60" t="s">
        <x:v>1720</x:v>
      </x:c>
      <x:c r="D119" s="44">
        <x:v>-11.207000000000001</x:v>
      </x:c>
      <x:c r="E119" s="44">
        <x:v>-13.868</x:v>
      </x:c>
      <x:c r="F119" s="44">
        <x:v>-7.4630000000000001</x:v>
      </x:c>
      <x:c r="G119" s="44">
        <x:v>3.9020000000000001</x:v>
      </x:c>
      <x:c r="H119" s="44">
        <x:v>4.4480000000000004</x:v>
      </x:c>
      <x:c r="I119" s="44">
        <x:v>15.906000000000001</x:v>
      </x:c>
      <x:c r="J119" s="44">
        <x:v>15.906000000000001</x:v>
      </x:c>
      <x:c r="P119" s="189">
        <x:f t="shared" si="6"/>
        <x:v>1</x:v>
      </x:c>
    </x:row>
    <x:row r="120" spans="2:16">
      <x:c r="B120" s="3" t="s">
        <x:v>1153</x:v>
      </x:c>
      <x:c r="C120" s="60" t="s">
        <x:v>2636</x:v>
      </x:c>
      <x:c r="D120" s="44">
        <x:v>-18.564</x:v>
      </x:c>
      <x:c r="E120" s="44">
        <x:v>-20.140999999999998</x:v>
      </x:c>
      <x:c r="F120" s="44">
        <x:v>-0.432</x:v>
      </x:c>
      <x:c r="G120" s="44">
        <x:v>17.376000000000001</x:v>
      </x:c>
      <x:c r="H120" s="44">
        <x:v>16.114999999999998</x:v>
      </x:c>
      <x:c r="I120" s="44">
        <x:v>8.2520000000000007</x:v>
      </x:c>
      <x:c r="J120" s="44">
        <x:v>8.2520000000000007</x:v>
      </x:c>
      <x:c r="P120" s="189">
        <x:f t="shared" si="6"/>
        <x:v>1</x:v>
      </x:c>
    </x:row>
    <x:row r="121" spans="2:16">
      <x:c r="B121" s="3" t="s">
        <x:v>1152</x:v>
      </x:c>
      <x:c r="C121" s="60" t="s">
        <x:v>2625</x:v>
      </x:c>
      <x:c r="D121" s="44">
        <x:v>-26.376000000000001</x:v>
      </x:c>
      <x:c r="E121" s="44">
        <x:v>-24.969999999999999</x:v>
      </x:c>
      <x:c r="F121" s="44">
        <x:v>-0.080000000000000004</x:v>
      </x:c>
      <x:c r="G121" s="44">
        <x:v>28.547999999999998</x:v>
      </x:c>
      <x:c r="H121" s="44">
        <x:v>20.579999999999998</x:v>
      </x:c>
      <x:c r="I121" s="44">
        <x:v>16.058</x:v>
      </x:c>
      <x:c r="J121" s="44">
        <x:v>16.058</x:v>
      </x:c>
      <x:c r="P121" s="189">
        <x:f t="shared" si="6"/>
        <x:v>1</x:v>
      </x:c>
    </x:row>
    <x:row r="122" spans="2:16">
      <x:c r="B122" s="3" t="s">
        <x:v>691</x:v>
      </x:c>
      <x:c r="C122" s="60" t="s">
        <x:v>1048</x:v>
      </x:c>
      <x:c r="D122" s="44">
        <x:v>-11.94</x:v>
      </x:c>
      <x:c r="E122" s="44">
        <x:v>-18.553000000000001</x:v>
      </x:c>
      <x:c r="F122" s="44">
        <x:v>-37.057000000000002</x:v>
      </x:c>
      <x:c r="G122" s="44">
        <x:v>24.094999999999999</x:v>
      </x:c>
      <x:c r="H122" s="44">
        <x:v>8.4710000000000001</x:v>
      </x:c>
      <x:c r="I122" s="44">
        <x:v>81.024000000000001</x:v>
      </x:c>
      <x:c r="J122" s="44">
        <x:v>81.024000000000001</x:v>
      </x:c>
      <x:c r="P122" s="189">
        <x:f t="shared" si="6"/>
        <x:v>1</x:v>
      </x:c>
    </x:row>
    <x:row r="123" spans="2:16">
      <x:c r="B123" s="3" t="s">
        <x:v>1972</x:v>
      </x:c>
      <x:c r="C123" s="60" t="s">
        <x:v>2630</x:v>
      </x:c>
      <x:c r="D123" s="44">
        <x:v>-0.95399999999999996</x:v>
      </x:c>
      <x:c r="E123" s="44">
        <x:v>-13.022</x:v>
      </x:c>
      <x:c r="F123" s="44">
        <x:v>-44.195</x:v>
      </x:c>
      <x:c r="G123" s="44">
        <x:v>10.303000000000001</x:v>
      </x:c>
      <x:c r="H123" s="44">
        <x:v>1.599</x:v>
      </x:c>
      <x:c r="I123" s="44">
        <x:v>86.272000000000006</x:v>
      </x:c>
      <x:c r="J123" s="44">
        <x:v>86.272000000000006</x:v>
      </x:c>
      <x:c r="P123" s="189">
        <x:f t="shared" si="6"/>
        <x:v>1</x:v>
      </x:c>
    </x:row>
    <x:row r="124" spans="2:16">
      <x:c r="B124" s="3" t="s">
        <x:v>1712</x:v>
      </x:c>
      <x:c r="C124" s="60" t="s">
        <x:v>1691</x:v>
      </x:c>
      <x:c r="D124" s="44">
        <x:v>-39.122999999999998</x:v>
      </x:c>
      <x:c r="E124" s="44">
        <x:v>-25.425000000000001</x:v>
      </x:c>
      <x:c r="F124" s="44">
        <x:v>3.1389999999999998</x:v>
      </x:c>
      <x:c r="G124" s="44">
        <x:v>52.25</x:v>
      </x:c>
      <x:c r="H124" s="44">
        <x:v>24.620000000000001</x:v>
      </x:c>
      <x:c r="I124" s="44">
        <x:v>13.470000000000001</x:v>
      </x:c>
      <x:c r="J124" s="44">
        <x:v>13.470000000000001</x:v>
      </x:c>
      <x:c r="P124" s="189">
        <x:f t="shared" si="6"/>
        <x:v>1</x:v>
      </x:c>
    </x:row>
    <x:row r="125" spans="2:16">
      <x:c r="B125" s="3" t="s">
        <x:v>1713</x:v>
      </x:c>
      <x:c r="C125" s="60" t="s">
        <x:v>2622</x:v>
      </x:c>
      <x:c r="D125" s="44">
        <x:v>-10.628</x:v>
      </x:c>
      <x:c r="E125" s="44">
        <x:v>-18.187000000000001</x:v>
      </x:c>
      <x:c r="F125" s="44">
        <x:v>-37.533000000000001</x:v>
      </x:c>
      <x:c r="G125" s="44">
        <x:v>22.965</x:v>
      </x:c>
      <x:c r="H125" s="44">
        <x:v>7.2089999999999996</x:v>
      </x:c>
      <x:c r="I125" s="44">
        <x:v>78.765000000000001</x:v>
      </x:c>
      <x:c r="J125" s="44">
        <x:v>78.765000000000001</x:v>
      </x:c>
      <x:c r="P125" s="189">
        <x:f t="shared" si="6"/>
        <x:v>1</x:v>
      </x:c>
    </x:row>
    <x:row r="126" spans="2:16">
      <x:c r="B126" s="3" t="s">
        <x:v>2608</x:v>
      </x:c>
      <x:c r="C126" s="60" t="s">
        <x:v>1722</x:v>
      </x:c>
      <x:c r="D126" s="44">
        <x:v>-12.880000000000001</x:v>
      </x:c>
      <x:c r="E126" s="44">
        <x:v>-2.9420000000000002</x:v>
      </x:c>
      <x:c r="F126" s="44">
        <x:v>-5.7320000000000002</x:v>
      </x:c>
      <x:c r="G126" s="44">
        <x:v>7.4909999999999997</x:v>
      </x:c>
      <x:c r="H126" s="44">
        <x:v>0.055000000000000004</x:v>
      </x:c>
      <x:c r="I126" s="44">
        <x:v>5.0119999999999996</x:v>
      </x:c>
      <x:c r="J126" s="44">
        <x:v>5.0119999999999996</x:v>
      </x:c>
      <x:c r="P126" s="189">
        <x:f t="shared" si="6"/>
        <x:v>1</x:v>
      </x:c>
    </x:row>
    <x:row r="127" spans="2:16">
      <x:c r="B127" s="3" t="s">
        <x:v>1974</x:v>
      </x:c>
      <x:c r="C127" s="60" t="s">
        <x:v>2631</x:v>
      </x:c>
      <x:c r="D127" s="44">
        <x:v>4.6070000000000002</x:v>
      </x:c>
      <x:c r="E127" s="44">
        <x:v>-0.65800000000000003</x:v>
      </x:c>
      <x:c r="F127" s="44">
        <x:v>-1.399</x:v>
      </x:c>
      <x:c r="G127" s="44">
        <x:v>-13.789999999999999</x:v>
      </x:c>
      <x:c r="H127" s="44">
        <x:v>-7.8819999999999997</x:v>
      </x:c>
      <x:c r="I127" s="44">
        <x:v>-7.71</x:v>
      </x:c>
      <x:c r="J127" s="44">
        <x:v>-7.71</x:v>
      </x:c>
      <x:c r="P127" s="189">
        <x:f t="shared" si="6"/>
        <x:v>1</x:v>
      </x:c>
    </x:row>
    <x:row r="128" spans="2:16">
      <x:c r="B128" s="3" t="s">
        <x:v>667</x:v>
      </x:c>
      <x:c r="C128" s="60" t="s">
        <x:v>2623</x:v>
      </x:c>
      <x:c r="D128" s="44">
        <x:v>-4.2080000000000002</x:v>
      </x:c>
      <x:c r="E128" s="44">
        <x:v>-6.1669999999999998</x:v>
      </x:c>
      <x:c r="F128" s="44">
        <x:v>-18.204999999999998</x:v>
      </x:c>
      <x:c r="G128" s="44">
        <x:v>-3.7189999999999999</x:v>
      </x:c>
      <x:c r="H128" s="44">
        <x:v>0.048999999999999999</x:v>
      </x:c>
      <x:c r="I128" s="44">
        <x:v>3.2080000000000002</x:v>
      </x:c>
      <x:c r="J128" s="44">
        <x:v>3.2080000000000002</x:v>
      </x:c>
      <x:c r="P128" s="189">
        <x:f t="shared" si="6"/>
        <x:v>1</x:v>
      </x:c>
    </x:row>
    <x:row r="129" spans="2:16">
      <x:c r="B129" s="3" t="s">
        <x:v>1965</x:v>
      </x:c>
      <x:c r="C129" s="60" t="s">
        <x:v>1045</x:v>
      </x:c>
      <x:c r="D129" s="44">
        <x:v>7.556</x:v>
      </x:c>
      <x:c r="E129" s="44">
        <x:v>2.2759999999999998</x:v>
      </x:c>
      <x:c r="F129" s="44">
        <x:v>-5.7919999999999998</x:v>
      </x:c>
      <x:c r="G129" s="44">
        <x:v>-4.6429999999999998</x:v>
      </x:c>
      <x:c r="H129" s="44">
        <x:v>1.29</x:v>
      </x:c>
      <x:c r="I129" s="44">
        <x:v>6.077</x:v>
      </x:c>
      <x:c r="J129" s="44">
        <x:v>6.077</x:v>
      </x:c>
      <x:c r="P129" s="189">
        <x:f t="shared" si="6"/>
        <x:v>1</x:v>
      </x:c>
    </x:row>
    <x:row r="130" spans="2:16">
      <x:c r="B130" s="3" t="s">
        <x:v>2612</x:v>
      </x:c>
      <x:c r="C130" s="60" t="s">
        <x:v>2632</x:v>
      </x:c>
      <x:c r="D130" s="44">
        <x:v>26.933</x:v>
      </x:c>
      <x:c r="E130" s="44">
        <x:v>29.734999999999999</x:v>
      </x:c>
      <x:c r="F130" s="44">
        <x:v>-4.9459999999999997</x:v>
      </x:c>
      <x:c r="G130" s="44">
        <x:v>1.2450000000000001</x:v>
      </x:c>
      <x:c r="H130" s="44">
        <x:v>-3.6469999999999998</x:v>
      </x:c>
      <x:c r="I130" s="44">
        <x:v>0.92900000000000005</x:v>
      </x:c>
      <x:c r="J130" s="44">
        <x:v>0.92900000000000005</x:v>
      </x:c>
      <x:c r="P130" s="189">
        <x:f t="shared" si="6"/>
        <x:v>1</x:v>
      </x:c>
    </x:row>
    <x:row r="131" spans="2:16">
      <x:c r="B131" s="3" t="s">
        <x:v>383</x:v>
      </x:c>
      <x:c r="C131" s="60" t="s">
        <x:v>1046</x:v>
      </x:c>
      <x:c r="D131" s="44">
        <x:v>5.3929999999999998</x:v>
      </x:c>
      <x:c r="E131" s="44">
        <x:v>4.0140000000000002</x:v>
      </x:c>
      <x:c r="F131" s="44">
        <x:v>1.734</x:v>
      </x:c>
      <x:c r="G131" s="44">
        <x:v>3.04</x:v>
      </x:c>
      <x:c r="H131" s="44">
        <x:v>13.048</x:v>
      </x:c>
      <x:c r="I131" s="44">
        <x:v>14.16</x:v>
      </x:c>
      <x:c r="J131" s="44">
        <x:v>14.16</x:v>
      </x:c>
      <x:c r="P131" s="189">
        <x:f t="shared" si="6"/>
        <x:v>1</x:v>
      </x:c>
    </x:row>
    <x:row r="132" spans="2:16">
      <x:c r="B132" s="3" t="s">
        <x:v>1716</x:v>
      </x:c>
      <x:c r="C132" s="60" t="s">
        <x:v>2624</x:v>
      </x:c>
      <x:c r="D132" s="44">
        <x:v>2.8540000000000001</x:v>
      </x:c>
      <x:c r="E132" s="44">
        <x:v>-5.6740000000000004</x:v>
      </x:c>
      <x:c r="F132" s="44">
        <x:v>-10.936</x:v>
      </x:c>
      <x:c r="G132" s="44">
        <x:v>-8.5199999999999996</x:v>
      </x:c>
      <x:c r="H132" s="44">
        <x:v>1.663</x:v>
      </x:c>
      <x:c r="I132" s="44">
        <x:v>8.1310000000000002</x:v>
      </x:c>
      <x:c r="J132" s="44">
        <x:v>8.1310000000000002</x:v>
      </x:c>
      <x:c r="P132" s="189">
        <x:f t="shared" si="6"/>
        <x:v>1</x:v>
      </x:c>
    </x:row>
    <x:row r="133" spans="2:16">
      <x:c r="B133" s="3" t="s">
        <x:v>1721</x:v>
      </x:c>
      <x:c r="C133" s="60" t="s">
        <x:v>2626</x:v>
      </x:c>
      <x:c r="D133" s="44">
        <x:v>-6.7530000000000001</x:v>
      </x:c>
      <x:c r="E133" s="44">
        <x:v>-15.313000000000001</x:v>
      </x:c>
      <x:c r="F133" s="44">
        <x:v>-16.184999999999999</x:v>
      </x:c>
      <x:c r="G133" s="44">
        <x:v>-21.945</x:v>
      </x:c>
      <x:c r="H133" s="44">
        <x:v>-20.196000000000002</x:v>
      </x:c>
      <x:c r="I133" s="44">
        <x:v>6.3049999999999997</x:v>
      </x:c>
      <x:c r="J133" s="44">
        <x:v>6.3049999999999997</x:v>
      </x:c>
      <x:c r="P133" s="189">
        <x:f t="shared" si="6"/>
        <x:v>1</x:v>
      </x:c>
    </x:row>
    <x:row r="134" spans="2:16">
      <x:c r="B134" s="3" t="s">
        <x:v>1717</x:v>
      </x:c>
      <x:c r="C134" s="60" t="s">
        <x:v>2633</x:v>
      </x:c>
      <x:c r="D134" s="44">
        <x:v>22.765999999999998</x:v>
      </x:c>
      <x:c r="E134" s="44">
        <x:v>-10.638999999999999</x:v>
      </x:c>
      <x:c r="F134" s="44">
        <x:v>-13.202</x:v>
      </x:c>
      <x:c r="G134" s="44">
        <x:v>-10.067</x:v>
      </x:c>
      <x:c r="H134" s="44">
        <x:v>26.32</x:v>
      </x:c>
      <x:c r="I134" s="44">
        <x:v>9.6739999999999995</x:v>
      </x:c>
      <x:c r="J134" s="44">
        <x:v>9.6739999999999995</x:v>
      </x:c>
      <x:c r="P134" s="189">
        <x:f t="shared" si="6"/>
        <x:v>1</x:v>
      </x:c>
    </x:row>
    <x:row r="135" spans="2:16">
      <x:c r="B135" s="3" t="s">
        <x:v>1041</x:v>
      </x:c>
      <x:c r="C135" s="60" t="s">
        <x:v>2627</x:v>
      </x:c>
      <x:c r="D135" s="44">
        <x:v>23.012</x:v>
      </x:c>
      <x:c r="E135" s="44">
        <x:v>-8.2959999999999994</x:v>
      </x:c>
      <x:c r="F135" s="44">
        <x:v>-12.609999999999999</x:v>
      </x:c>
      <x:c r="G135" s="44">
        <x:v>-8.9800000000000004</x:v>
      </x:c>
      <x:c r="H135" s="44">
        <x:v>24.797999999999998</x:v>
      </x:c>
      <x:c r="I135" s="44">
        <x:v>10.220000000000001</x:v>
      </x:c>
      <x:c r="J135" s="44">
        <x:v>10.220000000000001</x:v>
      </x:c>
      <x:c r="P135" s="189">
        <x:f t="shared" si="6"/>
        <x:v>1</x:v>
      </x:c>
    </x:row>
    <x:row r="136" spans="2:16">
      <x:c r="B136" s="3" t="s">
        <x:v>2616</x:v>
      </x:c>
      <x:c r="C136" s="60" t="s">
        <x:v>2635</x:v>
      </x:c>
      <x:c r="D136" s="44">
        <x:v>3.3340000000000001</x:v>
      </x:c>
      <x:c r="E136" s="44">
        <x:v>1.7929999999999999</x:v>
      </x:c>
      <x:c r="F136" s="44">
        <x:v>0.82299999999999995</x:v>
      </x:c>
      <x:c r="G136" s="44">
        <x:v>0.61099999999999999</x:v>
      </x:c>
      <x:c r="H136" s="44">
        <x:v>0.60699999999999998</x:v>
      </x:c>
      <x:c r="I136" s="44">
        <x:v>0.60299999999999998</x:v>
      </x:c>
      <x:c r="J136" s="44">
        <x:v>0.60299999999999998</x:v>
      </x:c>
      <x:c r="P136" s="189">
        <x:f t="shared" si="6"/>
        <x:v>1</x:v>
      </x:c>
    </x:row>
    <x:row r="137" spans="3:16">
      <x:c r="C137" s="60"/>
      <x:c r="D137" s="225"/>
      <x:c r="E137" s="225"/>
      <x:c r="F137" s="225"/>
      <x:c r="G137" s="225"/>
      <x:c r="H137" s="225"/>
      <x:c r="I137" s="225"/>
      <x:c r="J137" s="225"/>
      <x:c r="P137" s="188">
        <x:v>1</x:v>
      </x:c>
    </x:row>
    <x:row r="138" spans="2:16">
      <x:c r="B138" s="87" t="s">
        <x:v>62</x:v>
      </x:c>
      <x:c r="C138" s="60"/>
      <x:c r="D138" s="225"/>
      <x:c r="E138" s="225"/>
      <x:c r="F138" s="225"/>
      <x:c r="G138" s="225"/>
      <x:c r="H138" s="225"/>
      <x:c r="I138" s="225"/>
      <x:c r="J138" s="225"/>
      <x:c r="P138" s="188">
        <x:v>1</x:v>
      </x:c>
    </x:row>
    <x:row r="139" spans="2:16">
      <x:c r="B139" s="3" t="s">
        <x:v>382</x:v>
      </x:c>
      <x:c r="C139" s="60" t="s">
        <x:v>1705</x:v>
      </x:c>
      <x:c r="D139" s="44">
        <x:v>-7.5590000000000002</x:v>
      </x:c>
      <x:c r="E139" s="44">
        <x:v>-6.4210000000000003</x:v>
      </x:c>
      <x:c r="F139" s="44">
        <x:v>-5.2199999999999998</x:v>
      </x:c>
      <x:c r="G139" s="44">
        <x:v>-4.9160000000000004</x:v>
      </x:c>
      <x:c r="H139" s="44">
        <x:v>1.6879999999999999</x:v>
      </x:c>
      <x:c r="I139" s="44">
        <x:v>4.1239999999999997</x:v>
      </x:c>
      <x:c r="J139" s="44">
        <x:v>4.1239999999999997</x:v>
      </x:c>
      <x:c r="P139" s="189">
        <x:f t="shared" ref="P139:P158" si="7">IF(COUNT(D139:J139)&lt;&gt;0,1,"")</x:f>
        <x:v>1</x:v>
      </x:c>
    </x:row>
    <x:row r="140" spans="2:16">
      <x:c r="B140" s="3" t="s">
        <x:v>1966</x:v>
      </x:c>
      <x:c r="C140" s="60" t="s">
        <x:v>2628</x:v>
      </x:c>
      <x:c r="D140" s="44">
        <x:v>-5.3739999999999997</x:v>
      </x:c>
      <x:c r="E140" s="44">
        <x:v>-3.9510000000000001</x:v>
      </x:c>
      <x:c r="F140" s="44">
        <x:v>-2.4180000000000001</x:v>
      </x:c>
      <x:c r="G140" s="44">
        <x:v>-1.4710000000000001</x:v>
      </x:c>
      <x:c r="H140" s="44">
        <x:v>2.4279999999999999</x:v>
      </x:c>
      <x:c r="I140" s="44">
        <x:v>4.9489999999999998</x:v>
      </x:c>
      <x:c r="J140" s="44">
        <x:v>4.9489999999999998</x:v>
      </x:c>
      <x:c r="P140" s="189">
        <x:f t="shared" si="7"/>
        <x:v>1</x:v>
      </x:c>
    </x:row>
    <x:row r="141" spans="2:16">
      <x:c r="B141" s="3" t="s">
        <x:v>1150</x:v>
      </x:c>
      <x:c r="C141" s="60" t="s">
        <x:v>1709</x:v>
      </x:c>
      <x:c r="D141" s="44">
        <x:v>-11.029999999999999</x:v>
      </x:c>
      <x:c r="E141" s="44">
        <x:v>-9.4239999999999995</x:v>
      </x:c>
      <x:c r="F141" s="44">
        <x:v>-7.8579999999999997</x:v>
      </x:c>
      <x:c r="G141" s="44">
        <x:v>-6.3639999999999999</x:v>
      </x:c>
      <x:c r="H141" s="44">
        <x:v>-1.0700000000000001</x:v>
      </x:c>
      <x:c r="I141" s="44">
        <x:v>8.1170000000000009</x:v>
      </x:c>
      <x:c r="J141" s="44">
        <x:v>8.1170000000000009</x:v>
      </x:c>
      <x:c r="P141" s="189">
        <x:f t="shared" si="7"/>
        <x:v>1</x:v>
      </x:c>
    </x:row>
    <x:row r="142" spans="2:16">
      <x:c r="B142" s="3" t="s">
        <x:v>1153</x:v>
      </x:c>
      <x:c r="C142" s="60" t="s">
        <x:v>2629</x:v>
      </x:c>
      <x:c r="D142" s="44">
        <x:v>-16.637</x:v>
      </x:c>
      <x:c r="E142" s="44">
        <x:v>-13.933</x:v>
      </x:c>
      <x:c r="F142" s="44">
        <x:v>-6.8319999999999999</x:v>
      </x:c>
      <x:c r="G142" s="44">
        <x:v>-4.5739999999999998</x:v>
      </x:c>
      <x:c r="H142" s="44">
        <x:v>4.3520000000000003</x:v>
      </x:c>
      <x:c r="I142" s="44">
        <x:v>10.52</x:v>
      </x:c>
      <x:c r="J142" s="44">
        <x:v>10.52</x:v>
      </x:c>
      <x:c r="P142" s="189">
        <x:f t="shared" si="7"/>
        <x:v>1</x:v>
      </x:c>
    </x:row>
    <x:row r="143" spans="2:16">
      <x:c r="B143" s="3" t="s">
        <x:v>1152</x:v>
      </x:c>
      <x:c r="C143" s="60" t="s">
        <x:v>2271</x:v>
      </x:c>
      <x:c r="D143" s="44">
        <x:v>-22.352</x:v>
      </x:c>
      <x:c r="E143" s="44">
        <x:v>-16.995999999999999</x:v>
      </x:c>
      <x:c r="F143" s="44">
        <x:v>-8.4299999999999997</x:v>
      </x:c>
      <x:c r="G143" s="44">
        <x:v>-5.6109999999999998</x:v>
      </x:c>
      <x:c r="H143" s="44">
        <x:v>5.3600000000000003</x:v>
      </x:c>
      <x:c r="I143" s="44">
        <x:v>20.321999999999999</x:v>
      </x:c>
      <x:c r="J143" s="44">
        <x:v>20.321999999999999</x:v>
      </x:c>
      <x:c r="P143" s="189">
        <x:f t="shared" si="7"/>
        <x:v>1</x:v>
      </x:c>
    </x:row>
    <x:row r="144" spans="2:16">
      <x:c r="B144" s="3" t="s">
        <x:v>691</x:v>
      </x:c>
      <x:c r="C144" s="60" t="s">
        <x:v>1047</x:v>
      </x:c>
      <x:c r="D144" s="44">
        <x:v>-21.704999999999998</x:v>
      </x:c>
      <x:c r="E144" s="44">
        <x:v>-16.882999999999999</x:v>
      </x:c>
      <x:c r="F144" s="44">
        <x:v>-20.908999999999999</x:v>
      </x:c>
      <x:c r="G144" s="44">
        <x:v>-2.9399999999999999</x:v>
      </x:c>
      <x:c r="H144" s="44">
        <x:v>-3.387</x:v>
      </x:c>
      <x:c r="I144" s="44">
        <x:v>21.870999999999999</x:v>
      </x:c>
      <x:c r="J144" s="44">
        <x:v>21.870999999999999</x:v>
      </x:c>
      <x:c r="P144" s="189">
        <x:f t="shared" si="7"/>
        <x:v>1</x:v>
      </x:c>
    </x:row>
    <x:row r="145" spans="2:16">
      <x:c r="B145" s="3" t="s">
        <x:v>1972</x:v>
      </x:c>
      <x:c r="C145" s="60" t="s">
        <x:v>2251</x:v>
      </x:c>
      <x:c r="D145" s="44">
        <x:v>-15.776999999999999</x:v>
      </x:c>
      <x:c r="E145" s="44">
        <x:v>-13.519</x:v>
      </x:c>
      <x:c r="F145" s="44">
        <x:v>-22.207999999999998</x:v>
      </x:c>
      <x:c r="G145" s="44">
        <x:v>-2.9820000000000002</x:v>
      </x:c>
      <x:c r="H145" s="44">
        <x:v>-8.5779999999999994</x:v>
      </x:c>
      <x:c r="I145" s="44">
        <x:v>13.637</x:v>
      </x:c>
      <x:c r="J145" s="44">
        <x:v>13.637</x:v>
      </x:c>
      <x:c r="P145" s="189">
        <x:f t="shared" si="7"/>
        <x:v>1</x:v>
      </x:c>
    </x:row>
    <x:row r="146" spans="2:16">
      <x:c r="B146" s="3" t="s">
        <x:v>1712</x:v>
      </x:c>
      <x:c r="C146" s="60" t="s">
        <x:v>1697</x:v>
      </x:c>
      <x:c r="D146" s="44">
        <x:v>-31.309999999999999</x:v>
      </x:c>
      <x:c r="E146" s="44">
        <x:v>-18.920999999999999</x:v>
      </x:c>
      <x:c r="F146" s="44">
        <x:v>-9.1129999999999995</x:v>
      </x:c>
      <x:c r="G146" s="44">
        <x:v>-4.3579999999999997</x:v>
      </x:c>
      <x:c r="H146" s="44">
        <x:v>7.1559999999999997</x:v>
      </x:c>
      <x:c r="I146" s="44">
        <x:v>32.055999999999997</x:v>
      </x:c>
      <x:c r="J146" s="44">
        <x:v>32.055999999999997</x:v>
      </x:c>
      <x:c r="P146" s="189">
        <x:f t="shared" si="7"/>
        <x:v>1</x:v>
      </x:c>
    </x:row>
    <x:row r="147" spans="2:16">
      <x:c r="B147" s="3" t="s">
        <x:v>1713</x:v>
      </x:c>
      <x:c r="C147" s="60" t="s">
        <x:v>2249</x:v>
      </x:c>
      <x:c r="D147" s="44">
        <x:v>-20.262</x:v>
      </x:c>
      <x:c r="E147" s="44">
        <x:v>-15.907999999999999</x:v>
      </x:c>
      <x:c r="F147" s="44">
        <x:v>-20.5</x:v>
      </x:c>
      <x:c r="G147" s="44">
        <x:v>-3.048</x:v>
      </x:c>
      <x:c r="H147" s="44">
        <x:v>-4.3049999999999997</x:v>
      </x:c>
      <x:c r="I147" s="44">
        <x:v>20.507999999999999</x:v>
      </x:c>
      <x:c r="J147" s="44">
        <x:v>20.507999999999999</x:v>
      </x:c>
      <x:c r="P147" s="189">
        <x:f t="shared" si="7"/>
        <x:v>1</x:v>
      </x:c>
    </x:row>
    <x:row r="148" spans="2:16">
      <x:c r="B148" s="3" t="s">
        <x:v>2608</x:v>
      </x:c>
      <x:c r="C148" s="60" t="s">
        <x:v>1696</x:v>
      </x:c>
      <x:c r="D148" s="44">
        <x:v>-5.6970000000000001</x:v>
      </x:c>
      <x:c r="E148" s="44">
        <x:v>-4.681</x:v>
      </x:c>
      <x:c r="F148" s="44">
        <x:v>-5.71</x:v>
      </x:c>
      <x:c r="G148" s="44">
        <x:v>-0.46800000000000003</x:v>
      </x:c>
      <x:c r="H148" s="44">
        <x:v>-2.8490000000000002</x:v>
      </x:c>
      <x:c r="I148" s="44">
        <x:v>5.4720000000000004</x:v>
      </x:c>
      <x:c r="J148" s="44">
        <x:v>5.4720000000000004</x:v>
      </x:c>
      <x:c r="P148" s="189">
        <x:f t="shared" si="7"/>
        <x:v>1</x:v>
      </x:c>
    </x:row>
    <x:row r="149" spans="2:16">
      <x:c r="B149" s="3" t="s">
        <x:v>1974</x:v>
      </x:c>
      <x:c r="C149" s="60" t="s">
        <x:v>2250</x:v>
      </x:c>
      <x:c r="D149" s="44">
        <x:v>3.1600000000000001</x:v>
      </x:c>
      <x:c r="E149" s="44">
        <x:v>1.2070000000000001</x:v>
      </x:c>
      <x:c r="F149" s="44">
        <x:v>-0.39500000000000002</x:v>
      </x:c>
      <x:c r="G149" s="44">
        <x:v>-7.1459999999999999</x:v>
      </x:c>
      <x:c r="H149" s="44">
        <x:v>-4.4569999999999999</x:v>
      </x:c>
      <x:c r="I149" s="44">
        <x:v>-7.6070000000000002</x:v>
      </x:c>
      <x:c r="J149" s="44">
        <x:v>-7.6070000000000002</x:v>
      </x:c>
      <x:c r="P149" s="189">
        <x:f t="shared" si="7"/>
        <x:v>1</x:v>
      </x:c>
    </x:row>
    <x:row r="150" spans="2:16">
      <x:c r="B150" s="3" t="s">
        <x:v>667</x:v>
      </x:c>
      <x:c r="C150" s="60" t="s">
        <x:v>2262</x:v>
      </x:c>
      <x:c r="D150" s="44">
        <x:v>-1.8500000000000001</x:v>
      </x:c>
      <x:c r="E150" s="44">
        <x:v>-3.8149999999999999</x:v>
      </x:c>
      <x:c r="F150" s="44">
        <x:v>-5.8760000000000003</x:v>
      </x:c>
      <x:c r="G150" s="44">
        <x:v>-4.1719999999999997</x:v>
      </x:c>
      <x:c r="H150" s="44">
        <x:v>-9.8620000000000001</x:v>
      </x:c>
      <x:c r="I150" s="44">
        <x:v>-1.569</x:v>
      </x:c>
      <x:c r="J150" s="44">
        <x:v>-1.569</x:v>
      </x:c>
      <x:c r="P150" s="189">
        <x:f t="shared" si="7"/>
        <x:v>1</x:v>
      </x:c>
    </x:row>
    <x:row r="151" spans="2:16">
      <x:c r="B151" s="3" t="s">
        <x:v>1965</x:v>
      </x:c>
      <x:c r="C151" s="60" t="s">
        <x:v>1049</x:v>
      </x:c>
      <x:c r="D151" s="44">
        <x:v>7.1369999999999996</x:v>
      </x:c>
      <x:c r="E151" s="44">
        <x:v>2.3599999999999999</x:v>
      </x:c>
      <x:c r="F151" s="44">
        <x:v>0.29899999999999999</x:v>
      </x:c>
      <x:c r="G151" s="44">
        <x:v>1.8520000000000001</x:v>
      </x:c>
      <x:c r="H151" s="44">
        <x:v>-2.056</x:v>
      </x:c>
      <x:c r="I151" s="44">
        <x:v>-0.53000000000000003</x:v>
      </x:c>
      <x:c r="J151" s="44">
        <x:v>-0.53000000000000003</x:v>
      </x:c>
      <x:c r="P151" s="189">
        <x:f t="shared" si="7"/>
        <x:v>1</x:v>
      </x:c>
    </x:row>
    <x:row r="152" spans="2:16">
      <x:c r="B152" s="3" t="s">
        <x:v>2612</x:v>
      </x:c>
      <x:c r="C152" s="60" t="s">
        <x:v>2268</x:v>
      </x:c>
      <x:c r="D152" s="44">
        <x:v>17.163</x:v>
      </x:c>
      <x:c r="E152" s="44">
        <x:v>16.817</x:v>
      </x:c>
      <x:c r="F152" s="44">
        <x:v>14.526</x:v>
      </x:c>
      <x:c r="G152" s="44">
        <x:v>16.632999999999999</x:v>
      </x:c>
      <x:c r="H152" s="44">
        <x:v>-3.488</x:v>
      </x:c>
      <x:c r="I152" s="44">
        <x:v>-0.191</x:v>
      </x:c>
      <x:c r="J152" s="44">
        <x:v>-0.191</x:v>
      </x:c>
      <x:c r="P152" s="189">
        <x:f t="shared" si="7"/>
        <x:v>1</x:v>
      </x:c>
    </x:row>
    <x:row r="153" spans="2:16">
      <x:c r="B153" s="3" t="s">
        <x:v>383</x:v>
      </x:c>
      <x:c r="C153" s="60" t="s">
        <x:v>1050</x:v>
      </x:c>
      <x:c r="D153" s="44">
        <x:v>7.6280000000000001</x:v>
      </x:c>
      <x:c r="E153" s="44">
        <x:v>0.70799999999999996</x:v>
      </x:c>
      <x:c r="F153" s="44">
        <x:v>4.5179999999999998</x:v>
      </x:c>
      <x:c r="G153" s="44">
        <x:v>6.0529999999999999</x:v>
      </x:c>
      <x:c r="H153" s="44">
        <x:v>5.5529999999999999</x:v>
      </x:c>
      <x:c r="I153" s="44">
        <x:v>9.6509999999999998</x:v>
      </x:c>
      <x:c r="J153" s="44">
        <x:v>9.6509999999999998</x:v>
      </x:c>
      <x:c r="P153" s="189">
        <x:f t="shared" si="7"/>
        <x:v>1</x:v>
      </x:c>
    </x:row>
    <x:row r="154" spans="2:16">
      <x:c r="B154" s="3" t="s">
        <x:v>1716</x:v>
      </x:c>
      <x:c r="C154" s="60" t="s">
        <x:v>2258</x:v>
      </x:c>
      <x:c r="D154" s="44">
        <x:v>1.069</x:v>
      </x:c>
      <x:c r="E154" s="44">
        <x:v>-5.6159999999999997</x:v>
      </x:c>
      <x:c r="F154" s="44">
        <x:v>-9.0020000000000007</x:v>
      </x:c>
      <x:c r="G154" s="44">
        <x:v>-1.7889999999999999</x:v>
      </x:c>
      <x:c r="H154" s="44">
        <x:v>-1.8620000000000001</x:v>
      </x:c>
      <x:c r="I154" s="44">
        <x:v>-6.2290000000000001</x:v>
      </x:c>
      <x:c r="J154" s="44">
        <x:v>-6.2290000000000001</x:v>
      </x:c>
      <x:c r="P154" s="189">
        <x:f t="shared" si="7"/>
        <x:v>1</x:v>
      </x:c>
    </x:row>
    <x:row r="155" spans="2:16">
      <x:c r="B155" s="3" t="s">
        <x:v>1721</x:v>
      </x:c>
      <x:c r="C155" s="60" t="s">
        <x:v>2267</x:v>
      </x:c>
      <x:c r="D155" s="44">
        <x:v>-6.0620000000000003</x:v>
      </x:c>
      <x:c r="E155" s="44">
        <x:v>-10.382</x:v>
      </x:c>
      <x:c r="F155" s="44">
        <x:v>-16.055</x:v>
      </x:c>
      <x:c r="G155" s="44">
        <x:v>-18.178999999999998</x:v>
      </x:c>
      <x:c r="H155" s="44">
        <x:v>-14.443</x:v>
      </x:c>
      <x:c r="I155" s="44">
        <x:v>-9.1869999999999994</x:v>
      </x:c>
      <x:c r="J155" s="44">
        <x:v>-9.1869999999999994</x:v>
      </x:c>
      <x:c r="P155" s="189">
        <x:f t="shared" si="7"/>
        <x:v>1</x:v>
      </x:c>
    </x:row>
    <x:row r="156" spans="2:16">
      <x:c r="B156" s="3" t="s">
        <x:v>1717</x:v>
      </x:c>
      <x:c r="C156" s="60" t="s">
        <x:v>2252</x:v>
      </x:c>
      <x:c r="D156" s="44">
        <x:v>11.212</x:v>
      </x:c>
      <x:c r="E156" s="44">
        <x:v>-12.73</x:v>
      </x:c>
      <x:c r="F156" s="44">
        <x:v>3.7789999999999999</x:v>
      </x:c>
      <x:c r="G156" s="44">
        <x:v>10.792</x:v>
      </x:c>
      <x:c r="H156" s="44">
        <x:v>-8.8290000000000006</x:v>
      </x:c>
      <x:c r="I156" s="44">
        <x:v>-3.0110000000000001</x:v>
      </x:c>
      <x:c r="J156" s="44">
        <x:v>-3.0110000000000001</x:v>
      </x:c>
      <x:c r="P156" s="189">
        <x:f t="shared" si="7"/>
        <x:v>1</x:v>
      </x:c>
    </x:row>
    <x:row r="157" spans="2:16">
      <x:c r="B157" s="3" t="s">
        <x:v>1041</x:v>
      </x:c>
      <x:c r="C157" s="60" t="s">
        <x:v>2272</x:v>
      </x:c>
      <x:c r="D157" s="44">
        <x:v>11.653</x:v>
      </x:c>
      <x:c r="E157" s="44">
        <x:v>-10.917</x:v>
      </x:c>
      <x:c r="F157" s="44">
        <x:v>4.3799999999999999</x:v>
      </x:c>
      <x:c r="G157" s="44">
        <x:v>11.266999999999999</x:v>
      </x:c>
      <x:c r="H157" s="44">
        <x:v>-7.8490000000000002</x:v>
      </x:c>
      <x:c r="I157" s="44">
        <x:v>-2.2749999999999999</x:v>
      </x:c>
      <x:c r="J157" s="44">
        <x:v>-2.2749999999999999</x:v>
      </x:c>
      <x:c r="P157" s="189">
        <x:f t="shared" si="7"/>
        <x:v>1</x:v>
      </x:c>
    </x:row>
    <x:row r="158" spans="2:16">
      <x:c r="B158" s="3" t="s">
        <x:v>2616</x:v>
      </x:c>
      <x:c r="C158" s="60" t="s">
        <x:v>2257</x:v>
      </x:c>
      <x:c r="D158" s="44">
        <x:v>5.4199999999999999</x:v>
      </x:c>
      <x:c r="E158" s="44">
        <x:v>3.556</x:v>
      </x:c>
      <x:c r="F158" s="44">
        <x:v>2.2370000000000001</x:v>
      </x:c>
      <x:c r="G158" s="44">
        <x:v>1.3180000000000001</x:v>
      </x:c>
      <x:c r="H158" s="44">
        <x:v>0.73599999999999999</x:v>
      </x:c>
      <x:c r="I158" s="44">
        <x:v>0.60699999999999998</x:v>
      </x:c>
      <x:c r="J158" s="44">
        <x:v>0.60699999999999998</x:v>
      </x:c>
      <x:c r="P158" s="189">
        <x:f t="shared" si="7"/>
        <x:v>1</x:v>
      </x:c>
    </x:row>
    <x:row r="159" spans="2:10">
      <x:c r="B159" s="207"/>
      <x:c r="C159" s="206"/>
      <x:c r="D159" s="204"/>
      <x:c r="E159" s="204"/>
      <x:c r="F159" s="204"/>
      <x:c r="G159" s="204"/>
      <x:c r="H159" s="204"/>
      <x:c r="I159" s="204"/>
      <x:c r="J159" s="204"/>
    </x:row>
  </x:sheetData>
  <x:pageMargins left="0.25" right="0.25" top="0.25" bottom="0.25" header="0" footer="0"/>
  <x:pageSetup paperSize="9" scale="65" firstPageNumber="1" fitToWidth="1" fitToHeight="0" orientation="portrait" usePrinterDefaults="1" blackAndWhite="0" draft="0" useFirstPageNumber="0" horizontalDpi="600" verticalDpi="600" copies="1"/>
  <x:legacyDrawing r:id="rId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0">
    <x:pageSetUpPr autoPageBreaks="1" fitToPage="1"/>
  </x:sheetPr>
  <x:dimension ref="A2:U166"/>
  <x:sheetViews>
    <x:sheetView showGridLines="0" topLeftCell="A1" zoomScaleNormal="100" zoomScaleSheetLayoutView="75" workbookViewId="0">
      <x:selection activeCell="A1" activeCellId="0" sqref="A1:A1"/>
    </x:sheetView>
  </x:sheetViews>
  <x:sheetFormatPr defaultColWidth="8.88671875" defaultRowHeight="11.25"/>
  <x:cols>
    <x:col min="1" max="1" width="2" style="1" customWidth="1"/>
    <x:col min="2" max="2" width="53.33203125" style="1" customWidth="1"/>
    <x:col min="3" max="3" width="48" style="3" hidden="1" customWidth="1" outlineLevel="1"/>
    <x:col min="4" max="4" width="14.33203125" style="4" customWidth="1" collapsed="1"/>
    <x:col min="5" max="9" width="13.5" style="4" customWidth="1"/>
    <x:col min="10" max="16" width="13.5" style="1" customWidth="1"/>
    <x:col min="21" max="21" width="9.33203125" style="1" hidden="1" customWidth="1" outlineLevel="1"/>
    <x:col min="22" max="22" width="9.33203125" style="1" collapsed="1"/>
  </x:cols>
  <x:sheetData>
    <x:row r="2" spans="2:2">
      <x:c r="B2" s="1" t="s">
        <x:v>112</x:v>
      </x:c>
    </x:row>
    <x:row r="3" spans="1:9">
      <x:c r="A3" s="46"/>
      <x:c r="B3" s="46"/>
      <x:c r="C3" s="84"/>
      <x:c r="D3" s="47"/>
      <x:c r="E3" s="47"/>
      <x:c r="F3" s="93"/>
      <x:c r="G3" s="47"/>
      <x:c r="H3" s="47"/>
      <x:c r="I3" s="47"/>
    </x:row>
    <x:row r="4" spans="1:9" ht="16.5">
      <x:c r="A4" s="46"/>
      <x:c r="B4" s="49" t="str">
        <x:f>D12</x:f>
        <x:v>International Business Machines Corporation</x:v>
      </x:c>
      <x:c r="C4" s="90"/>
      <x:c r="D4" s="51"/>
      <x:c r="E4" s="51"/>
      <x:c r="F4" s="51"/>
      <x:c r="G4" s="51"/>
      <x:c r="H4" s="51"/>
      <x:c r="I4" s="104" t="s">
        <x:v>1558</x:v>
      </x:c>
    </x:row>
    <x:row r="5" spans="1:9">
      <x:c r="A5" s="46"/>
      <x:c r="B5" s="53" t="str">
        <x:f>"Data in "&amp;'Pension-OPEB'!$AC$18</x:f>
        <x:v>Data in ($M)</x:v>
      </x:c>
      <x:c r="C5" s="256"/>
      <x:c r="D5" s="260"/>
      <x:c r="E5" s="260"/>
      <x:c r="F5" s="260"/>
      <x:c r="G5" s="260"/>
      <x:c r="H5" s="260"/>
      <x:c r="I5" s="259"/>
    </x:row>
    <x:row r="6" spans="1:9">
      <x:c r="A6" s="46"/>
      <x:c r="C6" s="53"/>
      <x:c r="D6" s="250" t="str">
        <x:f>Key_Stats!$T$11</x:f>
        <x:v>Fiscal Year Ended,</x:v>
      </x:c>
      <x:c r="E6" s="54"/>
      <x:c r="F6" s="54"/>
      <x:c r="G6" s="54"/>
      <x:c r="H6" s="54"/>
      <x:c r="I6" s="54"/>
    </x:row>
    <x:row r="7" spans="1:9" hidden="1" outlineLevel="1">
      <x:c r="A7" s="46"/>
      <x:c r="B7" s="55"/>
      <x:c r="C7" s="56" t="s">
        <x:v>1435</x:v>
      </x:c>
      <x:c r="D7" s="58" t="str">
        <x:f>Key_Stats!$F$9</x:f>
        <x:v>NYSE:IBM</x:v>
      </x:c>
      <x:c r="E7" s="58" t="str">
        <x:f>Key_Stats!$F$9</x:f>
        <x:v>NYSE:IBM</x:v>
      </x:c>
      <x:c r="F7" s="58" t="str">
        <x:f>Key_Stats!$F$9</x:f>
        <x:v>NYSE:IBM</x:v>
      </x:c>
      <x:c r="G7" s="58" t="str">
        <x:f>Key_Stats!$F$9</x:f>
        <x:v>NYSE:IBM</x:v>
      </x:c>
      <x:c r="H7" s="58" t="str">
        <x:f>Key_Stats!$F$9</x:f>
        <x:v>NYSE:IBM</x:v>
      </x:c>
      <x:c r="I7" s="58" t="str">
        <x:f>Key_Stats!$F$9</x:f>
        <x:v>NYSE:IBM</x:v>
      </x:c>
    </x:row>
    <x:row r="8" spans="1:9" hidden="1" outlineLevel="1">
      <x:c r="A8" s="46"/>
      <x:c r="B8" s="55"/>
      <x:c r="C8" s="56"/>
      <x:c r="D8" s="58" t="str">
        <x:f t="shared" ref="D8:F8" si="0">LEFT(E8,LEN(E8)-1)&amp;RIGHT(E8,1)+1</x:f>
        <x:v>FY-5</x:v>
      </x:c>
      <x:c r="E8" s="58" t="str">
        <x:f t="shared" si="0"/>
        <x:v>FY-4</x:v>
      </x:c>
      <x:c r="F8" s="58" t="str">
        <x:f t="shared" si="0"/>
        <x:v>FY-3</x:v>
      </x:c>
      <x:c r="G8" s="58" t="str">
        <x:f>LEFT(H8,LEN(H8)-1)&amp;RIGHT(H8,1)+1</x:f>
        <x:v>FY-2</x:v>
      </x:c>
      <x:c r="H8" s="58" t="str">
        <x:f>VLOOKUP(Key_Stats!$F$11,FormatTable,2,FALSE)</x:f>
        <x:v>FY-1</x:v>
      </x:c>
      <x:c r="I8" s="58" t="str">
        <x:f>Key_Stats!$F$11</x:f>
        <x:v>FY0</x:v>
      </x:c>
    </x:row>
    <x:row r="9" spans="1:9" hidden="1" outlineLevel="1">
      <x:c r="A9" s="46"/>
      <x:c r="B9" s="55"/>
      <x:c r="C9" s="56"/>
      <x:c r="D9" s="181">
        <x:f>IF(Key_Stats!$F$15="","",Key_Stats!$F$15)</x:f>
        <x:v>46059</x:v>
      </x:c>
      <x:c r="E9" s="181">
        <x:f>IF(Key_Stats!$F$15="","",Key_Stats!$F$15)</x:f>
        <x:v>46059</x:v>
      </x:c>
      <x:c r="F9" s="181">
        <x:f>IF(Key_Stats!$F$15="","",Key_Stats!$F$15)</x:f>
        <x:v>46059</x:v>
      </x:c>
      <x:c r="G9" s="181">
        <x:f>IF(Key_Stats!$F$15="","",Key_Stats!$F$15)</x:f>
        <x:v>46059</x:v>
      </x:c>
      <x:c r="H9" s="181">
        <x:f>IF(Key_Stats!$F$15="","",Key_Stats!$F$15)</x:f>
        <x:v>46059</x:v>
      </x:c>
      <x:c r="I9" s="181">
        <x:f>IF(Key_Stats!$F$15="","",Key_Stats!$F$15)</x:f>
        <x:v>46059</x:v>
      </x:c>
    </x:row>
    <x:row r="10" spans="1:9" hidden="1" outlineLevel="1">
      <x:c r="A10" s="46"/>
      <x:c r="B10" s="3"/>
      <x:c r="C10" s="60"/>
      <x:c r="D10" s="47"/>
      <x:c r="E10" s="47"/>
      <x:c r="F10" s="47"/>
      <x:c r="G10" s="47"/>
      <x:c r="H10" s="47"/>
      <x:c r="I10" s="47"/>
    </x:row>
    <x:row r="11" spans="1:9" hidden="1" outlineLevel="1">
      <x:c r="A11" s="46"/>
      <x:c r="B11" s="3"/>
      <x:c r="C11" s="60"/>
      <x:c r="D11" s="47"/>
      <x:c r="E11" s="47"/>
      <x:c r="F11" s="47"/>
      <x:c r="G11" s="47"/>
      <x:c r="H11" s="47"/>
      <x:c r="I11" s="47"/>
    </x:row>
    <x:row r="12" spans="1:9" hidden="1" outlineLevel="1">
      <x:c r="A12" s="46"/>
      <x:c r="B12" s="55"/>
      <x:c r="C12" s="60" t="s">
        <x:v>2049</x:v>
      </x:c>
      <x:c r="D12" s="47" t="s">
        <x:v>1006</x:v>
      </x:c>
      <x:c r="E12" s="47" t="s">
        <x:v>1006</x:v>
      </x:c>
      <x:c r="F12" s="47" t="s">
        <x:v>1006</x:v>
      </x:c>
      <x:c r="G12" s="47" t="s">
        <x:v>1006</x:v>
      </x:c>
      <x:c r="H12" s="47" t="s">
        <x:v>1006</x:v>
      </x:c>
      <x:c r="I12" s="47" t="s">
        <x:v>1006</x:v>
      </x:c>
    </x:row>
    <x:row r="13" spans="1:9" hidden="1" outlineLevel="1">
      <x:c r="A13" s="46"/>
      <x:c r="B13" s="55"/>
      <x:c r="C13" s="60" t="s">
        <x:v>1533</x:v>
      </x:c>
      <x:c r="D13" s="47" t="s">
        <x:v>1102</x:v>
      </x:c>
      <x:c r="E13" s="47" t="s">
        <x:v>1102</x:v>
      </x:c>
      <x:c r="F13" s="47" t="s">
        <x:v>1102</x:v>
      </x:c>
      <x:c r="G13" s="47" t="s">
        <x:v>1102</x:v>
      </x:c>
      <x:c r="H13" s="47" t="s">
        <x:v>1102</x:v>
      </x:c>
      <x:c r="I13" s="47" t="s">
        <x:v>1102</x:v>
      </x:c>
    </x:row>
    <x:row r="14" spans="1:9" customHeight="1" collapsed="1">
      <x:c r="A14" s="46"/>
      <x:c r="B14" s="61" t="s">
        <x:v>2079</x:v>
      </x:c>
      <x:c r="C14" s="60" t="s">
        <x:v>2085</x:v>
      </x:c>
      <x:c r="D14" s="144">
        <x:v>44196</x:v>
      </x:c>
      <x:c r="E14" s="144">
        <x:v>44561</x:v>
      </x:c>
      <x:c r="F14" s="144">
        <x:v>44926</x:v>
      </x:c>
      <x:c r="G14" s="144">
        <x:v>45291</x:v>
      </x:c>
      <x:c r="H14" s="144">
        <x:v>45657</x:v>
      </x:c>
      <x:c r="I14" s="144">
        <x:v>46022</x:v>
      </x:c>
    </x:row>
    <x:row r="15" spans="3:3">
      <x:c r="C15" s="60"/>
    </x:row>
    <x:row r="16" spans="2:3">
      <x:c r="B16" s="2" t="s">
        <x:v>384</x:v>
      </x:c>
      <x:c r="C16" s="60" t="s">
        <x:v>798</x:v>
      </x:c>
    </x:row>
    <x:row r="17" spans="2:21">
      <x:c r="B17" s="46" t="s">
        <x:v>1953</x:v>
      </x:c>
      <x:c r="C17" s="60" t="s">
        <x:v>1970</x:v>
      </x:c>
      <x:c r="D17" s="165" t="s">
        <x:v>1885</x:v>
      </x:c>
      <x:c r="E17" s="62" t="s">
        <x:v>1885</x:v>
      </x:c>
      <x:c r="F17" s="62" t="s">
        <x:v>1885</x:v>
      </x:c>
      <x:c r="G17" s="62" t="s">
        <x:v>1885</x:v>
      </x:c>
      <x:c r="H17" s="62" t="s">
        <x:v>1885</x:v>
      </x:c>
      <x:c r="I17" s="62"/>
      <x:c r="J17" s="62"/>
      <x:c r="K17" s="62"/>
      <x:c r="L17" s="62"/>
      <x:c r="M17" s="62"/>
      <x:c r="N17" s="62"/>
      <x:c r="O17" s="62"/>
      <x:c r="P17" s="62"/>
      <x:c r="U17" s="189"/>
    </x:row>
    <x:row r="18" spans="2:21">
      <x:c r="B18" s="46" t="s">
        <x:v>1980</x:v>
      </x:c>
      <x:c r="C18" s="60" t="s">
        <x:v>385</x:v>
      </x:c>
      <x:c r="D18" s="165" t="s">
        <x:v>343</x:v>
      </x:c>
      <x:c r="E18" s="62" t="s">
        <x:v>1154</x:v>
      </x:c>
      <x:c r="F18" s="62" t="s">
        <x:v>1154</x:v>
      </x:c>
      <x:c r="G18" s="62" t="s">
        <x:v>1154</x:v>
      </x:c>
      <x:c r="H18" s="62" t="s">
        <x:v>1154</x:v>
      </x:c>
      <x:c r="I18" s="62"/>
      <x:c r="J18" s="62"/>
      <x:c r="K18" s="62"/>
      <x:c r="L18" s="62"/>
      <x:c r="M18" s="62"/>
      <x:c r="N18" s="62"/>
      <x:c r="O18" s="62"/>
      <x:c r="P18" s="62"/>
      <x:c r="U18" s="189"/>
    </x:row>
    <x:row r="19" spans="2:21">
      <x:c r="B19" s="3" t="s">
        <x:v>41</x:v>
      </x:c>
      <x:c r="C19" s="60" t="s">
        <x:v>1982</x:v>
      </x:c>
      <x:c r="D19" s="80" t="s">
        <x:v>818</x:v>
      </x:c>
      <x:c r="E19" s="80" t="s">
        <x:v>818</x:v>
      </x:c>
      <x:c r="F19" s="80" t="s">
        <x:v>818</x:v>
      </x:c>
      <x:c r="G19" s="80" t="s">
        <x:v>818</x:v>
      </x:c>
      <x:c r="H19" s="80" t="s">
        <x:v>818</x:v>
      </x:c>
      <x:c r="I19" s="80" t="s">
        <x:v>818</x:v>
      </x:c>
      <x:c r="U19" s="189" t="str">
        <x:f>IF(COUNT(D19:I19)&lt;&gt;0,1,"")</x:f>
        <x:v/>
      </x:c>
    </x:row>
    <x:row r="20" spans="2:21">
      <x:c r="B20" s="3" t="s">
        <x:v>2407</x:v>
      </x:c>
      <x:c r="C20" s="60" t="s">
        <x:v>2428</x:v>
      </x:c>
      <x:c r="D20" s="80">
        <x:v>657</x:v>
      </x:c>
      <x:c r="E20" s="80">
        <x:v>535</x:v>
      </x:c>
      <x:c r="F20" s="80">
        <x:v>575</x:v>
      </x:c>
      <x:c r="G20" s="80">
        <x:v>687</x:v>
      </x:c>
      <x:c r="H20" s="80">
        <x:v>-183</x:v>
      </x:c>
      <x:c r="I20" s="80" t="s">
        <x:v>818</x:v>
      </x:c>
      <x:c r="U20" s="189">
        <x:f t="shared" ref="U20:U74" si="1">IF(COUNT(D20:I20)&lt;&gt;0,1,"")</x:f>
        <x:v>1</x:v>
      </x:c>
    </x:row>
    <x:row r="21" spans="2:21">
      <x:c r="B21" s="3" t="s">
        <x:v>2416</x:v>
      </x:c>
      <x:c r="C21" s="60" t="s">
        <x:v>2417</x:v>
      </x:c>
      <x:c r="D21" s="80">
        <x:v>1208</x:v>
      </x:c>
      <x:c r="E21" s="80">
        <x:v>1342</x:v>
      </x:c>
      <x:c r="F21" s="80">
        <x:v>1676</x:v>
      </x:c>
      <x:c r="G21" s="80">
        <x:v>1594</x:v>
      </x:c>
      <x:c r="H21" s="80">
        <x:v>2301</x:v>
      </x:c>
      <x:c r="I21" s="80" t="s">
        <x:v>818</x:v>
      </x:c>
      <x:c r="U21" s="189">
        <x:f t="shared" si="1"/>
        <x:v>1</x:v>
      </x:c>
    </x:row>
    <x:row r="22" spans="2:21">
      <x:c r="B22" s="3" t="s">
        <x:v>2412</x:v>
      </x:c>
      <x:c r="C22" s="60" t="s">
        <x:v>1536</x:v>
      </x:c>
      <x:c r="D22" s="80">
        <x:v>744</x:v>
      </x:c>
      <x:c r="E22" s="80">
        <x:v>-1728</x:v>
      </x:c>
      <x:c r="F22" s="80">
        <x:v>-3131</x:v>
      </x:c>
      <x:c r="G22" s="80">
        <x:v>-1533</x:v>
      </x:c>
      <x:c r="H22" s="80">
        <x:v>-2539</x:v>
      </x:c>
      <x:c r="I22" s="80" t="s">
        <x:v>818</x:v>
      </x:c>
      <x:c r="U22" s="189">
        <x:f t="shared" si="1"/>
        <x:v>1</x:v>
      </x:c>
    </x:row>
    <x:row r="23" spans="2:21">
      <x:c r="B23" s="3" t="s">
        <x:v>2408</x:v>
      </x:c>
      <x:c r="C23" s="60" t="s">
        <x:v>1541</x:v>
      </x:c>
      <x:c r="D23" s="80">
        <x:v>-3969</x:v>
      </x:c>
      <x:c r="E23" s="80">
        <x:v>-25</x:v>
      </x:c>
      <x:c r="F23" s="80">
        <x:v>252</x:v>
      </x:c>
      <x:c r="G23" s="80">
        <x:v>428</x:v>
      </x:c>
      <x:c r="H23" s="80">
        <x:v>203</x:v>
      </x:c>
      <x:c r="I23" s="80" t="s">
        <x:v>818</x:v>
      </x:c>
      <x:c r="U23" s="189">
        <x:f t="shared" si="1"/>
        <x:v>1</x:v>
      </x:c>
    </x:row>
    <x:row r="24" spans="2:21">
      <x:c r="B24" s="3" t="s">
        <x:v>676</x:v>
      </x:c>
      <x:c r="C24" s="60" t="s">
        <x:v>1955</x:v>
      </x:c>
      <x:c r="D24" s="80" t="s">
        <x:v>818</x:v>
      </x:c>
      <x:c r="E24" s="80" t="s">
        <x:v>818</x:v>
      </x:c>
      <x:c r="F24" s="80" t="s">
        <x:v>818</x:v>
      </x:c>
      <x:c r="G24" s="80" t="s">
        <x:v>818</x:v>
      </x:c>
      <x:c r="H24" s="80" t="s">
        <x:v>818</x:v>
      </x:c>
      <x:c r="I24" s="80" t="s">
        <x:v>818</x:v>
      </x:c>
      <x:c r="U24" s="189" t="str">
        <x:f t="shared" si="1"/>
        <x:v/>
      </x:c>
    </x:row>
    <x:row r="25" spans="2:21">
      <x:c r="B25" s="3" t="s">
        <x:v>249</x:v>
      </x:c>
      <x:c r="C25" s="60" t="s">
        <x:v>1470</x:v>
      </x:c>
      <x:c r="D25" s="80" t="s">
        <x:v>818</x:v>
      </x:c>
      <x:c r="E25" s="80" t="s">
        <x:v>818</x:v>
      </x:c>
      <x:c r="F25" s="80" t="s">
        <x:v>818</x:v>
      </x:c>
      <x:c r="G25" s="80" t="s">
        <x:v>818</x:v>
      </x:c>
      <x:c r="H25" s="80" t="s">
        <x:v>818</x:v>
      </x:c>
      <x:c r="I25" s="80" t="s">
        <x:v>818</x:v>
      </x:c>
      <x:c r="U25" s="189" t="str">
        <x:f t="shared" si="1"/>
        <x:v/>
      </x:c>
    </x:row>
    <x:row r="26" spans="2:21">
      <x:c r="B26" s="3" t="s">
        <x:v>245</x:v>
      </x:c>
      <x:c r="C26" s="60" t="s">
        <x:v>1468</x:v>
      </x:c>
      <x:c r="D26" s="80" t="s">
        <x:v>818</x:v>
      </x:c>
      <x:c r="E26" s="80" t="s">
        <x:v>818</x:v>
      </x:c>
      <x:c r="F26" s="80" t="s">
        <x:v>818</x:v>
      </x:c>
      <x:c r="G26" s="80" t="s">
        <x:v>818</x:v>
      </x:c>
      <x:c r="H26" s="80" t="s">
        <x:v>818</x:v>
      </x:c>
      <x:c r="I26" s="80" t="s">
        <x:v>818</x:v>
      </x:c>
      <x:c r="U26" s="189" t="str">
        <x:f t="shared" si="1"/>
        <x:v/>
      </x:c>
    </x:row>
    <x:row r="27" spans="2:21">
      <x:c r="B27" s="3" t="s">
        <x:v>1051</x:v>
      </x:c>
      <x:c r="C27" s="60" t="s">
        <x:v>1956</x:v>
      </x:c>
      <x:c r="D27" s="80" t="s">
        <x:v>818</x:v>
      </x:c>
      <x:c r="E27" s="80" t="s">
        <x:v>818</x:v>
      </x:c>
      <x:c r="F27" s="80" t="s">
        <x:v>818</x:v>
      </x:c>
      <x:c r="G27" s="80" t="s">
        <x:v>818</x:v>
      </x:c>
      <x:c r="H27" s="80" t="s">
        <x:v>818</x:v>
      </x:c>
      <x:c r="I27" s="80" t="s">
        <x:v>818</x:v>
      </x:c>
      <x:c r="U27" s="189" t="str">
        <x:f t="shared" si="1"/>
        <x:v/>
      </x:c>
    </x:row>
    <x:row r="28" spans="2:21">
      <x:c r="B28" s="3" t="s">
        <x:v>2273</x:v>
      </x:c>
      <x:c r="C28" s="60" t="s">
        <x:v>1907</x:v>
      </x:c>
      <x:c r="D28" s="80" t="s">
        <x:v>818</x:v>
      </x:c>
      <x:c r="E28" s="80" t="s">
        <x:v>818</x:v>
      </x:c>
      <x:c r="F28" s="80" t="s">
        <x:v>818</x:v>
      </x:c>
      <x:c r="G28" s="80" t="s">
        <x:v>818</x:v>
      </x:c>
      <x:c r="H28" s="80" t="s">
        <x:v>818</x:v>
      </x:c>
      <x:c r="I28" s="80" t="s">
        <x:v>818</x:v>
      </x:c>
      <x:c r="U28" s="189" t="str">
        <x:f t="shared" si="1"/>
        <x:v/>
      </x:c>
    </x:row>
    <x:row r="29" spans="2:21">
      <x:c r="B29" s="3" t="s">
        <x:v>1698</x:v>
      </x:c>
      <x:c r="C29" s="60" t="s">
        <x:v>1700</x:v>
      </x:c>
      <x:c r="D29" s="80" t="s">
        <x:v>818</x:v>
      </x:c>
      <x:c r="E29" s="80" t="s">
        <x:v>818</x:v>
      </x:c>
      <x:c r="F29" s="80" t="s">
        <x:v>818</x:v>
      </x:c>
      <x:c r="G29" s="80" t="s">
        <x:v>818</x:v>
      </x:c>
      <x:c r="H29" s="80" t="s">
        <x:v>818</x:v>
      </x:c>
      <x:c r="I29" s="80" t="s">
        <x:v>818</x:v>
      </x:c>
      <x:c r="U29" s="189" t="str">
        <x:f t="shared" si="1"/>
        <x:v/>
      </x:c>
    </x:row>
    <x:row r="30" spans="2:21">
      <x:c r="B30" s="3" t="s">
        <x:v>2253</x:v>
      </x:c>
      <x:c r="C30" s="60" t="s">
        <x:v>1957</x:v>
      </x:c>
      <x:c r="D30" s="80" t="s">
        <x:v>818</x:v>
      </x:c>
      <x:c r="E30" s="80" t="s">
        <x:v>818</x:v>
      </x:c>
      <x:c r="F30" s="80" t="s">
        <x:v>818</x:v>
      </x:c>
      <x:c r="G30" s="80" t="s">
        <x:v>818</x:v>
      </x:c>
      <x:c r="H30" s="80" t="s">
        <x:v>818</x:v>
      </x:c>
      <x:c r="I30" s="80" t="s">
        <x:v>818</x:v>
      </x:c>
      <x:c r="U30" s="189" t="str">
        <x:f t="shared" si="1"/>
        <x:v/>
      </x:c>
    </x:row>
    <x:row r="31" spans="2:21">
      <x:c r="B31" s="3" t="s">
        <x:v>1694</x:v>
      </x:c>
      <x:c r="C31" s="60" t="s">
        <x:v>1461</x:v>
      </x:c>
      <x:c r="D31" s="80" t="s">
        <x:v>818</x:v>
      </x:c>
      <x:c r="E31" s="80" t="s">
        <x:v>818</x:v>
      </x:c>
      <x:c r="F31" s="80" t="s">
        <x:v>818</x:v>
      </x:c>
      <x:c r="G31" s="80" t="s">
        <x:v>818</x:v>
      </x:c>
      <x:c r="H31" s="80" t="s">
        <x:v>818</x:v>
      </x:c>
      <x:c r="I31" s="80" t="s">
        <x:v>818</x:v>
      </x:c>
      <x:c r="U31" s="189" t="str">
        <x:f t="shared" si="1"/>
        <x:v/>
      </x:c>
    </x:row>
    <x:row r="32" spans="2:21">
      <x:c r="B32" s="3" t="s">
        <x:v>2254</x:v>
      </x:c>
      <x:c r="C32" s="60" t="s">
        <x:v>2269</x:v>
      </x:c>
      <x:c r="D32" s="80" t="s">
        <x:v>818</x:v>
      </x:c>
      <x:c r="E32" s="80" t="s">
        <x:v>818</x:v>
      </x:c>
      <x:c r="F32" s="80" t="s">
        <x:v>818</x:v>
      </x:c>
      <x:c r="G32" s="80" t="s">
        <x:v>818</x:v>
      </x:c>
      <x:c r="H32" s="80" t="s">
        <x:v>818</x:v>
      </x:c>
      <x:c r="I32" s="80" t="s">
        <x:v>818</x:v>
      </x:c>
      <x:c r="U32" s="189" t="str">
        <x:f t="shared" si="1"/>
        <x:v/>
      </x:c>
    </x:row>
    <x:row r="33" spans="2:21">
      <x:c r="B33" s="3" t="s">
        <x:v>1053</x:v>
      </x:c>
      <x:c r="C33" s="60" t="s">
        <x:v>1052</x:v>
      </x:c>
      <x:c r="D33" s="80" t="s">
        <x:v>818</x:v>
      </x:c>
      <x:c r="E33" s="80" t="s">
        <x:v>818</x:v>
      </x:c>
      <x:c r="F33" s="80" t="s">
        <x:v>818</x:v>
      </x:c>
      <x:c r="G33" s="80" t="s">
        <x:v>818</x:v>
      </x:c>
      <x:c r="H33" s="80" t="s">
        <x:v>818</x:v>
      </x:c>
      <x:c r="I33" s="80" t="s">
        <x:v>818</x:v>
      </x:c>
      <x:c r="U33" s="189" t="str">
        <x:f t="shared" si="1"/>
        <x:v/>
      </x:c>
    </x:row>
    <x:row r="34" spans="2:21">
      <x:c r="B34" s="3" t="s">
        <x:v>1459</x:v>
      </x:c>
      <x:c r="C34" s="60" t="s">
        <x:v>2248</x:v>
      </x:c>
      <x:c r="D34" s="80" t="s">
        <x:v>818</x:v>
      </x:c>
      <x:c r="E34" s="80" t="s">
        <x:v>818</x:v>
      </x:c>
      <x:c r="F34" s="80" t="s">
        <x:v>818</x:v>
      </x:c>
      <x:c r="G34" s="80" t="s">
        <x:v>818</x:v>
      </x:c>
      <x:c r="H34" s="80" t="s">
        <x:v>818</x:v>
      </x:c>
      <x:c r="I34" s="80" t="s">
        <x:v>818</x:v>
      </x:c>
      <x:c r="U34" s="189" t="str">
        <x:f t="shared" si="1"/>
        <x:v/>
      </x:c>
    </x:row>
    <x:row r="35" spans="2:21">
      <x:c r="B35" s="3" t="s">
        <x:v>682</x:v>
      </x:c>
      <x:c r="C35" s="60" t="s">
        <x:v>1155</x:v>
      </x:c>
      <x:c r="D35" s="80" t="s">
        <x:v>818</x:v>
      </x:c>
      <x:c r="E35" s="80" t="s">
        <x:v>818</x:v>
      </x:c>
      <x:c r="F35" s="80" t="s">
        <x:v>818</x:v>
      </x:c>
      <x:c r="G35" s="80" t="s">
        <x:v>818</x:v>
      </x:c>
      <x:c r="H35" s="80" t="s">
        <x:v>818</x:v>
      </x:c>
      <x:c r="I35" s="80" t="s">
        <x:v>818</x:v>
      </x:c>
      <x:c r="U35" s="189" t="str">
        <x:f t="shared" si="1"/>
        <x:v/>
      </x:c>
    </x:row>
    <x:row r="36" spans="2:21">
      <x:c r="B36" s="3" t="s">
        <x:v>668</x:v>
      </x:c>
      <x:c r="C36" s="60" t="s">
        <x:v>1156</x:v>
      </x:c>
      <x:c r="D36" s="80" t="s">
        <x:v>818</x:v>
      </x:c>
      <x:c r="E36" s="80" t="s">
        <x:v>818</x:v>
      </x:c>
      <x:c r="F36" s="80" t="s">
        <x:v>818</x:v>
      </x:c>
      <x:c r="G36" s="80" t="s">
        <x:v>818</x:v>
      </x:c>
      <x:c r="H36" s="80" t="s">
        <x:v>818</x:v>
      </x:c>
      <x:c r="I36" s="80" t="s">
        <x:v>818</x:v>
      </x:c>
      <x:c r="U36" s="189" t="str">
        <x:f t="shared" si="1"/>
        <x:v/>
      </x:c>
    </x:row>
    <x:row r="37" spans="2:21">
      <x:c r="B37" s="3" t="s">
        <x:v>677</x:v>
      </x:c>
      <x:c r="C37" s="60" t="s">
        <x:v>2005</x:v>
      </x:c>
      <x:c r="D37" s="80" t="s">
        <x:v>818</x:v>
      </x:c>
      <x:c r="E37" s="80" t="s">
        <x:v>818</x:v>
      </x:c>
      <x:c r="F37" s="80" t="s">
        <x:v>818</x:v>
      </x:c>
      <x:c r="G37" s="80" t="s">
        <x:v>818</x:v>
      </x:c>
      <x:c r="H37" s="80" t="s">
        <x:v>818</x:v>
      </x:c>
      <x:c r="I37" s="80" t="s">
        <x:v>818</x:v>
      </x:c>
      <x:c r="U37" s="189" t="str">
        <x:f t="shared" si="1"/>
        <x:v/>
      </x:c>
    </x:row>
    <x:row r="38" spans="2:21">
      <x:c r="B38" s="3" t="s">
        <x:v>247</x:v>
      </x:c>
      <x:c r="C38" s="60" t="s">
        <x:v>1467</x:v>
      </x:c>
      <x:c r="D38" s="80" t="s">
        <x:v>818</x:v>
      </x:c>
      <x:c r="E38" s="80" t="s">
        <x:v>818</x:v>
      </x:c>
      <x:c r="F38" s="80" t="s">
        <x:v>818</x:v>
      </x:c>
      <x:c r="G38" s="80" t="s">
        <x:v>818</x:v>
      </x:c>
      <x:c r="H38" s="80" t="s">
        <x:v>818</x:v>
      </x:c>
      <x:c r="I38" s="80" t="s">
        <x:v>818</x:v>
      </x:c>
      <x:c r="U38" s="189" t="str">
        <x:f t="shared" si="1"/>
        <x:v/>
      </x:c>
    </x:row>
    <x:row r="39" spans="2:21">
      <x:c r="B39" s="3" t="s">
        <x:v>156</x:v>
      </x:c>
      <x:c r="C39" s="60" t="s">
        <x:v>1693</x:v>
      </x:c>
      <x:c r="D39" s="80" t="s">
        <x:v>818</x:v>
      </x:c>
      <x:c r="E39" s="80" t="s">
        <x:v>818</x:v>
      </x:c>
      <x:c r="F39" s="80" t="s">
        <x:v>818</x:v>
      </x:c>
      <x:c r="G39" s="80" t="s">
        <x:v>818</x:v>
      </x:c>
      <x:c r="H39" s="80" t="s">
        <x:v>818</x:v>
      </x:c>
      <x:c r="I39" s="80" t="s">
        <x:v>818</x:v>
      </x:c>
      <x:c r="U39" s="189" t="str">
        <x:f t="shared" si="1"/>
        <x:v/>
      </x:c>
    </x:row>
    <x:row r="40" spans="2:21">
      <x:c r="B40" s="3" t="s">
        <x:v>205</x:v>
      </x:c>
      <x:c r="C40" s="60" t="s">
        <x:v>1701</x:v>
      </x:c>
      <x:c r="D40" s="80" t="s">
        <x:v>818</x:v>
      </x:c>
      <x:c r="E40" s="80" t="s">
        <x:v>818</x:v>
      </x:c>
      <x:c r="F40" s="80" t="s">
        <x:v>818</x:v>
      </x:c>
      <x:c r="G40" s="80" t="s">
        <x:v>818</x:v>
      </x:c>
      <x:c r="H40" s="80" t="s">
        <x:v>818</x:v>
      </x:c>
      <x:c r="I40" s="80" t="s">
        <x:v>818</x:v>
      </x:c>
      <x:c r="U40" s="189" t="str">
        <x:f t="shared" si="1"/>
        <x:v/>
      </x:c>
    </x:row>
    <x:row r="41" spans="2:21">
      <x:c r="B41" s="3" t="s">
        <x:v>246</x:v>
      </x:c>
      <x:c r="C41" s="60" t="s">
        <x:v>1704</x:v>
      </x:c>
      <x:c r="D41" s="80" t="s">
        <x:v>818</x:v>
      </x:c>
      <x:c r="E41" s="80" t="s">
        <x:v>818</x:v>
      </x:c>
      <x:c r="F41" s="80" t="s">
        <x:v>818</x:v>
      </x:c>
      <x:c r="G41" s="80" t="s">
        <x:v>818</x:v>
      </x:c>
      <x:c r="H41" s="80" t="s">
        <x:v>818</x:v>
      </x:c>
      <x:c r="I41" s="80" t="s">
        <x:v>818</x:v>
      </x:c>
      <x:c r="U41" s="189" t="str">
        <x:f t="shared" si="1"/>
        <x:v/>
      </x:c>
    </x:row>
    <x:row r="42" spans="2:21">
      <x:c r="B42" s="3" t="s">
        <x:v>150</x:v>
      </x:c>
      <x:c r="C42" s="60" t="s">
        <x:v>1710</x:v>
      </x:c>
      <x:c r="D42" s="80" t="s">
        <x:v>818</x:v>
      </x:c>
      <x:c r="E42" s="80" t="s">
        <x:v>818</x:v>
      </x:c>
      <x:c r="F42" s="80" t="s">
        <x:v>818</x:v>
      </x:c>
      <x:c r="G42" s="80" t="s">
        <x:v>818</x:v>
      </x:c>
      <x:c r="H42" s="80" t="s">
        <x:v>818</x:v>
      </x:c>
      <x:c r="I42" s="80" t="s">
        <x:v>818</x:v>
      </x:c>
      <x:c r="U42" s="189" t="str">
        <x:f t="shared" si="1"/>
        <x:v/>
      </x:c>
    </x:row>
    <x:row r="43" spans="2:21">
      <x:c r="B43" s="3" t="s">
        <x:v>151</x:v>
      </x:c>
      <x:c r="C43" s="60" t="s">
        <x:v>1706</x:v>
      </x:c>
      <x:c r="D43" s="80" t="s">
        <x:v>818</x:v>
      </x:c>
      <x:c r="E43" s="80" t="s">
        <x:v>818</x:v>
      </x:c>
      <x:c r="F43" s="80" t="s">
        <x:v>818</x:v>
      </x:c>
      <x:c r="G43" s="80" t="s">
        <x:v>818</x:v>
      </x:c>
      <x:c r="H43" s="80" t="s">
        <x:v>818</x:v>
      </x:c>
      <x:c r="I43" s="80" t="s">
        <x:v>818</x:v>
      </x:c>
      <x:c r="U43" s="189" t="str">
        <x:f t="shared" si="1"/>
        <x:v/>
      </x:c>
    </x:row>
    <x:row r="44" spans="2:21">
      <x:c r="B44" s="3" t="s">
        <x:v>2274</x:v>
      </x:c>
      <x:c r="C44" s="60" t="s">
        <x:v>1711</x:v>
      </x:c>
      <x:c r="D44" s="80" t="s">
        <x:v>818</x:v>
      </x:c>
      <x:c r="E44" s="80" t="s">
        <x:v>818</x:v>
      </x:c>
      <x:c r="F44" s="80" t="s">
        <x:v>818</x:v>
      </x:c>
      <x:c r="G44" s="80" t="s">
        <x:v>818</x:v>
      </x:c>
      <x:c r="H44" s="80" t="s">
        <x:v>818</x:v>
      </x:c>
      <x:c r="I44" s="80" t="s">
        <x:v>818</x:v>
      </x:c>
      <x:c r="U44" s="189" t="str">
        <x:f t="shared" si="1"/>
        <x:v/>
      </x:c>
    </x:row>
    <x:row r="45" spans="2:21">
      <x:c r="B45" s="3" t="s">
        <x:v>1157</x:v>
      </x:c>
      <x:c r="C45" s="60" t="s">
        <x:v>1987</x:v>
      </x:c>
      <x:c r="D45" s="80" t="s">
        <x:v>818</x:v>
      </x:c>
      <x:c r="E45" s="80" t="s">
        <x:v>818</x:v>
      </x:c>
      <x:c r="F45" s="80" t="s">
        <x:v>818</x:v>
      </x:c>
      <x:c r="G45" s="80" t="s">
        <x:v>818</x:v>
      </x:c>
      <x:c r="H45" s="80" t="s">
        <x:v>818</x:v>
      </x:c>
      <x:c r="I45" s="80" t="s">
        <x:v>818</x:v>
      </x:c>
      <x:c r="U45" s="189" t="str">
        <x:f t="shared" si="1"/>
        <x:v/>
      </x:c>
    </x:row>
    <x:row r="46" spans="2:21">
      <x:c r="B46" s="3" t="s">
        <x:v>1999</x:v>
      </x:c>
      <x:c r="C46" s="60" t="s">
        <x:v>1985</x:v>
      </x:c>
      <x:c r="D46" s="80" t="s">
        <x:v>818</x:v>
      </x:c>
      <x:c r="E46" s="80" t="s">
        <x:v>818</x:v>
      </x:c>
      <x:c r="F46" s="80" t="s">
        <x:v>818</x:v>
      </x:c>
      <x:c r="G46" s="80" t="s">
        <x:v>818</x:v>
      </x:c>
      <x:c r="H46" s="80" t="s">
        <x:v>818</x:v>
      </x:c>
      <x:c r="I46" s="80" t="s">
        <x:v>818</x:v>
      </x:c>
      <x:c r="U46" s="189" t="str">
        <x:f t="shared" si="1"/>
        <x:v/>
      </x:c>
    </x:row>
    <x:row r="47" spans="2:21">
      <x:c r="B47" s="3" t="s">
        <x:v>1739</x:v>
      </x:c>
      <x:c r="C47" s="60" t="s">
        <x:v>1055</x:v>
      </x:c>
      <x:c r="D47" s="80" t="s">
        <x:v>818</x:v>
      </x:c>
      <x:c r="E47" s="80" t="s">
        <x:v>818</x:v>
      </x:c>
      <x:c r="F47" s="80" t="s">
        <x:v>818</x:v>
      </x:c>
      <x:c r="G47" s="80" t="s">
        <x:v>818</x:v>
      </x:c>
      <x:c r="H47" s="80" t="s">
        <x:v>818</x:v>
      </x:c>
      <x:c r="I47" s="80" t="s">
        <x:v>818</x:v>
      </x:c>
      <x:c r="U47" s="189" t="str">
        <x:f t="shared" si="1"/>
        <x:v/>
      </x:c>
    </x:row>
    <x:row r="48" spans="2:21">
      <x:c r="B48" s="3" t="s">
        <x:v>1732</x:v>
      </x:c>
      <x:c r="C48" s="60" t="s">
        <x:v>1460</x:v>
      </x:c>
      <x:c r="D48" s="80" t="s">
        <x:v>818</x:v>
      </x:c>
      <x:c r="E48" s="80" t="s">
        <x:v>818</x:v>
      </x:c>
      <x:c r="F48" s="80" t="s">
        <x:v>818</x:v>
      </x:c>
      <x:c r="G48" s="80" t="s">
        <x:v>818</x:v>
      </x:c>
      <x:c r="H48" s="80" t="s">
        <x:v>818</x:v>
      </x:c>
      <x:c r="I48" s="80" t="s">
        <x:v>818</x:v>
      </x:c>
      <x:c r="U48" s="189" t="str">
        <x:f t="shared" si="1"/>
        <x:v/>
      </x:c>
    </x:row>
    <x:row r="49" spans="2:21">
      <x:c r="B49" s="3" t="s">
        <x:v>256</x:v>
      </x:c>
      <x:c r="C49" s="60" t="s">
        <x:v>1056</x:v>
      </x:c>
      <x:c r="D49" s="80" t="s">
        <x:v>818</x:v>
      </x:c>
      <x:c r="E49" s="80" t="s">
        <x:v>818</x:v>
      </x:c>
      <x:c r="F49" s="80" t="s">
        <x:v>818</x:v>
      </x:c>
      <x:c r="G49" s="80" t="s">
        <x:v>818</x:v>
      </x:c>
      <x:c r="H49" s="80" t="s">
        <x:v>818</x:v>
      </x:c>
      <x:c r="I49" s="80" t="s">
        <x:v>818</x:v>
      </x:c>
      <x:c r="U49" s="189" t="str">
        <x:f t="shared" si="1"/>
        <x:v/>
      </x:c>
    </x:row>
    <x:row r="50" spans="2:21">
      <x:c r="B50" s="3" t="s">
        <x:v>1057</x:v>
      </x:c>
      <x:c r="C50" s="60" t="s">
        <x:v>669</x:v>
      </x:c>
      <x:c r="D50" s="80" t="s">
        <x:v>818</x:v>
      </x:c>
      <x:c r="E50" s="80" t="s">
        <x:v>818</x:v>
      </x:c>
      <x:c r="F50" s="80" t="s">
        <x:v>818</x:v>
      </x:c>
      <x:c r="G50" s="80" t="s">
        <x:v>818</x:v>
      </x:c>
      <x:c r="H50" s="80" t="s">
        <x:v>818</x:v>
      </x:c>
      <x:c r="I50" s="80" t="s">
        <x:v>818</x:v>
      </x:c>
      <x:c r="U50" s="189" t="str">
        <x:f t="shared" si="1"/>
        <x:v/>
      </x:c>
    </x:row>
    <x:row r="51" spans="2:21">
      <x:c r="B51" s="3" t="s">
        <x:v>2275</x:v>
      </x:c>
      <x:c r="C51" s="60" t="s">
        <x:v>1456</x:v>
      </x:c>
      <x:c r="D51" s="80" t="s">
        <x:v>818</x:v>
      </x:c>
      <x:c r="E51" s="80" t="s">
        <x:v>818</x:v>
      </x:c>
      <x:c r="F51" s="80" t="s">
        <x:v>818</x:v>
      </x:c>
      <x:c r="G51" s="80" t="s">
        <x:v>818</x:v>
      </x:c>
      <x:c r="H51" s="80" t="s">
        <x:v>818</x:v>
      </x:c>
      <x:c r="I51" s="80" t="s">
        <x:v>818</x:v>
      </x:c>
      <x:c r="U51" s="189" t="str">
        <x:f t="shared" si="1"/>
        <x:v/>
      </x:c>
    </x:row>
    <x:row r="52" spans="2:21">
      <x:c r="B52" s="3" t="s">
        <x:v>1471</x:v>
      </x:c>
      <x:c r="C52" s="60" t="s">
        <x:v>2255</x:v>
      </x:c>
      <x:c r="D52" s="80" t="s">
        <x:v>818</x:v>
      </x:c>
      <x:c r="E52" s="80" t="s">
        <x:v>818</x:v>
      </x:c>
      <x:c r="F52" s="80" t="s">
        <x:v>818</x:v>
      </x:c>
      <x:c r="G52" s="80" t="s">
        <x:v>818</x:v>
      </x:c>
      <x:c r="H52" s="80" t="s">
        <x:v>818</x:v>
      </x:c>
      <x:c r="I52" s="80" t="s">
        <x:v>818</x:v>
      </x:c>
      <x:c r="U52" s="189" t="str">
        <x:f t="shared" si="1"/>
        <x:v/>
      </x:c>
    </x:row>
    <x:row r="53" spans="2:21">
      <x:c r="B53" s="3" t="s">
        <x:v>1054</x:v>
      </x:c>
      <x:c r="C53" s="60" t="s">
        <x:v>1158</x:v>
      </x:c>
      <x:c r="D53" s="80" t="s">
        <x:v>818</x:v>
      </x:c>
      <x:c r="E53" s="80" t="s">
        <x:v>818</x:v>
      </x:c>
      <x:c r="F53" s="80" t="s">
        <x:v>818</x:v>
      </x:c>
      <x:c r="G53" s="80" t="s">
        <x:v>818</x:v>
      </x:c>
      <x:c r="H53" s="80" t="s">
        <x:v>818</x:v>
      </x:c>
      <x:c r="I53" s="80" t="s">
        <x:v>818</x:v>
      </x:c>
      <x:c r="U53" s="189" t="str">
        <x:f t="shared" si="1"/>
        <x:v/>
      </x:c>
    </x:row>
    <x:row r="54" spans="2:21">
      <x:c r="B54" s="3" t="s">
        <x:v>1449</x:v>
      </x:c>
      <x:c r="C54" s="60" t="s">
        <x:v>2256</x:v>
      </x:c>
      <x:c r="D54" s="80" t="s">
        <x:v>818</x:v>
      </x:c>
      <x:c r="E54" s="80" t="s">
        <x:v>818</x:v>
      </x:c>
      <x:c r="F54" s="80" t="s">
        <x:v>818</x:v>
      </x:c>
      <x:c r="G54" s="80" t="s">
        <x:v>818</x:v>
      </x:c>
      <x:c r="H54" s="80" t="s">
        <x:v>818</x:v>
      </x:c>
      <x:c r="I54" s="80" t="s">
        <x:v>818</x:v>
      </x:c>
      <x:c r="U54" s="189" t="str">
        <x:f t="shared" si="1"/>
        <x:v/>
      </x:c>
    </x:row>
    <x:row r="55" spans="2:21">
      <x:c r="B55" s="3" t="s">
        <x:v>671</x:v>
      </x:c>
      <x:c r="C55" s="60" t="s">
        <x:v>378</x:v>
      </x:c>
      <x:c r="D55" s="80" t="s">
        <x:v>818</x:v>
      </x:c>
      <x:c r="E55" s="80" t="s">
        <x:v>818</x:v>
      </x:c>
      <x:c r="F55" s="80" t="s">
        <x:v>818</x:v>
      </x:c>
      <x:c r="G55" s="80" t="s">
        <x:v>818</x:v>
      </x:c>
      <x:c r="H55" s="80" t="s">
        <x:v>818</x:v>
      </x:c>
      <x:c r="I55" s="80" t="s">
        <x:v>818</x:v>
      </x:c>
      <x:c r="U55" s="189" t="str">
        <x:f t="shared" si="1"/>
        <x:v/>
      </x:c>
    </x:row>
    <x:row r="56" spans="2:21">
      <x:c r="B56" s="3" t="s">
        <x:v>1472</x:v>
      </x:c>
      <x:c r="C56" s="60" t="s">
        <x:v>2259</x:v>
      </x:c>
      <x:c r="D56" s="80" t="s">
        <x:v>818</x:v>
      </x:c>
      <x:c r="E56" s="80" t="s">
        <x:v>818</x:v>
      </x:c>
      <x:c r="F56" s="80" t="s">
        <x:v>818</x:v>
      </x:c>
      <x:c r="G56" s="80" t="s">
        <x:v>818</x:v>
      </x:c>
      <x:c r="H56" s="80" t="s">
        <x:v>818</x:v>
      </x:c>
      <x:c r="I56" s="80" t="s">
        <x:v>818</x:v>
      </x:c>
      <x:c r="U56" s="189" t="str">
        <x:f t="shared" si="1"/>
        <x:v/>
      </x:c>
    </x:row>
    <x:row r="57" spans="2:21">
      <x:c r="B57" s="3" t="s">
        <x:v>1726</x:v>
      </x:c>
      <x:c r="C57" s="60" t="s">
        <x:v>1727</x:v>
      </x:c>
      <x:c r="D57" s="80" t="s">
        <x:v>818</x:v>
      </x:c>
      <x:c r="E57" s="80" t="s">
        <x:v>818</x:v>
      </x:c>
      <x:c r="F57" s="80" t="s">
        <x:v>818</x:v>
      </x:c>
      <x:c r="G57" s="80" t="s">
        <x:v>818</x:v>
      </x:c>
      <x:c r="H57" s="80" t="s">
        <x:v>818</x:v>
      </x:c>
      <x:c r="I57" s="80" t="s">
        <x:v>818</x:v>
      </x:c>
      <x:c r="U57" s="189" t="str">
        <x:f t="shared" si="1"/>
        <x:v/>
      </x:c>
    </x:row>
    <x:row r="58" spans="2:21">
      <x:c r="B58" s="3" t="s">
        <x:v>2260</x:v>
      </x:c>
      <x:c r="C58" s="60" t="s">
        <x:v>1740</x:v>
      </x:c>
      <x:c r="D58" s="80" t="s">
        <x:v>818</x:v>
      </x:c>
      <x:c r="E58" s="80" t="s">
        <x:v>818</x:v>
      </x:c>
      <x:c r="F58" s="80" t="s">
        <x:v>818</x:v>
      </x:c>
      <x:c r="G58" s="80" t="s">
        <x:v>818</x:v>
      </x:c>
      <x:c r="H58" s="80" t="s">
        <x:v>818</x:v>
      </x:c>
      <x:c r="I58" s="80" t="s">
        <x:v>818</x:v>
      </x:c>
      <x:c r="U58" s="189" t="str">
        <x:f t="shared" si="1"/>
        <x:v/>
      </x:c>
    </x:row>
    <x:row r="59" spans="2:21">
      <x:c r="B59" s="3" t="s">
        <x:v>181</x:v>
      </x:c>
      <x:c r="C59" s="60" t="s">
        <x:v>250</x:v>
      </x:c>
      <x:c r="D59" s="80" t="s">
        <x:v>818</x:v>
      </x:c>
      <x:c r="E59" s="80" t="s">
        <x:v>818</x:v>
      </x:c>
      <x:c r="F59" s="80" t="s">
        <x:v>818</x:v>
      </x:c>
      <x:c r="G59" s="80" t="s">
        <x:v>818</x:v>
      </x:c>
      <x:c r="H59" s="80" t="s">
        <x:v>818</x:v>
      </x:c>
      <x:c r="I59" s="80" t="s">
        <x:v>818</x:v>
      </x:c>
      <x:c r="U59" s="189" t="str">
        <x:f t="shared" si="1"/>
        <x:v/>
      </x:c>
    </x:row>
    <x:row r="60" spans="2:21">
      <x:c r="B60" s="3" t="s">
        <x:v>251</x:v>
      </x:c>
      <x:c r="C60" s="60" t="s">
        <x:v>252</x:v>
      </x:c>
      <x:c r="D60" s="80" t="s">
        <x:v>818</x:v>
      </x:c>
      <x:c r="E60" s="80" t="s">
        <x:v>818</x:v>
      </x:c>
      <x:c r="F60" s="80" t="s">
        <x:v>818</x:v>
      </x:c>
      <x:c r="G60" s="80" t="s">
        <x:v>818</x:v>
      </x:c>
      <x:c r="H60" s="80" t="s">
        <x:v>818</x:v>
      </x:c>
      <x:c r="I60" s="80" t="s">
        <x:v>818</x:v>
      </x:c>
      <x:c r="U60" s="189" t="str">
        <x:f t="shared" si="1"/>
        <x:v/>
      </x:c>
    </x:row>
    <x:row r="61" spans="2:21">
      <x:c r="B61" s="3" t="s">
        <x:v>1735</x:v>
      </x:c>
      <x:c r="C61" s="60" t="s">
        <x:v>1058</x:v>
      </x:c>
      <x:c r="D61" s="80" t="s">
        <x:v>818</x:v>
      </x:c>
      <x:c r="E61" s="80" t="s">
        <x:v>818</x:v>
      </x:c>
      <x:c r="F61" s="80" t="s">
        <x:v>818</x:v>
      </x:c>
      <x:c r="G61" s="80" t="s">
        <x:v>818</x:v>
      </x:c>
      <x:c r="H61" s="80" t="s">
        <x:v>818</x:v>
      </x:c>
      <x:c r="I61" s="80" t="s">
        <x:v>818</x:v>
      </x:c>
      <x:c r="U61" s="189" t="str">
        <x:f t="shared" si="1"/>
        <x:v/>
      </x:c>
    </x:row>
    <x:row r="62" spans="2:21">
      <x:c r="B62" s="3" t="s">
        <x:v>254</x:v>
      </x:c>
      <x:c r="C62" s="60" t="s">
        <x:v>2247</x:v>
      </x:c>
      <x:c r="D62" s="80" t="s">
        <x:v>818</x:v>
      </x:c>
      <x:c r="E62" s="80" t="s">
        <x:v>818</x:v>
      </x:c>
      <x:c r="F62" s="80" t="s">
        <x:v>818</x:v>
      </x:c>
      <x:c r="G62" s="80" t="s">
        <x:v>818</x:v>
      </x:c>
      <x:c r="H62" s="80" t="s">
        <x:v>818</x:v>
      </x:c>
      <x:c r="I62" s="80" t="s">
        <x:v>818</x:v>
      </x:c>
      <x:c r="U62" s="189" t="str">
        <x:f t="shared" si="1"/>
        <x:v/>
      </x:c>
    </x:row>
    <x:row r="63" spans="2:21">
      <x:c r="B63" s="3" t="s">
        <x:v>374</x:v>
      </x:c>
      <x:c r="C63" s="60" t="s">
        <x:v>2261</x:v>
      </x:c>
      <x:c r="D63" s="80" t="s">
        <x:v>818</x:v>
      </x:c>
      <x:c r="E63" s="80" t="s">
        <x:v>818</x:v>
      </x:c>
      <x:c r="F63" s="80" t="s">
        <x:v>818</x:v>
      </x:c>
      <x:c r="G63" s="80" t="s">
        <x:v>818</x:v>
      </x:c>
      <x:c r="H63" s="80" t="s">
        <x:v>818</x:v>
      </x:c>
      <x:c r="I63" s="80" t="s">
        <x:v>818</x:v>
      </x:c>
      <x:c r="U63" s="189" t="str">
        <x:f t="shared" si="1"/>
        <x:v/>
      </x:c>
    </x:row>
    <x:row r="64" spans="2:21">
      <x:c r="B64" s="3" t="s">
        <x:v>1059</x:v>
      </x:c>
      <x:c r="C64" s="60" t="s">
        <x:v>1744</x:v>
      </x:c>
      <x:c r="D64" s="44" t="s">
        <x:v>818</x:v>
      </x:c>
      <x:c r="E64" s="44" t="s">
        <x:v>818</x:v>
      </x:c>
      <x:c r="F64" s="44" t="s">
        <x:v>818</x:v>
      </x:c>
      <x:c r="G64" s="44" t="s">
        <x:v>818</x:v>
      </x:c>
      <x:c r="H64" s="44" t="s">
        <x:v>818</x:v>
      </x:c>
      <x:c r="I64" s="44" t="s">
        <x:v>818</x:v>
      </x:c>
      <x:c r="U64" s="189" t="str">
        <x:f t="shared" si="1"/>
        <x:v/>
      </x:c>
    </x:row>
    <x:row r="65" spans="2:21">
      <x:c r="B65" s="3" t="s">
        <x:v>2276</x:v>
      </x:c>
      <x:c r="C65" s="60" t="s">
        <x:v>1729</x:v>
      </x:c>
      <x:c r="D65" s="80" t="s">
        <x:v>818</x:v>
      </x:c>
      <x:c r="E65" s="80" t="s">
        <x:v>818</x:v>
      </x:c>
      <x:c r="F65" s="80" t="s">
        <x:v>818</x:v>
      </x:c>
      <x:c r="G65" s="80" t="s">
        <x:v>818</x:v>
      </x:c>
      <x:c r="H65" s="80" t="s">
        <x:v>818</x:v>
      </x:c>
      <x:c r="I65" s="80" t="s">
        <x:v>818</x:v>
      </x:c>
      <x:c r="U65" s="189" t="str">
        <x:f t="shared" si="1"/>
        <x:v/>
      </x:c>
    </x:row>
    <x:row r="66" spans="2:21">
      <x:c r="B66" s="3" t="s">
        <x:v>1753</x:v>
      </x:c>
      <x:c r="C66" s="60" t="s">
        <x:v>2270</x:v>
      </x:c>
      <x:c r="D66" s="80" t="s">
        <x:v>818</x:v>
      </x:c>
      <x:c r="E66" s="80" t="s">
        <x:v>818</x:v>
      </x:c>
      <x:c r="F66" s="80" t="s">
        <x:v>818</x:v>
      </x:c>
      <x:c r="G66" s="80" t="s">
        <x:v>818</x:v>
      </x:c>
      <x:c r="H66" s="80" t="s">
        <x:v>818</x:v>
      </x:c>
      <x:c r="I66" s="80" t="s">
        <x:v>818</x:v>
      </x:c>
      <x:c r="U66" s="189" t="str">
        <x:f t="shared" si="1"/>
        <x:v/>
      </x:c>
    </x:row>
    <x:row r="67" spans="2:21">
      <x:c r="B67" s="3" t="s">
        <x:v>1751</x:v>
      </x:c>
      <x:c r="C67" s="60" t="s">
        <x:v>1060</x:v>
      </x:c>
      <x:c r="D67" s="80" t="s">
        <x:v>818</x:v>
      </x:c>
      <x:c r="E67" s="80" t="s">
        <x:v>818</x:v>
      </x:c>
      <x:c r="F67" s="80" t="s">
        <x:v>818</x:v>
      </x:c>
      <x:c r="G67" s="80" t="s">
        <x:v>818</x:v>
      </x:c>
      <x:c r="H67" s="80" t="s">
        <x:v>818</x:v>
      </x:c>
      <x:c r="I67" s="80" t="s">
        <x:v>818</x:v>
      </x:c>
      <x:c r="U67" s="189" t="str">
        <x:f t="shared" si="1"/>
        <x:v/>
      </x:c>
    </x:row>
    <x:row r="68" spans="2:21">
      <x:c r="B68" s="3" t="s">
        <x:v>1741</x:v>
      </x:c>
      <x:c r="C68" s="60" t="s">
        <x:v>1733</x:v>
      </x:c>
      <x:c r="D68" s="80" t="s">
        <x:v>818</x:v>
      </x:c>
      <x:c r="E68" s="80" t="s">
        <x:v>818</x:v>
      </x:c>
      <x:c r="F68" s="80" t="s">
        <x:v>818</x:v>
      </x:c>
      <x:c r="G68" s="80" t="s">
        <x:v>818</x:v>
      </x:c>
      <x:c r="H68" s="80" t="s">
        <x:v>818</x:v>
      </x:c>
      <x:c r="I68" s="80" t="s">
        <x:v>818</x:v>
      </x:c>
      <x:c r="U68" s="189" t="str">
        <x:f t="shared" si="1"/>
        <x:v/>
      </x:c>
    </x:row>
    <x:row r="69" spans="2:21">
      <x:c r="B69" s="3" t="s">
        <x:v>1061</x:v>
      </x:c>
      <x:c r="C69" s="60" t="s">
        <x:v>1742</x:v>
      </x:c>
      <x:c r="D69" s="44" t="s">
        <x:v>818</x:v>
      </x:c>
      <x:c r="E69" s="44" t="s">
        <x:v>818</x:v>
      </x:c>
      <x:c r="F69" s="44" t="s">
        <x:v>818</x:v>
      </x:c>
      <x:c r="G69" s="44" t="s">
        <x:v>818</x:v>
      </x:c>
      <x:c r="H69" s="44" t="s">
        <x:v>818</x:v>
      </x:c>
      <x:c r="I69" s="44" t="s">
        <x:v>818</x:v>
      </x:c>
      <x:c r="U69" s="189" t="str">
        <x:f t="shared" si="1"/>
        <x:v/>
      </x:c>
    </x:row>
    <x:row r="70" spans="2:21">
      <x:c r="B70" s="3" t="s">
        <x:v>373</x:v>
      </x:c>
      <x:c r="C70" s="60" t="s">
        <x:v>1731</x:v>
      </x:c>
      <x:c r="D70" s="80" t="s">
        <x:v>818</x:v>
      </x:c>
      <x:c r="E70" s="80" t="s">
        <x:v>818</x:v>
      </x:c>
      <x:c r="F70" s="80" t="s">
        <x:v>818</x:v>
      </x:c>
      <x:c r="G70" s="80" t="s">
        <x:v>818</x:v>
      </x:c>
      <x:c r="H70" s="80" t="s">
        <x:v>818</x:v>
      </x:c>
      <x:c r="I70" s="80" t="s">
        <x:v>818</x:v>
      </x:c>
      <x:c r="U70" s="189" t="str">
        <x:f t="shared" si="1"/>
        <x:v/>
      </x:c>
    </x:row>
    <x:row r="71" spans="2:21">
      <x:c r="B71" s="3" t="s">
        <x:v>278</x:v>
      </x:c>
      <x:c r="C71" s="60" t="s">
        <x:v>1746</x:v>
      </x:c>
      <x:c r="D71" s="80" t="s">
        <x:v>818</x:v>
      </x:c>
      <x:c r="E71" s="80" t="s">
        <x:v>818</x:v>
      </x:c>
      <x:c r="F71" s="80" t="s">
        <x:v>818</x:v>
      </x:c>
      <x:c r="G71" s="80" t="s">
        <x:v>818</x:v>
      </x:c>
      <x:c r="H71" s="80" t="s">
        <x:v>818</x:v>
      </x:c>
      <x:c r="I71" s="80" t="s">
        <x:v>818</x:v>
      </x:c>
      <x:c r="U71" s="189" t="str">
        <x:f t="shared" si="1"/>
        <x:v/>
      </x:c>
    </x:row>
    <x:row r="72" spans="2:21">
      <x:c r="B72" s="3" t="s">
        <x:v>372</x:v>
      </x:c>
      <x:c r="C72" s="60" t="s">
        <x:v>1743</x:v>
      </x:c>
      <x:c r="D72" s="80" t="s">
        <x:v>818</x:v>
      </x:c>
      <x:c r="E72" s="80" t="s">
        <x:v>818</x:v>
      </x:c>
      <x:c r="F72" s="80" t="s">
        <x:v>818</x:v>
      </x:c>
      <x:c r="G72" s="80" t="s">
        <x:v>818</x:v>
      </x:c>
      <x:c r="H72" s="80" t="s">
        <x:v>818</x:v>
      </x:c>
      <x:c r="I72" s="80" t="s">
        <x:v>818</x:v>
      </x:c>
      <x:c r="U72" s="189" t="str">
        <x:f t="shared" si="1"/>
        <x:v/>
      </x:c>
    </x:row>
    <x:row r="73" spans="2:21">
      <x:c r="B73" s="3" t="s">
        <x:v>359</x:v>
      </x:c>
      <x:c r="C73" s="60" t="s">
        <x:v>1745</x:v>
      </x:c>
      <x:c r="D73" s="80" t="s">
        <x:v>818</x:v>
      </x:c>
      <x:c r="E73" s="80" t="s">
        <x:v>818</x:v>
      </x:c>
      <x:c r="F73" s="80" t="s">
        <x:v>818</x:v>
      </x:c>
      <x:c r="G73" s="80" t="s">
        <x:v>818</x:v>
      </x:c>
      <x:c r="H73" s="80" t="s">
        <x:v>818</x:v>
      </x:c>
      <x:c r="I73" s="80" t="s">
        <x:v>818</x:v>
      </x:c>
      <x:c r="U73" s="189" t="str">
        <x:f t="shared" si="1"/>
        <x:v/>
      </x:c>
    </x:row>
    <x:row r="74" spans="2:21">
      <x:c r="B74" s="3" t="s">
        <x:v>126</x:v>
      </x:c>
      <x:c r="C74" s="60" t="s">
        <x:v>530</x:v>
      </x:c>
      <x:c r="D74" s="80">
        <x:v>260</x:v>
      </x:c>
      <x:c r="E74" s="80">
        <x:v>218</x:v>
      </x:c>
      <x:c r="F74" s="80">
        <x:v>233</x:v>
      </x:c>
      <x:c r="G74" s="80">
        <x:v>192</x:v>
      </x:c>
      <x:c r="H74" s="80">
        <x:v>114</x:v>
      </x:c>
      <x:c r="I74" s="80" t="s">
        <x:v>818</x:v>
      </x:c>
      <x:c r="U74" s="189">
        <x:f t="shared" si="1"/>
        <x:v>1</x:v>
      </x:c>
    </x:row>
    <x:row r="75" spans="2:21">
      <x:c r="B75" s="3"/>
      <x:c r="C75" s="60" t="s">
        <x:v>798</x:v>
      </x:c>
      <x:c r="D75" s="80"/>
      <x:c r="E75" s="80"/>
      <x:c r="F75" s="80"/>
      <x:c r="G75" s="80"/>
      <x:c r="H75" s="80"/>
      <x:c r="I75" s="80"/>
      <x:c r="U75" s="188">
        <x:v>1</x:v>
      </x:c>
    </x:row>
    <x:row r="76" spans="2:21">
      <x:c r="B76" s="87" t="s">
        <x:v>1749</x:v>
      </x:c>
      <x:c r="C76" s="60" t="s">
        <x:v>798</x:v>
      </x:c>
      <x:c r="D76" s="80"/>
      <x:c r="E76" s="80"/>
      <x:c r="F76" s="80"/>
      <x:c r="G76" s="80"/>
      <x:c r="H76" s="80"/>
      <x:c r="I76" s="80"/>
      <x:c r="U76" s="188">
        <x:v>1</x:v>
      </x:c>
    </x:row>
    <x:row r="77" spans="2:21">
      <x:c r="B77" s="3" t="s">
        <x:v>291</x:v>
      </x:c>
      <x:c r="C77" s="60" t="s">
        <x:v>1747</x:v>
      </x:c>
      <x:c r="D77" s="80" t="s">
        <x:v>818</x:v>
      </x:c>
      <x:c r="E77" s="80" t="s">
        <x:v>818</x:v>
      </x:c>
      <x:c r="F77" s="80" t="s">
        <x:v>818</x:v>
      </x:c>
      <x:c r="G77" s="80" t="s">
        <x:v>818</x:v>
      </x:c>
      <x:c r="H77" s="80" t="s">
        <x:v>818</x:v>
      </x:c>
      <x:c r="I77" s="80" t="s">
        <x:v>818</x:v>
      </x:c>
      <x:c r="U77" s="189" t="str">
        <x:f t="shared" ref="U77:U82" si="2">IF(COUNT(D77:I77)&lt;&gt;0,1,"")</x:f>
        <x:v/>
      </x:c>
    </x:row>
    <x:row r="78" spans="2:21">
      <x:c r="B78" s="3" t="s">
        <x:v>274</x:v>
      </x:c>
      <x:c r="C78" s="60" t="s">
        <x:v>2418</x:v>
      </x:c>
      <x:c r="D78" s="80">
        <x:v>5</x:v>
      </x:c>
      <x:c r="E78" s="80">
        <x:v>3</x:v>
      </x:c>
      <x:c r="F78" s="80">
        <x:v>5</x:v>
      </x:c>
      <x:c r="G78" s="80">
        <x:v>9</x:v>
      </x:c>
      <x:c r="H78" s="80">
        <x:v>12</x:v>
      </x:c>
      <x:c r="I78" s="80" t="s">
        <x:v>818</x:v>
      </x:c>
      <x:c r="U78" s="189">
        <x:f t="shared" si="2"/>
        <x:v>1</x:v>
      </x:c>
    </x:row>
    <x:row r="79" spans="2:21">
      <x:c r="B79" s="3" t="s">
        <x:v>1063</x:v>
      </x:c>
      <x:c r="C79" s="60" t="s">
        <x:v>1748</x:v>
      </x:c>
      <x:c r="D79" s="80" t="s">
        <x:v>818</x:v>
      </x:c>
      <x:c r="E79" s="80" t="s">
        <x:v>818</x:v>
      </x:c>
      <x:c r="F79" s="80" t="s">
        <x:v>818</x:v>
      </x:c>
      <x:c r="G79" s="80" t="s">
        <x:v>818</x:v>
      </x:c>
      <x:c r="H79" s="80" t="s">
        <x:v>818</x:v>
      </x:c>
      <x:c r="I79" s="80" t="s">
        <x:v>818</x:v>
      </x:c>
      <x:c r="U79" s="189" t="str">
        <x:f t="shared" si="2"/>
        <x:v/>
      </x:c>
    </x:row>
    <x:row r="80" spans="2:21">
      <x:c r="B80" s="3" t="s">
        <x:v>360</x:v>
      </x:c>
      <x:c r="C80" s="60" t="s">
        <x:v>375</x:v>
      </x:c>
      <x:c r="D80" s="80" t="s">
        <x:v>818</x:v>
      </x:c>
      <x:c r="E80" s="80" t="s">
        <x:v>818</x:v>
      </x:c>
      <x:c r="F80" s="80" t="s">
        <x:v>818</x:v>
      </x:c>
      <x:c r="G80" s="80" t="s">
        <x:v>818</x:v>
      </x:c>
      <x:c r="H80" s="80" t="s">
        <x:v>818</x:v>
      </x:c>
      <x:c r="I80" s="80" t="s">
        <x:v>818</x:v>
      </x:c>
      <x:c r="U80" s="189" t="str">
        <x:f t="shared" si="2"/>
        <x:v/>
      </x:c>
    </x:row>
    <x:row r="81" spans="2:21">
      <x:c r="B81" s="3" t="s">
        <x:v>356</x:v>
      </x:c>
      <x:c r="C81" s="60" t="s">
        <x:v>379</x:v>
      </x:c>
      <x:c r="D81" s="80" t="s">
        <x:v>818</x:v>
      </x:c>
      <x:c r="E81" s="80" t="s">
        <x:v>818</x:v>
      </x:c>
      <x:c r="F81" s="80" t="s">
        <x:v>818</x:v>
      </x:c>
      <x:c r="G81" s="80" t="s">
        <x:v>818</x:v>
      </x:c>
      <x:c r="H81" s="80" t="s">
        <x:v>818</x:v>
      </x:c>
      <x:c r="I81" s="80" t="s">
        <x:v>818</x:v>
      </x:c>
      <x:c r="U81" s="189" t="str">
        <x:f t="shared" si="2"/>
        <x:v/>
      </x:c>
    </x:row>
    <x:row r="82" spans="2:21">
      <x:c r="B82" s="3" t="s">
        <x:v>362</x:v>
      </x:c>
      <x:c r="C82" s="60" t="s">
        <x:v>1725</x:v>
      </x:c>
      <x:c r="D82" s="80" t="s">
        <x:v>818</x:v>
      </x:c>
      <x:c r="E82" s="80" t="s">
        <x:v>818</x:v>
      </x:c>
      <x:c r="F82" s="80" t="s">
        <x:v>818</x:v>
      </x:c>
      <x:c r="G82" s="80" t="s">
        <x:v>818</x:v>
      </x:c>
      <x:c r="H82" s="80" t="s">
        <x:v>818</x:v>
      </x:c>
      <x:c r="I82" s="80" t="s">
        <x:v>818</x:v>
      </x:c>
      <x:c r="U82" s="189" t="str">
        <x:f t="shared" si="2"/>
        <x:v/>
      </x:c>
    </x:row>
    <x:row r="83" spans="2:21">
      <x:c r="B83" s="3"/>
      <x:c r="C83" s="60"/>
      <x:c r="D83" s="80"/>
      <x:c r="E83" s="80"/>
      <x:c r="F83" s="80"/>
      <x:c r="G83" s="80"/>
      <x:c r="H83" s="80"/>
      <x:c r="I83" s="80"/>
      <x:c r="U83" s="188">
        <x:v>1</x:v>
      </x:c>
    </x:row>
    <x:row r="84" spans="2:21">
      <x:c r="B84" s="87" t="s">
        <x:v>1736</x:v>
      </x:c>
      <x:c r="C84" s="60"/>
      <x:c r="D84" s="80"/>
      <x:c r="E84" s="80"/>
      <x:c r="F84" s="80"/>
      <x:c r="G84" s="80"/>
      <x:c r="H84" s="80"/>
      <x:c r="I84" s="80"/>
      <x:c r="U84" s="188">
        <x:v>1</x:v>
      </x:c>
    </x:row>
    <x:row r="85" spans="2:21">
      <x:c r="B85" s="3" t="s">
        <x:v>1062</x:v>
      </x:c>
      <x:c r="C85" s="60" t="s">
        <x:v>1988</x:v>
      </x:c>
      <x:c r="D85" s="80" t="s">
        <x:v>818</x:v>
      </x:c>
      <x:c r="E85" s="80" t="s">
        <x:v>818</x:v>
      </x:c>
      <x:c r="F85" s="80" t="s">
        <x:v>818</x:v>
      </x:c>
      <x:c r="G85" s="80" t="s">
        <x:v>818</x:v>
      </x:c>
      <x:c r="H85" s="80" t="s">
        <x:v>818</x:v>
      </x:c>
      <x:c r="I85" s="80" t="s">
        <x:v>818</x:v>
      </x:c>
      <x:c r="U85" s="189" t="str">
        <x:f t="shared" ref="U85:U129" si="3">IF(COUNT(D85:I85)&lt;&gt;0,1,"")</x:f>
        <x:v/>
      </x:c>
    </x:row>
    <x:row r="86" spans="2:21">
      <x:c r="B86" s="3" t="s">
        <x:v>376</x:v>
      </x:c>
      <x:c r="C86" s="60" t="s">
        <x:v>2000</x:v>
      </x:c>
      <x:c r="D86" s="80" t="s">
        <x:v>818</x:v>
      </x:c>
      <x:c r="E86" s="80" t="s">
        <x:v>818</x:v>
      </x:c>
      <x:c r="F86" s="80" t="s">
        <x:v>818</x:v>
      </x:c>
      <x:c r="G86" s="80" t="s">
        <x:v>818</x:v>
      </x:c>
      <x:c r="H86" s="80" t="s">
        <x:v>818</x:v>
      </x:c>
      <x:c r="I86" s="80" t="s">
        <x:v>818</x:v>
      </x:c>
      <x:c r="U86" s="189" t="str">
        <x:f t="shared" si="3"/>
        <x:v/>
      </x:c>
    </x:row>
    <x:row r="87" spans="2:21">
      <x:c r="B87" s="3" t="s">
        <x:v>377</x:v>
      </x:c>
      <x:c r="C87" s="60" t="s">
        <x:v>2012</x:v>
      </x:c>
      <x:c r="D87" s="80" t="s">
        <x:v>818</x:v>
      </x:c>
      <x:c r="E87" s="80" t="s">
        <x:v>818</x:v>
      </x:c>
      <x:c r="F87" s="80" t="s">
        <x:v>818</x:v>
      </x:c>
      <x:c r="G87" s="80" t="s">
        <x:v>818</x:v>
      </x:c>
      <x:c r="H87" s="80" t="s">
        <x:v>818</x:v>
      </x:c>
      <x:c r="I87" s="80" t="s">
        <x:v>818</x:v>
      </x:c>
      <x:c r="U87" s="189" t="str">
        <x:f t="shared" si="3"/>
        <x:v/>
      </x:c>
    </x:row>
    <x:row r="88" spans="2:21">
      <x:c r="B88" s="3" t="s">
        <x:v>355</x:v>
      </x:c>
      <x:c r="C88" s="60" t="s">
        <x:v>1995</x:v>
      </x:c>
      <x:c r="D88" s="80" t="s">
        <x:v>818</x:v>
      </x:c>
      <x:c r="E88" s="80" t="s">
        <x:v>818</x:v>
      </x:c>
      <x:c r="F88" s="80" t="s">
        <x:v>818</x:v>
      </x:c>
      <x:c r="G88" s="80" t="s">
        <x:v>818</x:v>
      </x:c>
      <x:c r="H88" s="80" t="s">
        <x:v>818</x:v>
      </x:c>
      <x:c r="I88" s="80" t="s">
        <x:v>818</x:v>
      </x:c>
      <x:c r="U88" s="189" t="str">
        <x:f t="shared" si="3"/>
        <x:v/>
      </x:c>
    </x:row>
    <x:row r="89" spans="2:21">
      <x:c r="B89" s="3" t="s">
        <x:v>365</x:v>
      </x:c>
      <x:c r="C89" s="60" t="s">
        <x:v>1991</x:v>
      </x:c>
      <x:c r="D89" s="80" t="s">
        <x:v>818</x:v>
      </x:c>
      <x:c r="E89" s="80" t="s">
        <x:v>818</x:v>
      </x:c>
      <x:c r="F89" s="80" t="s">
        <x:v>818</x:v>
      </x:c>
      <x:c r="G89" s="80" t="s">
        <x:v>818</x:v>
      </x:c>
      <x:c r="H89" s="80" t="s">
        <x:v>818</x:v>
      </x:c>
      <x:c r="I89" s="80" t="s">
        <x:v>818</x:v>
      </x:c>
      <x:c r="U89" s="189" t="str">
        <x:f t="shared" si="3"/>
        <x:v/>
      </x:c>
    </x:row>
    <x:row r="90" spans="2:21">
      <x:c r="B90" s="3" t="s">
        <x:v>369</x:v>
      </x:c>
      <x:c r="C90" s="60" t="s">
        <x:v>2277</x:v>
      </x:c>
      <x:c r="D90" s="80" t="s">
        <x:v>818</x:v>
      </x:c>
      <x:c r="E90" s="80" t="s">
        <x:v>818</x:v>
      </x:c>
      <x:c r="F90" s="80" t="s">
        <x:v>818</x:v>
      </x:c>
      <x:c r="G90" s="80" t="s">
        <x:v>818</x:v>
      </x:c>
      <x:c r="H90" s="80" t="s">
        <x:v>818</x:v>
      </x:c>
      <x:c r="I90" s="80" t="s">
        <x:v>818</x:v>
      </x:c>
      <x:c r="U90" s="189" t="str">
        <x:f t="shared" si="3"/>
        <x:v/>
      </x:c>
    </x:row>
    <x:row r="91" spans="2:21">
      <x:c r="B91" s="3" t="s">
        <x:v>357</x:v>
      </x:c>
      <x:c r="C91" s="60" t="s">
        <x:v>1462</x:v>
      </x:c>
      <x:c r="D91" s="80" t="s">
        <x:v>818</x:v>
      </x:c>
      <x:c r="E91" s="80" t="s">
        <x:v>818</x:v>
      </x:c>
      <x:c r="F91" s="80" t="s">
        <x:v>818</x:v>
      </x:c>
      <x:c r="G91" s="80" t="s">
        <x:v>818</x:v>
      </x:c>
      <x:c r="H91" s="80" t="s">
        <x:v>818</x:v>
      </x:c>
      <x:c r="I91" s="80" t="s">
        <x:v>818</x:v>
      </x:c>
      <x:c r="U91" s="189" t="str">
        <x:f t="shared" si="3"/>
        <x:v/>
      </x:c>
    </x:row>
    <x:row r="92" spans="2:21">
      <x:c r="B92" s="3" t="s">
        <x:v>2246</x:v>
      </x:c>
      <x:c r="C92" s="60" t="s">
        <x:v>2003</x:v>
      </x:c>
      <x:c r="D92" s="80" t="s">
        <x:v>818</x:v>
      </x:c>
      <x:c r="E92" s="80" t="s">
        <x:v>818</x:v>
      </x:c>
      <x:c r="F92" s="80" t="s">
        <x:v>818</x:v>
      </x:c>
      <x:c r="G92" s="80" t="s">
        <x:v>818</x:v>
      </x:c>
      <x:c r="H92" s="80" t="s">
        <x:v>818</x:v>
      </x:c>
      <x:c r="I92" s="80" t="s">
        <x:v>818</x:v>
      </x:c>
      <x:c r="U92" s="189" t="str">
        <x:f t="shared" si="3"/>
        <x:v/>
      </x:c>
    </x:row>
    <x:row r="93" spans="2:21">
      <x:c r="B93" s="3" t="s">
        <x:v>367</x:v>
      </x:c>
      <x:c r="C93" s="60" t="s">
        <x:v>1064</x:v>
      </x:c>
      <x:c r="D93" s="80" t="s">
        <x:v>818</x:v>
      </x:c>
      <x:c r="E93" s="80" t="s">
        <x:v>818</x:v>
      </x:c>
      <x:c r="F93" s="80" t="s">
        <x:v>818</x:v>
      </x:c>
      <x:c r="G93" s="80" t="s">
        <x:v>818</x:v>
      </x:c>
      <x:c r="H93" s="80" t="s">
        <x:v>818</x:v>
      </x:c>
      <x:c r="I93" s="80" t="s">
        <x:v>818</x:v>
      </x:c>
      <x:c r="U93" s="189" t="str">
        <x:f t="shared" si="3"/>
        <x:v/>
      </x:c>
    </x:row>
    <x:row r="94" spans="2:21">
      <x:c r="B94" s="3" t="s">
        <x:v>152</x:v>
      </x:c>
      <x:c r="C94" s="60" t="s">
        <x:v>1473</x:v>
      </x:c>
      <x:c r="D94" s="80" t="s">
        <x:v>818</x:v>
      </x:c>
      <x:c r="E94" s="80" t="s">
        <x:v>818</x:v>
      </x:c>
      <x:c r="F94" s="80" t="s">
        <x:v>818</x:v>
      </x:c>
      <x:c r="G94" s="80" t="s">
        <x:v>818</x:v>
      </x:c>
      <x:c r="H94" s="80" t="s">
        <x:v>818</x:v>
      </x:c>
      <x:c r="I94" s="80" t="s">
        <x:v>818</x:v>
      </x:c>
      <x:c r="U94" s="189" t="str">
        <x:f t="shared" si="3"/>
        <x:v/>
      </x:c>
    </x:row>
    <x:row r="95" spans="2:21">
      <x:c r="B95" s="3" t="s">
        <x:v>64</x:v>
      </x:c>
      <x:c r="C95" s="60" t="s">
        <x:v>1450</x:v>
      </x:c>
      <x:c r="D95" s="80" t="s">
        <x:v>818</x:v>
      </x:c>
      <x:c r="E95" s="80" t="s">
        <x:v>818</x:v>
      </x:c>
      <x:c r="F95" s="80" t="s">
        <x:v>818</x:v>
      </x:c>
      <x:c r="G95" s="80" t="s">
        <x:v>818</x:v>
      </x:c>
      <x:c r="H95" s="80" t="s">
        <x:v>818</x:v>
      </x:c>
      <x:c r="I95" s="80" t="s">
        <x:v>818</x:v>
      </x:c>
      <x:c r="U95" s="189" t="str">
        <x:f t="shared" si="3"/>
        <x:v/>
      </x:c>
    </x:row>
    <x:row r="96" spans="2:21">
      <x:c r="B96" s="3" t="s">
        <x:v>83</x:v>
      </x:c>
      <x:c r="C96" s="60" t="s">
        <x:v>1463</x:v>
      </x:c>
      <x:c r="D96" s="80" t="s">
        <x:v>818</x:v>
      </x:c>
      <x:c r="E96" s="80" t="s">
        <x:v>818</x:v>
      </x:c>
      <x:c r="F96" s="80" t="s">
        <x:v>818</x:v>
      </x:c>
      <x:c r="G96" s="80" t="s">
        <x:v>818</x:v>
      </x:c>
      <x:c r="H96" s="80" t="s">
        <x:v>818</x:v>
      </x:c>
      <x:c r="I96" s="80" t="s">
        <x:v>818</x:v>
      </x:c>
      <x:c r="U96" s="189" t="str">
        <x:f t="shared" si="3"/>
        <x:v/>
      </x:c>
    </x:row>
    <x:row r="97" spans="2:21">
      <x:c r="B97" s="3" t="s">
        <x:v>56</x:v>
      </x:c>
      <x:c r="C97" s="60" t="s">
        <x:v>1464</x:v>
      </x:c>
      <x:c r="D97" s="80" t="s">
        <x:v>818</x:v>
      </x:c>
      <x:c r="E97" s="80" t="s">
        <x:v>818</x:v>
      </x:c>
      <x:c r="F97" s="80" t="s">
        <x:v>818</x:v>
      </x:c>
      <x:c r="G97" s="80" t="s">
        <x:v>818</x:v>
      </x:c>
      <x:c r="H97" s="80" t="s">
        <x:v>818</x:v>
      </x:c>
      <x:c r="I97" s="80" t="s">
        <x:v>818</x:v>
      </x:c>
      <x:c r="U97" s="189" t="str">
        <x:f t="shared" si="3"/>
        <x:v/>
      </x:c>
    </x:row>
    <x:row r="98" spans="2:21">
      <x:c r="B98" s="3" t="s">
        <x:v>72</x:v>
      </x:c>
      <x:c r="C98" s="60" t="s">
        <x:v>1452</x:v>
      </x:c>
      <x:c r="D98" s="80" t="s">
        <x:v>818</x:v>
      </x:c>
      <x:c r="E98" s="80" t="s">
        <x:v>818</x:v>
      </x:c>
      <x:c r="F98" s="80" t="s">
        <x:v>818</x:v>
      </x:c>
      <x:c r="G98" s="80" t="s">
        <x:v>818</x:v>
      </x:c>
      <x:c r="H98" s="80" t="s">
        <x:v>818</x:v>
      </x:c>
      <x:c r="I98" s="80" t="s">
        <x:v>818</x:v>
      </x:c>
      <x:c r="U98" s="189" t="str">
        <x:f t="shared" si="3"/>
        <x:v/>
      </x:c>
    </x:row>
    <x:row r="99" spans="2:21">
      <x:c r="B99" s="3" t="s">
        <x:v>73</x:v>
      </x:c>
      <x:c r="C99" s="60" t="s">
        <x:v>1728</x:v>
      </x:c>
      <x:c r="D99" s="80" t="s">
        <x:v>818</x:v>
      </x:c>
      <x:c r="E99" s="80" t="s">
        <x:v>818</x:v>
      </x:c>
      <x:c r="F99" s="80" t="s">
        <x:v>818</x:v>
      </x:c>
      <x:c r="G99" s="80" t="s">
        <x:v>818</x:v>
      </x:c>
      <x:c r="H99" s="80" t="s">
        <x:v>818</x:v>
      </x:c>
      <x:c r="I99" s="80" t="s">
        <x:v>818</x:v>
      </x:c>
      <x:c r="U99" s="189" t="str">
        <x:f t="shared" si="3"/>
        <x:v/>
      </x:c>
    </x:row>
    <x:row r="100" spans="2:21">
      <x:c r="B100" s="3" t="s">
        <x:v>153</x:v>
      </x:c>
      <x:c r="C100" s="60" t="s">
        <x:v>2263</x:v>
      </x:c>
      <x:c r="D100" s="80" t="s">
        <x:v>818</x:v>
      </x:c>
      <x:c r="E100" s="80" t="s">
        <x:v>818</x:v>
      </x:c>
      <x:c r="F100" s="80" t="s">
        <x:v>818</x:v>
      </x:c>
      <x:c r="G100" s="80" t="s">
        <x:v>818</x:v>
      </x:c>
      <x:c r="H100" s="80" t="s">
        <x:v>818</x:v>
      </x:c>
      <x:c r="I100" s="80" t="s">
        <x:v>818</x:v>
      </x:c>
      <x:c r="U100" s="189" t="str">
        <x:f t="shared" si="3"/>
        <x:v/>
      </x:c>
    </x:row>
    <x:row r="101" spans="2:21">
      <x:c r="B101" s="3" t="s">
        <x:v>361</x:v>
      </x:c>
      <x:c r="C101" s="60" t="s">
        <x:v>2264</x:v>
      </x:c>
      <x:c r="D101" s="80" t="s">
        <x:v>818</x:v>
      </x:c>
      <x:c r="E101" s="80" t="s">
        <x:v>818</x:v>
      </x:c>
      <x:c r="F101" s="80" t="s">
        <x:v>818</x:v>
      </x:c>
      <x:c r="G101" s="80" t="s">
        <x:v>818</x:v>
      </x:c>
      <x:c r="H101" s="80" t="s">
        <x:v>818</x:v>
      </x:c>
      <x:c r="I101" s="80" t="s">
        <x:v>818</x:v>
      </x:c>
      <x:c r="U101" s="189" t="str">
        <x:f t="shared" si="3"/>
        <x:v/>
      </x:c>
    </x:row>
    <x:row r="102" spans="2:21">
      <x:c r="B102" s="3" t="s">
        <x:v>155</x:v>
      </x:c>
      <x:c r="C102" s="60" t="s">
        <x:v>157</x:v>
      </x:c>
      <x:c r="D102" s="80" t="s">
        <x:v>818</x:v>
      </x:c>
      <x:c r="E102" s="80" t="s">
        <x:v>818</x:v>
      </x:c>
      <x:c r="F102" s="80" t="s">
        <x:v>818</x:v>
      </x:c>
      <x:c r="G102" s="80" t="s">
        <x:v>818</x:v>
      </x:c>
      <x:c r="H102" s="80" t="s">
        <x:v>818</x:v>
      </x:c>
      <x:c r="I102" s="80" t="s">
        <x:v>818</x:v>
      </x:c>
      <x:c r="U102" s="189" t="str">
        <x:f t="shared" si="3"/>
        <x:v/>
      </x:c>
    </x:row>
    <x:row r="103" spans="2:21">
      <x:c r="B103" s="3" t="s">
        <x:v>279</x:v>
      </x:c>
      <x:c r="C103" s="60" t="s">
        <x:v>2265</x:v>
      </x:c>
      <x:c r="D103" s="80" t="s">
        <x:v>818</x:v>
      </x:c>
      <x:c r="E103" s="80" t="s">
        <x:v>818</x:v>
      </x:c>
      <x:c r="F103" s="80" t="s">
        <x:v>818</x:v>
      </x:c>
      <x:c r="G103" s="80" t="s">
        <x:v>818</x:v>
      </x:c>
      <x:c r="H103" s="80" t="s">
        <x:v>818</x:v>
      </x:c>
      <x:c r="I103" s="80" t="s">
        <x:v>818</x:v>
      </x:c>
      <x:c r="U103" s="189" t="str">
        <x:f t="shared" si="3"/>
        <x:v/>
      </x:c>
    </x:row>
    <x:row r="104" spans="2:21">
      <x:c r="B104" s="3" t="s">
        <x:v>146</x:v>
      </x:c>
      <x:c r="C104" s="60" t="s">
        <x:v>2266</x:v>
      </x:c>
      <x:c r="D104" s="80" t="s">
        <x:v>818</x:v>
      </x:c>
      <x:c r="E104" s="80" t="s">
        <x:v>818</x:v>
      </x:c>
      <x:c r="F104" s="80" t="s">
        <x:v>818</x:v>
      </x:c>
      <x:c r="G104" s="80" t="s">
        <x:v>818</x:v>
      </x:c>
      <x:c r="H104" s="80" t="s">
        <x:v>818</x:v>
      </x:c>
      <x:c r="I104" s="80" t="s">
        <x:v>818</x:v>
      </x:c>
      <x:c r="U104" s="189" t="str">
        <x:f t="shared" si="3"/>
        <x:v/>
      </x:c>
    </x:row>
    <x:row r="105" spans="2:21">
      <x:c r="B105" s="3" t="s">
        <x:v>4</x:v>
      </x:c>
      <x:c r="C105" s="60" t="s">
        <x:v>2281</x:v>
      </x:c>
      <x:c r="D105" s="80" t="s">
        <x:v>818</x:v>
      </x:c>
      <x:c r="E105" s="80" t="s">
        <x:v>818</x:v>
      </x:c>
      <x:c r="F105" s="80" t="s">
        <x:v>818</x:v>
      </x:c>
      <x:c r="G105" s="80" t="s">
        <x:v>818</x:v>
      </x:c>
      <x:c r="H105" s="80" t="s">
        <x:v>818</x:v>
      </x:c>
      <x:c r="I105" s="80" t="s">
        <x:v>818</x:v>
      </x:c>
      <x:c r="U105" s="189" t="str">
        <x:f t="shared" si="3"/>
        <x:v/>
      </x:c>
    </x:row>
    <x:row r="106" spans="2:21">
      <x:c r="B106" s="3" t="s">
        <x:v>5</x:v>
      </x:c>
      <x:c r="C106" s="60" t="s">
        <x:v>2286</x:v>
      </x:c>
      <x:c r="D106" s="80" t="s">
        <x:v>818</x:v>
      </x:c>
      <x:c r="E106" s="80" t="s">
        <x:v>818</x:v>
      </x:c>
      <x:c r="F106" s="80" t="s">
        <x:v>818</x:v>
      </x:c>
      <x:c r="G106" s="80" t="s">
        <x:v>818</x:v>
      </x:c>
      <x:c r="H106" s="80" t="s">
        <x:v>818</x:v>
      </x:c>
      <x:c r="I106" s="80" t="s">
        <x:v>818</x:v>
      </x:c>
      <x:c r="U106" s="189" t="str">
        <x:f t="shared" si="3"/>
        <x:v/>
      </x:c>
    </x:row>
    <x:row r="107" spans="2:21">
      <x:c r="B107" s="3" t="s">
        <x:v>6</x:v>
      </x:c>
      <x:c r="C107" s="60" t="s">
        <x:v>2294</x:v>
      </x:c>
      <x:c r="D107" s="80" t="s">
        <x:v>818</x:v>
      </x:c>
      <x:c r="E107" s="80" t="s">
        <x:v>818</x:v>
      </x:c>
      <x:c r="F107" s="80" t="s">
        <x:v>818</x:v>
      </x:c>
      <x:c r="G107" s="80" t="s">
        <x:v>818</x:v>
      </x:c>
      <x:c r="H107" s="80" t="s">
        <x:v>818</x:v>
      </x:c>
      <x:c r="I107" s="80" t="s">
        <x:v>818</x:v>
      </x:c>
      <x:c r="U107" s="189" t="str">
        <x:f t="shared" si="3"/>
        <x:v/>
      </x:c>
    </x:row>
    <x:row r="108" spans="2:21">
      <x:c r="B108" s="3" t="s">
        <x:v>3</x:v>
      </x:c>
      <x:c r="C108" s="60" t="s">
        <x:v>1068</x:v>
      </x:c>
      <x:c r="D108" s="80">
        <x:v>1903</x:v>
      </x:c>
      <x:c r="E108" s="80">
        <x:v>1829</x:v>
      </x:c>
      <x:c r="F108" s="80">
        <x:v>1921</x:v>
      </x:c>
      <x:c r="G108" s="80">
        <x:v>2164</x:v>
      </x:c>
      <x:c r="H108" s="80">
        <x:v>1681</x:v>
      </x:c>
      <x:c r="I108" s="80" t="s">
        <x:v>818</x:v>
      </x:c>
      <x:c r="U108" s="189">
        <x:f t="shared" si="3"/>
        <x:v>1</x:v>
      </x:c>
    </x:row>
    <x:row r="109" spans="2:21">
      <x:c r="B109" s="3" t="s">
        <x:v>1</x:v>
      </x:c>
      <x:c r="C109" s="60" t="s">
        <x:v>1750</x:v>
      </x:c>
      <x:c r="D109" s="80" t="s">
        <x:v>818</x:v>
      </x:c>
      <x:c r="E109" s="80" t="s">
        <x:v>818</x:v>
      </x:c>
      <x:c r="F109" s="80" t="s">
        <x:v>818</x:v>
      </x:c>
      <x:c r="G109" s="80" t="s">
        <x:v>818</x:v>
      </x:c>
      <x:c r="H109" s="80" t="s">
        <x:v>818</x:v>
      </x:c>
      <x:c r="I109" s="80" t="s">
        <x:v>818</x:v>
      </x:c>
      <x:c r="U109" s="189" t="str">
        <x:f t="shared" si="3"/>
        <x:v/>
      </x:c>
    </x:row>
    <x:row r="110" spans="2:21">
      <x:c r="B110" s="3" t="s">
        <x:v>1065</x:v>
      </x:c>
      <x:c r="C110" s="60" t="s">
        <x:v>2297</x:v>
      </x:c>
      <x:c r="D110" s="80">
        <x:v>1903</x:v>
      </x:c>
      <x:c r="E110" s="80">
        <x:v>1829</x:v>
      </x:c>
      <x:c r="F110" s="80">
        <x:v>1921</x:v>
      </x:c>
      <x:c r="G110" s="80">
        <x:v>2164</x:v>
      </x:c>
      <x:c r="H110" s="80">
        <x:v>1681</x:v>
      </x:c>
      <x:c r="I110" s="80" t="s">
        <x:v>818</x:v>
      </x:c>
      <x:c r="U110" s="189">
        <x:f t="shared" si="3"/>
        <x:v>1</x:v>
      </x:c>
    </x:row>
    <x:row r="111" spans="2:21">
      <x:c r="B111" s="3" t="s">
        <x:v>2</x:v>
      </x:c>
      <x:c r="C111" s="60" t="s">
        <x:v>271</x:v>
      </x:c>
      <x:c r="D111" s="80" t="s">
        <x:v>818</x:v>
      </x:c>
      <x:c r="E111" s="80" t="s">
        <x:v>818</x:v>
      </x:c>
      <x:c r="F111" s="80" t="s">
        <x:v>818</x:v>
      </x:c>
      <x:c r="G111" s="80" t="s">
        <x:v>818</x:v>
      </x:c>
      <x:c r="H111" s="80" t="s">
        <x:v>818</x:v>
      </x:c>
      <x:c r="I111" s="80" t="s">
        <x:v>818</x:v>
      </x:c>
      <x:c r="U111" s="189" t="str">
        <x:f t="shared" si="3"/>
        <x:v/>
      </x:c>
    </x:row>
    <x:row r="112" spans="2:21">
      <x:c r="B112" s="3" t="s">
        <x:v>709</x:v>
      </x:c>
      <x:c r="C112" s="60" t="s">
        <x:v>1567</x:v>
      </x:c>
      <x:c r="D112" s="80" t="s">
        <x:v>818</x:v>
      </x:c>
      <x:c r="E112" s="80" t="s">
        <x:v>818</x:v>
      </x:c>
      <x:c r="F112" s="80" t="s">
        <x:v>818</x:v>
      </x:c>
      <x:c r="G112" s="80" t="s">
        <x:v>818</x:v>
      </x:c>
      <x:c r="H112" s="80" t="s">
        <x:v>818</x:v>
      </x:c>
      <x:c r="I112" s="80" t="s">
        <x:v>818</x:v>
      </x:c>
      <x:c r="U112" s="189" t="str">
        <x:f t="shared" si="3"/>
        <x:v/>
      </x:c>
    </x:row>
    <x:row r="113" spans="2:21">
      <x:c r="B113" s="3" t="s">
        <x:v>710</x:v>
      </x:c>
      <x:c r="C113" s="60" t="s">
        <x:v>2432</x:v>
      </x:c>
      <x:c r="D113" s="80" t="s">
        <x:v>818</x:v>
      </x:c>
      <x:c r="E113" s="80" t="s">
        <x:v>818</x:v>
      </x:c>
      <x:c r="F113" s="80" t="s">
        <x:v>818</x:v>
      </x:c>
      <x:c r="G113" s="80" t="s">
        <x:v>818</x:v>
      </x:c>
      <x:c r="H113" s="80" t="s">
        <x:v>818</x:v>
      </x:c>
      <x:c r="I113" s="80" t="s">
        <x:v>818</x:v>
      </x:c>
      <x:c r="U113" s="189" t="str">
        <x:f t="shared" si="3"/>
        <x:v/>
      </x:c>
    </x:row>
    <x:row r="114" spans="2:21">
      <x:c r="B114" s="3" t="s">
        <x:v>708</x:v>
      </x:c>
      <x:c r="C114" s="60" t="s">
        <x:v>583</x:v>
      </x:c>
      <x:c r="D114" s="80" t="s">
        <x:v>818</x:v>
      </x:c>
      <x:c r="E114" s="80" t="s">
        <x:v>818</x:v>
      </x:c>
      <x:c r="F114" s="80" t="s">
        <x:v>818</x:v>
      </x:c>
      <x:c r="G114" s="80" t="s">
        <x:v>818</x:v>
      </x:c>
      <x:c r="H114" s="80" t="s">
        <x:v>818</x:v>
      </x:c>
      <x:c r="I114" s="80" t="s">
        <x:v>818</x:v>
      </x:c>
      <x:c r="U114" s="189" t="str">
        <x:f t="shared" si="3"/>
        <x:v/>
      </x:c>
    </x:row>
    <x:row r="115" spans="2:21">
      <x:c r="B115" s="3" t="s">
        <x:v>227</x:v>
      </x:c>
      <x:c r="C115" s="60" t="s">
        <x:v>1189</x:v>
      </x:c>
      <x:c r="D115" s="80" t="s">
        <x:v>818</x:v>
      </x:c>
      <x:c r="E115" s="80" t="s">
        <x:v>818</x:v>
      </x:c>
      <x:c r="F115" s="80" t="s">
        <x:v>818</x:v>
      </x:c>
      <x:c r="G115" s="80" t="s">
        <x:v>818</x:v>
      </x:c>
      <x:c r="H115" s="80" t="s">
        <x:v>818</x:v>
      </x:c>
      <x:c r="I115" s="80" t="s">
        <x:v>818</x:v>
      </x:c>
      <x:c r="U115" s="189" t="str">
        <x:f t="shared" si="3"/>
        <x:v/>
      </x:c>
    </x:row>
    <x:row r="116" spans="2:21">
      <x:c r="B116" s="3" t="s">
        <x:v>704</x:v>
      </x:c>
      <x:c r="C116" s="60" t="s">
        <x:v>1583</x:v>
      </x:c>
      <x:c r="D116" s="80" t="s">
        <x:v>818</x:v>
      </x:c>
      <x:c r="E116" s="80" t="s">
        <x:v>818</x:v>
      </x:c>
      <x:c r="F116" s="80" t="s">
        <x:v>818</x:v>
      </x:c>
      <x:c r="G116" s="80" t="s">
        <x:v>818</x:v>
      </x:c>
      <x:c r="H116" s="80" t="s">
        <x:v>818</x:v>
      </x:c>
      <x:c r="I116" s="80" t="s">
        <x:v>818</x:v>
      </x:c>
      <x:c r="U116" s="189" t="str">
        <x:f t="shared" si="3"/>
        <x:v/>
      </x:c>
    </x:row>
    <x:row r="117" spans="2:21">
      <x:c r="B117" s="3" t="s">
        <x:v>705</x:v>
      </x:c>
      <x:c r="C117" s="60" t="s">
        <x:v>2427</x:v>
      </x:c>
      <x:c r="D117" s="80" t="s">
        <x:v>818</x:v>
      </x:c>
      <x:c r="E117" s="80" t="s">
        <x:v>818</x:v>
      </x:c>
      <x:c r="F117" s="80" t="s">
        <x:v>818</x:v>
      </x:c>
      <x:c r="G117" s="80" t="s">
        <x:v>818</x:v>
      </x:c>
      <x:c r="H117" s="80" t="s">
        <x:v>818</x:v>
      </x:c>
      <x:c r="I117" s="80" t="s">
        <x:v>818</x:v>
      </x:c>
      <x:c r="U117" s="189" t="str">
        <x:f t="shared" si="3"/>
        <x:v/>
      </x:c>
    </x:row>
    <x:row r="118" spans="2:21">
      <x:c r="B118" s="3" t="s">
        <x:v>715</x:v>
      </x:c>
      <x:c r="C118" s="60" t="s">
        <x:v>1573</x:v>
      </x:c>
      <x:c r="D118" s="80">
        <x:v>937</x:v>
      </x:c>
      <x:c r="E118" s="80">
        <x:v>982</x:v>
      </x:c>
      <x:c r="F118" s="80">
        <x:v>988</x:v>
      </x:c>
      <x:c r="G118" s="80">
        <x:v>1134</x:v>
      </x:c>
      <x:c r="H118" s="80">
        <x:v>1311</x:v>
      </x:c>
      <x:c r="I118" s="80">
        <x:v>1715</x:v>
      </x:c>
      <x:c r="U118" s="189">
        <x:f t="shared" si="3"/>
        <x:v>1</x:v>
      </x:c>
    </x:row>
    <x:row r="119" spans="2:21">
      <x:c r="B119" s="3" t="s">
        <x:v>700</x:v>
      </x:c>
      <x:c r="C119" s="60" t="s">
        <x:v>2403</x:v>
      </x:c>
      <x:c r="D119" s="80">
        <x:v>-198</x:v>
      </x:c>
      <x:c r="E119" s="80">
        <x:v>-223</x:v>
      </x:c>
      <x:c r="F119" s="80">
        <x:v>-249</x:v>
      </x:c>
      <x:c r="G119" s="80">
        <x:v>-290</x:v>
      </x:c>
      <x:c r="H119" s="80">
        <x:v>-469</x:v>
      </x:c>
      <x:c r="I119" s="80" t="s">
        <x:v>818</x:v>
      </x:c>
      <x:c r="U119" s="189">
        <x:f t="shared" si="3"/>
        <x:v>1</x:v>
      </x:c>
    </x:row>
    <x:row r="120" spans="2:21">
      <x:c r="B120" s="3" t="s">
        <x:v>718</x:v>
      </x:c>
      <x:c r="C120" s="60" t="s">
        <x:v>614</x:v>
      </x:c>
      <x:c r="D120" s="80">
        <x:v>675</x:v>
      </x:c>
      <x:c r="E120" s="80">
        <x:v>695</x:v>
      </x:c>
      <x:c r="F120" s="80">
        <x:v>738</x:v>
      </x:c>
      <x:c r="G120" s="80">
        <x:v>843</x:v>
      </x:c>
      <x:c r="H120" s="80">
        <x:v>842</x:v>
      </x:c>
      <x:c r="I120" s="80" t="s">
        <x:v>818</x:v>
      </x:c>
      <x:c r="U120" s="189">
        <x:f t="shared" si="3"/>
        <x:v>1</x:v>
      </x:c>
    </x:row>
    <x:row r="121" spans="2:21">
      <x:c r="B121" s="3"/>
      <x:c r="C121" s="60"/>
      <x:c r="D121" s="80"/>
      <x:c r="E121" s="80"/>
      <x:c r="F121" s="80"/>
      <x:c r="G121" s="80"/>
      <x:c r="H121" s="80"/>
      <x:c r="I121" s="80"/>
      <x:c r="U121" s="188">
        <x:v>1</x:v>
      </x:c>
    </x:row>
    <x:row r="122" spans="2:21">
      <x:c r="B122" s="3" t="s">
        <x:v>91</x:v>
      </x:c>
      <x:c r="C122" s="60" t="s">
        <x:v>358</x:v>
      </x:c>
      <x:c r="D122" s="80">
        <x:v>7146</x:v>
      </x:c>
      <x:c r="E122" s="80">
        <x:v>8568</x:v>
      </x:c>
      <x:c r="F122" s="80">
        <x:v>8709</x:v>
      </x:c>
      <x:c r="G122" s="80">
        <x:v>8728</x:v>
      </x:c>
      <x:c r="H122" s="80">
        <x:v>8772</x:v>
      </x:c>
      <x:c r="I122" s="80" t="s">
        <x:v>818</x:v>
      </x:c>
      <x:c r="U122" s="189">
        <x:f t="shared" si="3"/>
        <x:v>1</x:v>
      </x:c>
    </x:row>
    <x:row r="123" spans="2:21">
      <x:c r="B123" s="3" t="s">
        <x:v>76</x:v>
      </x:c>
      <x:c r="C123" s="60" t="s">
        <x:v>1066</x:v>
      </x:c>
      <x:c r="D123" s="80">
        <x:v>1690</x:v>
      </x:c>
      <x:c r="E123" s="80">
        <x:v>934</x:v>
      </x:c>
      <x:c r="F123" s="80">
        <x:v>355</x:v>
      </x:c>
      <x:c r="G123" s="80">
        <x:v>296</x:v>
      </x:c>
      <x:c r="H123" s="80">
        <x:v>667</x:v>
      </x:c>
      <x:c r="I123" s="80" t="s">
        <x:v>818</x:v>
      </x:c>
      <x:c r="U123" s="189">
        <x:f t="shared" si="3"/>
        <x:v>1</x:v>
      </x:c>
    </x:row>
    <x:row r="124" spans="2:21">
      <x:c r="B124" s="3" t="s">
        <x:v>194</x:v>
      </x:c>
      <x:c r="C124" s="60" t="s">
        <x:v>288</x:v>
      </x:c>
      <x:c r="D124" s="80" t="s">
        <x:v>818</x:v>
      </x:c>
      <x:c r="E124" s="80" t="s">
        <x:v>818</x:v>
      </x:c>
      <x:c r="F124" s="80" t="s">
        <x:v>818</x:v>
      </x:c>
      <x:c r="G124" s="80" t="s">
        <x:v>818</x:v>
      </x:c>
      <x:c r="H124" s="80" t="s">
        <x:v>818</x:v>
      </x:c>
      <x:c r="I124" s="80" t="s">
        <x:v>818</x:v>
      </x:c>
      <x:c r="U124" s="189" t="str">
        <x:f t="shared" si="3"/>
        <x:v/>
      </x:c>
    </x:row>
    <x:row r="125" spans="2:21">
      <x:c r="B125" s="3" t="s">
        <x:v>954</x:v>
      </x:c>
      <x:c r="C125" s="60" t="s">
        <x:v>1070</x:v>
      </x:c>
      <x:c r="D125" s="80">
        <x:v>159</x:v>
      </x:c>
      <x:c r="E125" s="80">
        <x:v>247</x:v>
      </x:c>
      <x:c r="F125" s="80">
        <x:v>174</x:v>
      </x:c>
      <x:c r="G125" s="80">
        <x:v>231</x:v>
      </x:c>
      <x:c r="H125" s="80">
        <x:v>452</x:v>
      </x:c>
      <x:c r="I125" s="80" t="s">
        <x:v>818</x:v>
      </x:c>
      <x:c r="U125" s="189">
        <x:f t="shared" si="3"/>
        <x:v>1</x:v>
      </x:c>
    </x:row>
    <x:row r="126" spans="2:21">
      <x:c r="B126" s="3" t="s">
        <x:v>970</x:v>
      </x:c>
      <x:c r="C126" s="60" t="s">
        <x:v>363</x:v>
      </x:c>
      <x:c r="D126" s="80" t="s">
        <x:v>818</x:v>
      </x:c>
      <x:c r="E126" s="80" t="s">
        <x:v>818</x:v>
      </x:c>
      <x:c r="F126" s="80">
        <x:v>-470</x:v>
      </x:c>
      <x:c r="G126" s="80">
        <x:v>-457</x:v>
      </x:c>
      <x:c r="H126" s="80">
        <x:v>-955</x:v>
      </x:c>
      <x:c r="I126" s="80" t="s">
        <x:v>818</x:v>
      </x:c>
      <x:c r="U126" s="189">
        <x:f t="shared" si="3"/>
        <x:v>1</x:v>
      </x:c>
    </x:row>
    <x:row r="127" spans="2:21">
      <x:c r="B127" s="3" t="s">
        <x:v>364</x:v>
      </x:c>
      <x:c r="C127" s="60" t="s">
        <x:v>1069</x:v>
      </x:c>
      <x:c r="D127" s="80">
        <x:v>-19</x:v>
      </x:c>
      <x:c r="E127" s="80">
        <x:v>-352</x:v>
      </x:c>
      <x:c r="F127" s="80">
        <x:v>-41</x:v>
      </x:c>
      <x:c r="G127" s="80">
        <x:v>-26</x:v>
      </x:c>
      <x:c r="H127" s="80">
        <x:v>-61</x:v>
      </x:c>
      <x:c r="I127" s="80" t="s">
        <x:v>818</x:v>
      </x:c>
      <x:c r="U127" s="189">
        <x:f t="shared" si="3"/>
        <x:v>1</x:v>
      </x:c>
    </x:row>
    <x:row r="128" spans="2:21">
      <x:c r="B128" s="3" t="s">
        <x:v>366</x:v>
      </x:c>
      <x:c r="C128" s="60" t="s">
        <x:v>1067</x:v>
      </x:c>
      <x:c r="D128" s="80" t="s">
        <x:v>818</x:v>
      </x:c>
      <x:c r="E128" s="80" t="s">
        <x:v>818</x:v>
      </x:c>
      <x:c r="F128" s="80" t="s">
        <x:v>818</x:v>
      </x:c>
      <x:c r="G128" s="80" t="s">
        <x:v>818</x:v>
      </x:c>
      <x:c r="H128" s="80" t="s">
        <x:v>818</x:v>
      </x:c>
      <x:c r="I128" s="80" t="s">
        <x:v>818</x:v>
      </x:c>
      <x:c r="U128" s="189" t="str">
        <x:f t="shared" si="3"/>
        <x:v/>
      </x:c>
    </x:row>
    <x:row r="129" spans="2:21">
      <x:c r="B129" s="3" t="s">
        <x:v>368</x:v>
      </x:c>
      <x:c r="C129" s="60" t="s">
        <x:v>371</x:v>
      </x:c>
      <x:c r="D129" s="80">
        <x:v>-408</x:v>
      </x:c>
      <x:c r="E129" s="80">
        <x:v>-688</x:v>
      </x:c>
      <x:c r="F129" s="80" t="s">
        <x:v>818</x:v>
      </x:c>
      <x:c r="G129" s="80" t="s">
        <x:v>818</x:v>
      </x:c>
      <x:c r="H129" s="80" t="s">
        <x:v>818</x:v>
      </x:c>
      <x:c r="I129" s="80" t="s">
        <x:v>818</x:v>
      </x:c>
      <x:c r="U129" s="189">
        <x:f t="shared" si="3"/>
        <x:v>1</x:v>
      </x:c>
    </x:row>
    <x:row r="130" spans="2:21">
      <x:c r="B130" s="87" t="s">
        <x:v>1005</x:v>
      </x:c>
      <x:c r="C130" s="60" t="s">
        <x:v>370</x:v>
      </x:c>
      <x:c r="D130" s="82">
        <x:v>8568</x:v>
      </x:c>
      <x:c r="E130" s="82">
        <x:v>8709</x:v>
      </x:c>
      <x:c r="F130" s="82">
        <x:v>8728</x:v>
      </x:c>
      <x:c r="G130" s="82">
        <x:v>8772</x:v>
      </x:c>
      <x:c r="H130" s="82">
        <x:v>8875</x:v>
      </x:c>
      <x:c r="I130" s="82" t="s">
        <x:v>818</x:v>
      </x:c>
      <x:c r="U130" s="188">
        <x:v>1</x:v>
      </x:c>
    </x:row>
    <x:row r="131" spans="2:21">
      <x:c r="B131" s="87"/>
      <x:c r="C131" s="60"/>
      <x:c r="D131" s="82"/>
      <x:c r="E131" s="82"/>
      <x:c r="F131" s="82"/>
      <x:c r="G131" s="82"/>
      <x:c r="H131" s="82"/>
      <x:c r="I131" s="82"/>
      <x:c r="U131" s="188">
        <x:v>1</x:v>
      </x:c>
    </x:row>
    <x:row r="132" spans="2:21">
      <x:c r="B132" s="3" t="s">
        <x:v>207</x:v>
      </x:c>
      <x:c r="C132" s="60" t="s">
        <x:v>281</x:v>
      </x:c>
      <x:c r="D132" s="80">
        <x:v>117</x:v>
      </x:c>
      <x:c r="E132" s="80">
        <x:v>125</x:v>
      </x:c>
      <x:c r="F132" s="80">
        <x:v>185</x:v>
      </x:c>
      <x:c r="G132" s="80">
        <x:v>379</x:v>
      </x:c>
      <x:c r="H132" s="80">
        <x:v>282</x:v>
      </x:c>
      <x:c r="I132" s="80" t="s">
        <x:v>818</x:v>
      </x:c>
      <x:c r="U132" s="189">
        <x:f t="shared" ref="U132:U138" si="4">IF(COUNT(D132:I132)&lt;&gt;0,1,"")</x:f>
        <x:v>1</x:v>
      </x:c>
    </x:row>
    <x:row r="133" spans="2:21">
      <x:c r="B133" s="3" t="s">
        <x:v>65</x:v>
      </x:c>
      <x:c r="C133" s="60" t="s">
        <x:v>977</x:v>
      </x:c>
      <x:c r="D133" s="80" t="s">
        <x:v>818</x:v>
      </x:c>
      <x:c r="E133" s="80" t="s">
        <x:v>818</x:v>
      </x:c>
      <x:c r="F133" s="80" t="s">
        <x:v>818</x:v>
      </x:c>
      <x:c r="G133" s="80" t="s">
        <x:v>818</x:v>
      </x:c>
      <x:c r="H133" s="80" t="s">
        <x:v>818</x:v>
      </x:c>
      <x:c r="I133" s="80" t="s">
        <x:v>818</x:v>
      </x:c>
      <x:c r="U133" s="189" t="str">
        <x:f t="shared" si="4"/>
        <x:v/>
      </x:c>
    </x:row>
    <x:row r="134" spans="2:21">
      <x:c r="B134" s="3" t="s">
        <x:v>184</x:v>
      </x:c>
      <x:c r="C134" s="60" t="s">
        <x:v>276</x:v>
      </x:c>
      <x:c r="D134" s="80" t="s">
        <x:v>818</x:v>
      </x:c>
      <x:c r="E134" s="80" t="s">
        <x:v>818</x:v>
      </x:c>
      <x:c r="F134" s="80" t="s">
        <x:v>818</x:v>
      </x:c>
      <x:c r="G134" s="80">
        <x:v>1321</x:v>
      </x:c>
      <x:c r="H134" s="80">
        <x:v>1560</x:v>
      </x:c>
      <x:c r="I134" s="80" t="s">
        <x:v>818</x:v>
      </x:c>
      <x:c r="U134" s="189">
        <x:f t="shared" si="4"/>
        <x:v>1</x:v>
      </x:c>
    </x:row>
    <x:row r="135" spans="2:21">
      <x:c r="B135" s="3" t="s">
        <x:v>197</x:v>
      </x:c>
      <x:c r="C135" s="60" t="s">
        <x:v>952</x:v>
      </x:c>
      <x:c r="D135" s="80" t="s">
        <x:v>818</x:v>
      </x:c>
      <x:c r="E135" s="80" t="s">
        <x:v>818</x:v>
      </x:c>
      <x:c r="F135" s="80" t="s">
        <x:v>818</x:v>
      </x:c>
      <x:c r="G135" s="80" t="s">
        <x:v>818</x:v>
      </x:c>
      <x:c r="H135" s="80" t="s">
        <x:v>818</x:v>
      </x:c>
      <x:c r="I135" s="80" t="s">
        <x:v>818</x:v>
      </x:c>
      <x:c r="U135" s="189" t="str">
        <x:f t="shared" si="4"/>
        <x:v/>
      </x:c>
    </x:row>
    <x:row r="136" spans="2:21">
      <x:c r="B136" s="3" t="s">
        <x:v>208</x:v>
      </x:c>
      <x:c r="C136" s="60" t="s">
        <x:v>294</x:v>
      </x:c>
      <x:c r="D136" s="80" t="s">
        <x:v>818</x:v>
      </x:c>
      <x:c r="E136" s="80" t="s">
        <x:v>818</x:v>
      </x:c>
      <x:c r="F136" s="80" t="s">
        <x:v>818</x:v>
      </x:c>
      <x:c r="G136" s="80" t="s">
        <x:v>818</x:v>
      </x:c>
      <x:c r="H136" s="80" t="s">
        <x:v>818</x:v>
      </x:c>
      <x:c r="I136" s="80" t="s">
        <x:v>818</x:v>
      </x:c>
      <x:c r="U136" s="189" t="str">
        <x:f t="shared" si="4"/>
        <x:v/>
      </x:c>
    </x:row>
    <x:row r="137" spans="2:21">
      <x:c r="B137" s="3" t="s">
        <x:v>190</x:v>
      </x:c>
      <x:c r="C137" s="60" t="s">
        <x:v>277</x:v>
      </x:c>
      <x:c r="D137" s="80" t="s">
        <x:v>818</x:v>
      </x:c>
      <x:c r="E137" s="80" t="s">
        <x:v>818</x:v>
      </x:c>
      <x:c r="F137" s="80" t="s">
        <x:v>818</x:v>
      </x:c>
      <x:c r="G137" s="80" t="s">
        <x:v>818</x:v>
      </x:c>
      <x:c r="H137" s="80">
        <x:v>-139</x:v>
      </x:c>
      <x:c r="I137" s="80" t="s">
        <x:v>818</x:v>
      </x:c>
      <x:c r="U137" s="189">
        <x:f t="shared" si="4"/>
        <x:v>1</x:v>
      </x:c>
    </x:row>
    <x:row r="138" spans="2:21">
      <x:c r="B138" s="3" t="s">
        <x:v>209</x:v>
      </x:c>
      <x:c r="C138" s="60" t="s">
        <x:v>953</x:v>
      </x:c>
      <x:c r="D138" s="80">
        <x:v>7994</x:v>
      </x:c>
      <x:c r="E138" s="80">
        <x:v>8163</x:v>
      </x:c>
      <x:c r="F138" s="80">
        <x:v>8191</x:v>
      </x:c>
      <x:c r="G138" s="80">
        <x:v>8205</x:v>
      </x:c>
      <x:c r="H138" s="80">
        <x:v>8258</x:v>
      </x:c>
      <x:c r="I138" s="80" t="s">
        <x:v>818</x:v>
      </x:c>
      <x:c r="U138" s="189">
        <x:f t="shared" si="4"/>
        <x:v>1</x:v>
      </x:c>
    </x:row>
    <x:row r="139" spans="3:21">
      <x:c r="C139" s="60"/>
      <x:c r="D139" s="80"/>
      <x:c r="E139" s="80"/>
      <x:c r="F139" s="80"/>
      <x:c r="G139" s="80"/>
      <x:c r="H139" s="80"/>
      <x:c r="I139" s="80"/>
      <x:c r="U139" s="188">
        <x:v>1</x:v>
      </x:c>
    </x:row>
    <x:row r="140" spans="2:21">
      <x:c r="B140" s="236" t="s">
        <x:v>2293</x:v>
      </x:c>
      <x:c r="C140" s="60"/>
      <x:c r="D140" s="80"/>
      <x:c r="E140" s="80"/>
      <x:c r="F140" s="80"/>
      <x:c r="G140" s="80"/>
      <x:c r="H140" s="80"/>
      <x:c r="I140" s="80"/>
      <x:c r="U140" s="188">
        <x:v>1</x:v>
      </x:c>
    </x:row>
    <x:row r="141" spans="2:21">
      <x:c r="B141" s="3" t="s">
        <x:v>50</x:v>
      </x:c>
      <x:c r="C141" s="60" t="s">
        <x:v>1466</x:v>
      </x:c>
      <x:c r="D141" s="80" t="s">
        <x:v>818</x:v>
      </x:c>
      <x:c r="E141" s="80" t="s">
        <x:v>818</x:v>
      </x:c>
      <x:c r="F141" s="80">
        <x:v>1549732</x:v>
      </x:c>
      <x:c r="G141" s="80">
        <x:v>6274525</x:v>
      </x:c>
      <x:c r="H141" s="80">
        <x:v>9856562</x:v>
      </x:c>
      <x:c r="I141" s="80" t="s">
        <x:v>818</x:v>
      </x:c>
      <x:c r="U141" s="189">
        <x:f t="shared" ref="U141:U152" si="5">IF(COUNT(D141:I141)&lt;&gt;0,1,"")</x:f>
        <x:v>1</x:v>
      </x:c>
    </x:row>
    <x:row r="142" spans="2:21">
      <x:c r="B142" s="3" t="s">
        <x:v>47</x:v>
      </x:c>
      <x:c r="C142" s="60" t="s">
        <x:v>1465</x:v>
      </x:c>
      <x:c r="D142" s="80" t="s">
        <x:v>818</x:v>
      </x:c>
      <x:c r="E142" s="80" t="s">
        <x:v>818</x:v>
      </x:c>
      <x:c r="F142" s="80">
        <x:v>5044353</x:v>
      </x:c>
      <x:c r="G142" s="80">
        <x:v>4574756</x:v>
      </x:c>
      <x:c r="H142" s="80">
        <x:v>3156770</x:v>
      </x:c>
      <x:c r="I142" s="80" t="s">
        <x:v>818</x:v>
      </x:c>
      <x:c r="U142" s="189">
        <x:f t="shared" si="5"/>
        <x:v>1</x:v>
      </x:c>
    </x:row>
    <x:row r="143" spans="2:21">
      <x:c r="B143" s="3" t="s">
        <x:v>36</x:v>
      </x:c>
      <x:c r="C143" s="60" t="s">
        <x:v>2280</x:v>
      </x:c>
      <x:c r="D143" s="80" t="s">
        <x:v>818</x:v>
      </x:c>
      <x:c r="E143" s="80" t="s">
        <x:v>818</x:v>
      </x:c>
      <x:c r="F143" s="80" t="s">
        <x:v>818</x:v>
      </x:c>
      <x:c r="G143" s="80">
        <x:v>408045</x:v>
      </x:c>
      <x:c r="H143" s="80">
        <x:v>2384273</x:v>
      </x:c>
      <x:c r="I143" s="80" t="s">
        <x:v>818</x:v>
      </x:c>
      <x:c r="U143" s="189">
        <x:f t="shared" si="5"/>
        <x:v>1</x:v>
      </x:c>
    </x:row>
    <x:row r="144" spans="2:21">
      <x:c r="B144" s="3" t="s">
        <x:v>42</x:v>
      </x:c>
      <x:c r="C144" s="60" t="s">
        <x:v>2278</x:v>
      </x:c>
      <x:c r="D144" s="80" t="s">
        <x:v>818</x:v>
      </x:c>
      <x:c r="E144" s="80" t="s">
        <x:v>818</x:v>
      </x:c>
      <x:c r="F144" s="80">
        <x:v>319560</x:v>
      </x:c>
      <x:c r="G144" s="80">
        <x:v>584674</x:v>
      </x:c>
      <x:c r="H144" s="80">
        <x:v>623663</x:v>
      </x:c>
      <x:c r="I144" s="80" t="s">
        <x:v>818</x:v>
      </x:c>
      <x:c r="U144" s="189">
        <x:f t="shared" si="5"/>
        <x:v>1</x:v>
      </x:c>
    </x:row>
    <x:row r="145" spans="2:21">
      <x:c r="B145" s="3" t="s">
        <x:v>44</x:v>
      </x:c>
      <x:c r="C145" s="60" t="s">
        <x:v>1455</x:v>
      </x:c>
      <x:c r="D145" s="80" t="s">
        <x:v>818</x:v>
      </x:c>
      <x:c r="E145" s="80" t="s">
        <x:v>818</x:v>
      </x:c>
      <x:c r="F145" s="80">
        <x:v>6274525</x:v>
      </x:c>
      <x:c r="G145" s="80">
        <x:v>9856562</x:v>
      </x:c>
      <x:c r="H145" s="80">
        <x:v>10005396</x:v>
      </x:c>
      <x:c r="I145" s="80" t="s">
        <x:v>818</x:v>
      </x:c>
      <x:c r="U145" s="189">
        <x:f t="shared" si="5"/>
        <x:v>1</x:v>
      </x:c>
    </x:row>
    <x:row r="146" spans="2:21">
      <x:c r="B146" s="3" t="s">
        <x:v>185</x:v>
      </x:c>
      <x:c r="C146" s="60" t="s">
        <x:v>1752</x:v>
      </x:c>
      <x:c r="D146" s="80" t="s">
        <x:v>818</x:v>
      </x:c>
      <x:c r="E146" s="80" t="s">
        <x:v>818</x:v>
      </x:c>
      <x:c r="F146" s="80">
        <x:v>128</x:v>
      </x:c>
      <x:c r="G146" s="80">
        <x:v>130</x:v>
      </x:c>
      <x:c r="H146" s="80">
        <x:v>145</x:v>
      </x:c>
      <x:c r="I146" s="80" t="s">
        <x:v>818</x:v>
      </x:c>
      <x:c r="U146" s="189">
        <x:f t="shared" si="5"/>
        <x:v>1</x:v>
      </x:c>
    </x:row>
    <x:row r="147" spans="2:21">
      <x:c r="B147" s="3" t="s">
        <x:v>959</x:v>
      </x:c>
      <x:c r="C147" s="60" t="s">
        <x:v>1071</x:v>
      </x:c>
      <x:c r="D147" s="80" t="s">
        <x:v>818</x:v>
      </x:c>
      <x:c r="E147" s="80" t="s">
        <x:v>818</x:v>
      </x:c>
      <x:c r="F147" s="80">
        <x:v>125</x:v>
      </x:c>
      <x:c r="G147" s="80">
        <x:v>133</x:v>
      </x:c>
      <x:c r="H147" s="80">
        <x:v>181</x:v>
      </x:c>
      <x:c r="I147" s="80" t="s">
        <x:v>818</x:v>
      </x:c>
      <x:c r="U147" s="189">
        <x:f t="shared" si="5"/>
        <x:v>1</x:v>
      </x:c>
    </x:row>
    <x:row r="148" spans="2:21">
      <x:c r="B148" s="3" t="s">
        <x:v>43</x:v>
      </x:c>
      <x:c r="C148" s="60" t="s">
        <x:v>2292</x:v>
      </x:c>
      <x:c r="D148" s="80" t="s">
        <x:v>818</x:v>
      </x:c>
      <x:c r="E148" s="80" t="s">
        <x:v>818</x:v>
      </x:c>
      <x:c r="F148" s="80">
        <x:v>1549732</x:v>
      </x:c>
      <x:c r="G148" s="80">
        <x:v>6274525</x:v>
      </x:c>
      <x:c r="H148" s="80">
        <x:v>9856562</x:v>
      </x:c>
      <x:c r="I148" s="80" t="s">
        <x:v>818</x:v>
      </x:c>
      <x:c r="U148" s="189">
        <x:f t="shared" si="5"/>
        <x:v>1</x:v>
      </x:c>
    </x:row>
    <x:row r="149" spans="2:21">
      <x:c r="B149" s="3" t="s">
        <x:v>198</x:v>
      </x:c>
      <x:c r="C149" s="60" t="s">
        <x:v>1737</x:v>
      </x:c>
      <x:c r="D149" s="80" t="s">
        <x:v>818</x:v>
      </x:c>
      <x:c r="E149" s="80" t="s">
        <x:v>818</x:v>
      </x:c>
      <x:c r="F149" s="80">
        <x:v>5044353</x:v>
      </x:c>
      <x:c r="G149" s="80">
        <x:v>4574756</x:v>
      </x:c>
      <x:c r="H149" s="80">
        <x:v>3156770</x:v>
      </x:c>
      <x:c r="I149" s="80" t="s">
        <x:v>818</x:v>
      </x:c>
      <x:c r="U149" s="189">
        <x:f t="shared" si="5"/>
        <x:v>1</x:v>
      </x:c>
    </x:row>
    <x:row r="150" spans="2:21">
      <x:c r="B150" s="3" t="s">
        <x:v>178</x:v>
      </x:c>
      <x:c r="C150" s="60" t="s">
        <x:v>1754</x:v>
      </x:c>
      <x:c r="D150" s="80" t="s">
        <x:v>818</x:v>
      </x:c>
      <x:c r="E150" s="80" t="s">
        <x:v>818</x:v>
      </x:c>
      <x:c r="F150" s="80" t="s">
        <x:v>818</x:v>
      </x:c>
      <x:c r="G150" s="80">
        <x:v>408045</x:v>
      </x:c>
      <x:c r="H150" s="80">
        <x:v>2384273</x:v>
      </x:c>
      <x:c r="I150" s="80" t="s">
        <x:v>818</x:v>
      </x:c>
      <x:c r="U150" s="189">
        <x:f t="shared" si="5"/>
        <x:v>1</x:v>
      </x:c>
    </x:row>
    <x:row r="151" spans="2:21">
      <x:c r="B151" s="3" t="s">
        <x:v>188</x:v>
      </x:c>
      <x:c r="C151" s="60" t="s">
        <x:v>1723</x:v>
      </x:c>
      <x:c r="D151" s="80" t="s">
        <x:v>818</x:v>
      </x:c>
      <x:c r="E151" s="80" t="s">
        <x:v>818</x:v>
      </x:c>
      <x:c r="F151" s="80">
        <x:v>319560</x:v>
      </x:c>
      <x:c r="G151" s="80">
        <x:v>584674</x:v>
      </x:c>
      <x:c r="H151" s="80">
        <x:v>623663</x:v>
      </x:c>
      <x:c r="I151" s="80" t="s">
        <x:v>818</x:v>
      </x:c>
      <x:c r="U151" s="189">
        <x:f t="shared" si="5"/>
        <x:v>1</x:v>
      </x:c>
    </x:row>
    <x:row r="152" spans="2:21">
      <x:c r="B152" s="3" t="s">
        <x:v>430</x:v>
      </x:c>
      <x:c r="C152" s="60" t="s">
        <x:v>2288</x:v>
      </x:c>
      <x:c r="D152" s="80" t="s">
        <x:v>818</x:v>
      </x:c>
      <x:c r="E152" s="80" t="s">
        <x:v>818</x:v>
      </x:c>
      <x:c r="F152" s="80">
        <x:v>6274525</x:v>
      </x:c>
      <x:c r="G152" s="80">
        <x:v>9856562</x:v>
      </x:c>
      <x:c r="H152" s="80">
        <x:v>10005396</x:v>
      </x:c>
      <x:c r="I152" s="80" t="s">
        <x:v>818</x:v>
      </x:c>
      <x:c r="U152" s="189">
        <x:f t="shared" si="5"/>
        <x:v>1</x:v>
      </x:c>
    </x:row>
    <x:row r="153" spans="2:21">
      <x:c r="B153" s="3"/>
      <x:c r="C153" s="60"/>
      <x:c r="D153" s="80"/>
      <x:c r="E153" s="80"/>
      <x:c r="F153" s="80"/>
      <x:c r="G153" s="80"/>
      <x:c r="H153" s="80"/>
      <x:c r="I153" s="80"/>
      <x:c r="U153" s="188">
        <x:v>1</x:v>
      </x:c>
    </x:row>
    <x:row r="154" spans="2:21">
      <x:c r="B154" s="3" t="s">
        <x:v>437</x:v>
      </x:c>
      <x:c r="C154" s="60" t="s">
        <x:v>1453</x:v>
      </x:c>
      <x:c r="D154" s="80" t="s">
        <x:v>818</x:v>
      </x:c>
      <x:c r="E154" s="80" t="s">
        <x:v>818</x:v>
      </x:c>
      <x:c r="F154" s="80" t="s">
        <x:v>818</x:v>
      </x:c>
      <x:c r="G154" s="80" t="s">
        <x:v>818</x:v>
      </x:c>
      <x:c r="H154" s="80" t="s">
        <x:v>818</x:v>
      </x:c>
      <x:c r="I154" s="80" t="s">
        <x:v>818</x:v>
      </x:c>
      <x:c r="U154" s="189" t="str">
        <x:f t="shared" ref="U154:U165" si="6">IF(COUNT(D154:I154)&lt;&gt;0,1,"")</x:f>
        <x:v/>
      </x:c>
    </x:row>
    <x:row r="155" spans="2:21">
      <x:c r="B155" s="3" t="s">
        <x:v>975</x:v>
      </x:c>
      <x:c r="C155" s="60" t="s">
        <x:v>1469</x:v>
      </x:c>
      <x:c r="D155" s="80" t="s">
        <x:v>818</x:v>
      </x:c>
      <x:c r="E155" s="80" t="s">
        <x:v>818</x:v>
      </x:c>
      <x:c r="F155" s="80" t="s">
        <x:v>818</x:v>
      </x:c>
      <x:c r="G155" s="80" t="s">
        <x:v>818</x:v>
      </x:c>
      <x:c r="H155" s="80" t="s">
        <x:v>818</x:v>
      </x:c>
      <x:c r="I155" s="80" t="s">
        <x:v>818</x:v>
      </x:c>
      <x:c r="U155" s="189" t="str">
        <x:f t="shared" si="6"/>
        <x:v/>
      </x:c>
    </x:row>
    <x:row r="156" spans="2:21">
      <x:c r="B156" s="3" t="s">
        <x:v>59</x:v>
      </x:c>
      <x:c r="C156" s="60" t="s">
        <x:v>2295</x:v>
      </x:c>
      <x:c r="D156" s="80" t="s">
        <x:v>818</x:v>
      </x:c>
      <x:c r="E156" s="80" t="s">
        <x:v>818</x:v>
      </x:c>
      <x:c r="F156" s="80" t="s">
        <x:v>818</x:v>
      </x:c>
      <x:c r="G156" s="80" t="s">
        <x:v>818</x:v>
      </x:c>
      <x:c r="H156" s="80" t="s">
        <x:v>818</x:v>
      </x:c>
      <x:c r="I156" s="80" t="s">
        <x:v>818</x:v>
      </x:c>
      <x:c r="U156" s="189" t="str">
        <x:f t="shared" si="6"/>
        <x:v/>
      </x:c>
    </x:row>
    <x:row r="157" spans="2:21">
      <x:c r="B157" s="3" t="s">
        <x:v>58</x:v>
      </x:c>
      <x:c r="C157" s="60" t="s">
        <x:v>2299</x:v>
      </x:c>
      <x:c r="D157" s="80" t="s">
        <x:v>818</x:v>
      </x:c>
      <x:c r="E157" s="80" t="s">
        <x:v>818</x:v>
      </x:c>
      <x:c r="F157" s="80" t="s">
        <x:v>818</x:v>
      </x:c>
      <x:c r="G157" s="80" t="s">
        <x:v>818</x:v>
      </x:c>
      <x:c r="H157" s="80" t="s">
        <x:v>818</x:v>
      </x:c>
      <x:c r="I157" s="80" t="s">
        <x:v>818</x:v>
      </x:c>
      <x:c r="U157" s="189" t="str">
        <x:f t="shared" si="6"/>
        <x:v/>
      </x:c>
    </x:row>
    <x:row r="158" spans="2:21">
      <x:c r="B158" s="3" t="s">
        <x:v>66</x:v>
      </x:c>
      <x:c r="C158" s="60" t="s">
        <x:v>1457</x:v>
      </x:c>
      <x:c r="D158" s="80" t="s">
        <x:v>818</x:v>
      </x:c>
      <x:c r="E158" s="80" t="s">
        <x:v>818</x:v>
      </x:c>
      <x:c r="F158" s="80" t="s">
        <x:v>818</x:v>
      </x:c>
      <x:c r="G158" s="80" t="s">
        <x:v>818</x:v>
      </x:c>
      <x:c r="H158" s="80" t="s">
        <x:v>818</x:v>
      </x:c>
      <x:c r="I158" s="80" t="s">
        <x:v>818</x:v>
      </x:c>
      <x:c r="U158" s="189" t="str">
        <x:f t="shared" si="6"/>
        <x:v/>
      </x:c>
    </x:row>
    <x:row r="159" spans="2:21">
      <x:c r="B159" s="3" t="s">
        <x:v>0</x:v>
      </x:c>
      <x:c r="C159" s="60" t="s">
        <x:v>1734</x:v>
      </x:c>
      <x:c r="D159" s="80" t="s">
        <x:v>818</x:v>
      </x:c>
      <x:c r="E159" s="80" t="s">
        <x:v>818</x:v>
      </x:c>
      <x:c r="F159" s="80" t="s">
        <x:v>818</x:v>
      </x:c>
      <x:c r="G159" s="80" t="s">
        <x:v>818</x:v>
      </x:c>
      <x:c r="H159" s="80" t="s">
        <x:v>818</x:v>
      </x:c>
      <x:c r="I159" s="80" t="s">
        <x:v>818</x:v>
      </x:c>
      <x:c r="U159" s="189" t="str">
        <x:f t="shared" si="6"/>
        <x:v/>
      </x:c>
    </x:row>
    <x:row r="160" spans="2:21">
      <x:c r="B160" s="3" t="s">
        <x:v>435</x:v>
      </x:c>
      <x:c r="C160" s="60" t="s">
        <x:v>1072</x:v>
      </x:c>
      <x:c r="D160" s="80" t="s">
        <x:v>818</x:v>
      </x:c>
      <x:c r="E160" s="80" t="s">
        <x:v>818</x:v>
      </x:c>
      <x:c r="F160" s="80" t="s">
        <x:v>818</x:v>
      </x:c>
      <x:c r="G160" s="80" t="s">
        <x:v>818</x:v>
      </x:c>
      <x:c r="H160" s="80" t="s">
        <x:v>818</x:v>
      </x:c>
      <x:c r="I160" s="80" t="s">
        <x:v>818</x:v>
      </x:c>
      <x:c r="U160" s="189" t="str">
        <x:f t="shared" si="6"/>
        <x:v/>
      </x:c>
    </x:row>
    <x:row r="161" spans="2:21">
      <x:c r="B161" s="3" t="s">
        <x:v>45</x:v>
      </x:c>
      <x:c r="C161" s="60" t="s">
        <x:v>1724</x:v>
      </x:c>
      <x:c r="D161" s="80" t="s">
        <x:v>818</x:v>
      </x:c>
      <x:c r="E161" s="80" t="s">
        <x:v>818</x:v>
      </x:c>
      <x:c r="F161" s="80" t="s">
        <x:v>818</x:v>
      </x:c>
      <x:c r="G161" s="80" t="s">
        <x:v>818</x:v>
      </x:c>
      <x:c r="H161" s="80" t="s">
        <x:v>818</x:v>
      </x:c>
      <x:c r="I161" s="80" t="s">
        <x:v>818</x:v>
      </x:c>
      <x:c r="U161" s="189" t="str">
        <x:f t="shared" si="6"/>
        <x:v/>
      </x:c>
    </x:row>
    <x:row r="162" spans="2:21">
      <x:c r="B162" s="3" t="s">
        <x:v>199</x:v>
      </x:c>
      <x:c r="C162" s="60" t="s">
        <x:v>1738</x:v>
      </x:c>
      <x:c r="D162" s="80" t="s">
        <x:v>818</x:v>
      </x:c>
      <x:c r="E162" s="80" t="s">
        <x:v>818</x:v>
      </x:c>
      <x:c r="F162" s="80" t="s">
        <x:v>818</x:v>
      </x:c>
      <x:c r="G162" s="80" t="s">
        <x:v>818</x:v>
      </x:c>
      <x:c r="H162" s="80" t="s">
        <x:v>818</x:v>
      </x:c>
      <x:c r="I162" s="80" t="s">
        <x:v>818</x:v>
      </x:c>
      <x:c r="U162" s="189" t="str">
        <x:f t="shared" si="6"/>
        <x:v/>
      </x:c>
    </x:row>
    <x:row r="163" spans="2:21">
      <x:c r="B163" s="3" t="s">
        <x:v>438</x:v>
      </x:c>
      <x:c r="C163" s="60" t="s">
        <x:v>1730</x:v>
      </x:c>
      <x:c r="D163" s="80" t="s">
        <x:v>818</x:v>
      </x:c>
      <x:c r="E163" s="80" t="s">
        <x:v>818</x:v>
      </x:c>
      <x:c r="F163" s="80" t="s">
        <x:v>818</x:v>
      </x:c>
      <x:c r="G163" s="80" t="s">
        <x:v>818</x:v>
      </x:c>
      <x:c r="H163" s="80" t="s">
        <x:v>818</x:v>
      </x:c>
      <x:c r="I163" s="80" t="s">
        <x:v>818</x:v>
      </x:c>
      <x:c r="U163" s="189" t="str">
        <x:f t="shared" si="6"/>
        <x:v/>
      </x:c>
    </x:row>
    <x:row r="164" spans="2:21">
      <x:c r="B164" s="3" t="s">
        <x:v>439</x:v>
      </x:c>
      <x:c r="C164" s="60" t="s">
        <x:v>1756</x:v>
      </x:c>
      <x:c r="D164" s="80" t="s">
        <x:v>818</x:v>
      </x:c>
      <x:c r="E164" s="80" t="s">
        <x:v>818</x:v>
      </x:c>
      <x:c r="F164" s="80" t="s">
        <x:v>818</x:v>
      </x:c>
      <x:c r="G164" s="80" t="s">
        <x:v>818</x:v>
      </x:c>
      <x:c r="H164" s="80" t="s">
        <x:v>818</x:v>
      </x:c>
      <x:c r="I164" s="80" t="s">
        <x:v>818</x:v>
      </x:c>
      <x:c r="U164" s="189" t="str">
        <x:f t="shared" si="6"/>
        <x:v/>
      </x:c>
    </x:row>
    <x:row r="165" spans="2:21">
      <x:c r="B165" s="3" t="s">
        <x:v>433</x:v>
      </x:c>
      <x:c r="C165" s="60" t="s">
        <x:v>1771</x:v>
      </x:c>
      <x:c r="D165" s="80" t="s">
        <x:v>818</x:v>
      </x:c>
      <x:c r="E165" s="80" t="s">
        <x:v>818</x:v>
      </x:c>
      <x:c r="F165" s="80" t="s">
        <x:v>818</x:v>
      </x:c>
      <x:c r="G165" s="80" t="s">
        <x:v>818</x:v>
      </x:c>
      <x:c r="H165" s="80" t="s">
        <x:v>818</x:v>
      </x:c>
      <x:c r="I165" s="80" t="s">
        <x:v>818</x:v>
      </x:c>
      <x:c r="U165" s="189" t="str">
        <x:f t="shared" si="6"/>
        <x:v/>
      </x:c>
    </x:row>
    <x:row r="166" spans="2:9">
      <x:c r="B166" s="203"/>
      <x:c r="C166" s="206"/>
      <x:c r="D166" s="205"/>
      <x:c r="E166" s="205"/>
      <x:c r="F166" s="205"/>
      <x:c r="G166" s="205"/>
      <x:c r="H166" s="205"/>
      <x:c r="I166" s="205"/>
    </x:row>
  </x:sheetData>
  <x:pageMargins left="0.25" right="0.25" top="0.25" bottom="0.25" header="0" footer="0"/>
  <x:pageSetup paperSize="9" scale="66" firstPageNumber="1" fitToWidth="1" fitToHeight="0" orientation="portrait" usePrinterDefaults="1" blackAndWhite="0" draft="0" useFirstPageNumber="0" horizontalDpi="600" verticalDpi="600" copies="1"/>
  <x:legacyDrawing r:id="rId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1">
    <x:pageSetUpPr autoPageBreaks="1" fitToPage="1"/>
  </x:sheetPr>
  <x:dimension ref="A2:AE577"/>
  <x:sheetViews>
    <x:sheetView showGridLines="0" topLeftCell="A1" zoomScaleNormal="100" zoomScaleSheetLayoutView="75" workbookViewId="0">
      <x:selection activeCell="A1" activeCellId="0" sqref="A1:A1"/>
    </x:sheetView>
  </x:sheetViews>
  <x:sheetFormatPr defaultColWidth="8.88671875" defaultRowHeight="11.25"/>
  <x:cols>
    <x:col min="1" max="1" width="2.33203125" style="1" customWidth="1"/>
    <x:col min="2" max="2" width="43.6640625" style="1" customWidth="1"/>
    <x:col min="3" max="3" width="23.6640625" style="3" hidden="1" customWidth="1" outlineLevel="1"/>
    <x:col min="4" max="4" width="16.1640625" style="1" customWidth="1" collapsed="1"/>
    <x:col min="5" max="16" width="13.5" style="1" customWidth="1"/>
    <x:col min="21" max="21" width="9.33203125" style="1" hidden="1" customWidth="1" outlineLevel="1"/>
    <x:col min="22" max="22" width="8.83203125" style="1" collapsed="1"/>
    <x:col min="26" max="26" width="50.83203125" style="1" hidden="1" customWidth="1" outlineLevel="1"/>
    <x:col min="27" max="27" width="17.1640625" style="1" hidden="1" customWidth="1" outlineLevel="1"/>
    <x:col min="28" max="28" width="9" style="1" hidden="1" customWidth="1" outlineLevel="1"/>
    <x:col min="29" max="29" width="5.5" style="1" hidden="1" customWidth="1" outlineLevel="1"/>
    <x:col min="30" max="30" width="11.1640625" style="1" customWidth="1" collapsed="1"/>
  </x:cols>
  <x:sheetData>
    <x:row r="2" spans="2:2">
      <x:c r="B2" s="1" t="s">
        <x:v>112</x:v>
      </x:c>
    </x:row>
    <x:row r="3" spans="1:9">
      <x:c r="A3" s="46"/>
      <x:c r="B3" s="46"/>
      <x:c r="C3" s="84"/>
      <x:c r="D3" s="46"/>
      <x:c r="E3" s="46"/>
      <x:c r="F3" s="48"/>
      <x:c r="G3" s="46"/>
      <x:c r="H3" s="46"/>
      <x:c r="I3" s="46"/>
    </x:row>
    <x:row r="4" spans="1:9" ht="16.5">
      <x:c r="A4" s="46"/>
      <x:c r="B4" s="49" t="str">
        <x:f>D12</x:f>
        <x:v>International Business Machines Corporation</x:v>
      </x:c>
      <x:c r="C4" s="90"/>
      <x:c r="D4" s="52"/>
      <x:c r="E4" s="52"/>
      <x:c r="F4" s="52"/>
      <x:c r="G4" s="52"/>
      <x:c r="H4" s="52"/>
      <x:c r="I4" s="104" t="s">
        <x:v>1558</x:v>
      </x:c>
    </x:row>
    <x:row r="5" spans="1:9">
      <x:c r="A5" s="46"/>
      <x:c r="B5" s="53" t="str">
        <x:f>"Data in "&amp;'Pension-OPEB'!$AC$18</x:f>
        <x:v>Data in ($M)</x:v>
      </x:c>
      <x:c r="C5" s="256"/>
      <x:c r="D5" s="257"/>
      <x:c r="E5" s="257"/>
      <x:c r="F5" s="257"/>
      <x:c r="G5" s="257"/>
      <x:c r="H5" s="257"/>
      <x:c r="I5" s="259"/>
    </x:row>
    <x:row r="6" spans="1:9">
      <x:c r="A6" s="46"/>
      <x:c r="C6" s="53"/>
      <x:c r="D6" s="250" t="str">
        <x:f>Key_Stats!$T$11</x:f>
        <x:v>Fiscal Year Ended,</x:v>
      </x:c>
      <x:c r="E6" s="54"/>
      <x:c r="F6" s="54"/>
      <x:c r="G6" s="54"/>
      <x:c r="H6" s="54"/>
      <x:c r="I6" s="54"/>
    </x:row>
    <x:row r="7" spans="1:9" hidden="1" outlineLevel="1">
      <x:c r="A7" s="46"/>
      <x:c r="B7" s="55"/>
      <x:c r="C7" s="56" t="s">
        <x:v>1435</x:v>
      </x:c>
      <x:c r="D7" s="58" t="str">
        <x:f>Key_Stats!$F$9</x:f>
        <x:v>NYSE:IBM</x:v>
      </x:c>
      <x:c r="E7" s="58" t="str">
        <x:f>Key_Stats!$F$9</x:f>
        <x:v>NYSE:IBM</x:v>
      </x:c>
      <x:c r="F7" s="58" t="str">
        <x:f>Key_Stats!$F$9</x:f>
        <x:v>NYSE:IBM</x:v>
      </x:c>
      <x:c r="G7" s="58" t="str">
        <x:f>Key_Stats!$F$9</x:f>
        <x:v>NYSE:IBM</x:v>
      </x:c>
      <x:c r="H7" s="58" t="str">
        <x:f>Key_Stats!$F$9</x:f>
        <x:v>NYSE:IBM</x:v>
      </x:c>
      <x:c r="I7" s="58" t="str">
        <x:f>Key_Stats!$F$9</x:f>
        <x:v>NYSE:IBM</x:v>
      </x:c>
    </x:row>
    <x:row r="8" spans="1:9" hidden="1" outlineLevel="1">
      <x:c r="A8" s="46"/>
      <x:c r="B8" s="55"/>
      <x:c r="C8" s="56"/>
      <x:c r="D8" s="58" t="str">
        <x:f t="shared" ref="D8:F8" si="0">LEFT(E8,LEN(E8)-1)&amp;RIGHT(E8,1)+1</x:f>
        <x:v>FY-5</x:v>
      </x:c>
      <x:c r="E8" s="58" t="str">
        <x:f t="shared" si="0"/>
        <x:v>FY-4</x:v>
      </x:c>
      <x:c r="F8" s="58" t="str">
        <x:f t="shared" si="0"/>
        <x:v>FY-3</x:v>
      </x:c>
      <x:c r="G8" s="58" t="str">
        <x:f>LEFT(H8,LEN(H8)-1)&amp;RIGHT(H8,1)+1</x:f>
        <x:v>FY-2</x:v>
      </x:c>
      <x:c r="H8" s="58" t="str">
        <x:f>VLOOKUP(Key_Stats!$F$11,FormatTable,2,FALSE)</x:f>
        <x:v>FY-1</x:v>
      </x:c>
      <x:c r="I8" s="58" t="str">
        <x:f>Key_Stats!$F$11</x:f>
        <x:v>FY0</x:v>
      </x:c>
    </x:row>
    <x:row r="9" spans="1:9" hidden="1" outlineLevel="1">
      <x:c r="A9" s="46"/>
      <x:c r="B9" s="55"/>
      <x:c r="C9" s="56"/>
      <x:c r="D9" s="181">
        <x:f>IF(Key_Stats!$F$15="","",Key_Stats!$F$15)</x:f>
        <x:v>46059</x:v>
      </x:c>
      <x:c r="E9" s="181">
        <x:f>IF(Key_Stats!$F$15="","",Key_Stats!$F$15)</x:f>
        <x:v>46059</x:v>
      </x:c>
      <x:c r="F9" s="181">
        <x:f>IF(Key_Stats!$F$15="","",Key_Stats!$F$15)</x:f>
        <x:v>46059</x:v>
      </x:c>
      <x:c r="G9" s="181">
        <x:f>IF(Key_Stats!$F$15="","",Key_Stats!$F$15)</x:f>
        <x:v>46059</x:v>
      </x:c>
      <x:c r="H9" s="181">
        <x:f>IF(Key_Stats!$F$15="","",Key_Stats!$F$15)</x:f>
        <x:v>46059</x:v>
      </x:c>
      <x:c r="I9" s="181">
        <x:f>IF(Key_Stats!$F$15="","",Key_Stats!$F$15)</x:f>
        <x:v>46059</x:v>
      </x:c>
    </x:row>
    <x:row r="10" spans="1:9" hidden="1" outlineLevel="1">
      <x:c r="A10" s="46"/>
      <x:c r="B10" s="55"/>
      <x:c r="C10" s="91"/>
      <x:c r="D10" s="46"/>
      <x:c r="E10" s="46"/>
      <x:c r="F10" s="46"/>
      <x:c r="G10" s="46"/>
      <x:c r="H10" s="46"/>
      <x:c r="I10" s="46"/>
    </x:row>
    <x:row r="11" spans="1:9" hidden="1" outlineLevel="1">
      <x:c r="A11" s="46"/>
      <x:c r="B11" s="55"/>
      <x:c r="C11" s="91"/>
      <x:c r="D11" s="46"/>
      <x:c r="E11" s="46"/>
      <x:c r="F11" s="46"/>
      <x:c r="G11" s="46"/>
      <x:c r="H11" s="46"/>
      <x:c r="I11" s="46"/>
    </x:row>
    <x:row r="12" spans="1:9" hidden="1" outlineLevel="1">
      <x:c r="A12" s="46"/>
      <x:c r="B12" s="55"/>
      <x:c r="C12" s="60" t="s">
        <x:v>2049</x:v>
      </x:c>
      <x:c r="D12" s="224" t="s">
        <x:v>1006</x:v>
      </x:c>
      <x:c r="E12" s="224" t="s">
        <x:v>1006</x:v>
      </x:c>
      <x:c r="F12" s="224" t="s">
        <x:v>1006</x:v>
      </x:c>
      <x:c r="G12" s="224" t="s">
        <x:v>1006</x:v>
      </x:c>
      <x:c r="H12" s="224" t="s">
        <x:v>1006</x:v>
      </x:c>
      <x:c r="I12" s="224" t="s">
        <x:v>1006</x:v>
      </x:c>
    </x:row>
    <x:row r="13" spans="1:9" hidden="1" outlineLevel="1">
      <x:c r="A13" s="46"/>
      <x:c r="B13" s="55"/>
      <x:c r="C13" s="60" t="s">
        <x:v>1533</x:v>
      </x:c>
      <x:c r="D13" s="224" t="s">
        <x:v>1102</x:v>
      </x:c>
      <x:c r="E13" s="224" t="s">
        <x:v>1102</x:v>
      </x:c>
      <x:c r="F13" s="224" t="s">
        <x:v>1102</x:v>
      </x:c>
      <x:c r="G13" s="224" t="s">
        <x:v>1102</x:v>
      </x:c>
      <x:c r="H13" s="224" t="s">
        <x:v>1102</x:v>
      </x:c>
      <x:c r="I13" s="224" t="s">
        <x:v>1102</x:v>
      </x:c>
    </x:row>
    <x:row r="14" spans="1:9" customHeight="1" collapsed="1">
      <x:c r="A14" s="46"/>
      <x:c r="B14" s="61" t="s">
        <x:v>2079</x:v>
      </x:c>
      <x:c r="C14" s="60" t="s">
        <x:v>2085</x:v>
      </x:c>
      <x:c r="D14" s="144">
        <x:v>44196</x:v>
      </x:c>
      <x:c r="E14" s="144">
        <x:v>44561</x:v>
      </x:c>
      <x:c r="F14" s="144">
        <x:v>44926</x:v>
      </x:c>
      <x:c r="G14" s="144">
        <x:v>45291</x:v>
      </x:c>
      <x:c r="H14" s="144">
        <x:v>45657</x:v>
      </x:c>
      <x:c r="I14" s="144">
        <x:v>46022</x:v>
      </x:c>
    </x:row>
    <x:row r="15" spans="1:9" customHeight="1">
      <x:c r="A15" s="46"/>
      <x:c r="B15" s="61"/>
      <x:c r="C15" s="60"/>
      <x:c r="D15" s="95"/>
      <x:c r="E15" s="95"/>
      <x:c r="F15" s="95"/>
      <x:c r="G15" s="95"/>
      <x:c r="H15" s="95"/>
      <x:c r="I15" s="95"/>
    </x:row>
    <x:row r="16" spans="2:29" ht="12.75">
      <x:c r="B16" s="61" t="s">
        <x:v>1947</x:v>
      </x:c>
      <x:c r="C16" s="60" t="s">
        <x:v>798</x:v>
      </x:c>
      <x:c r="D16" s="15"/>
      <x:c r="E16" s="15"/>
      <x:c r="F16" s="15"/>
      <x:c r="G16" s="15"/>
      <x:c r="H16" s="15"/>
      <x:c r="I16" s="15"/>
      <x:c r="Z16" s="118" t="s">
        <x:v>965</x:v>
      </x:c>
      <x:c r="AA16" s="119"/>
      <x:c r="AB16" s="17"/>
      <x:c r="AC16" s="17"/>
    </x:row>
    <x:row r="17" spans="2:29">
      <x:c r="B17" s="61" t="s">
        <x:v>560</x:v>
      </x:c>
      <x:c r="C17" s="60" t="s">
        <x:v>798</x:v>
      </x:c>
      <x:c r="D17" s="15"/>
      <x:c r="E17" s="15"/>
      <x:c r="F17" s="15"/>
      <x:c r="G17" s="15"/>
      <x:c r="H17" s="15"/>
      <x:c r="I17" s="15"/>
      <x:c r="Z17" s="17"/>
      <x:c r="AA17" s="17"/>
      <x:c r="AB17" s="17"/>
      <x:c r="AC17" s="17"/>
    </x:row>
    <x:row r="18" spans="2:29">
      <x:c r="B18" s="46" t="s">
        <x:v>1776</x:v>
      </x:c>
      <x:c r="C18" s="60" t="s">
        <x:v>2296</x:v>
      </x:c>
      <x:c r="D18" s="80">
        <x:v>328</x:v>
      </x:c>
      <x:c r="E18" s="80">
        <x:v>300</x:v>
      </x:c>
      <x:c r="F18" s="80">
        <x:v>237</x:v>
      </x:c>
      <x:c r="G18" s="80">
        <x:v>177</x:v>
      </x:c>
      <x:c r="H18" s="80">
        <x:v>564</x:v>
      </x:c>
      <x:c r="I18" s="80" t="s">
        <x:v>818</x:v>
      </x:c>
      <x:c r="U18" s="189">
        <x:f t="shared" ref="U18:U23" si="1">IF(COUNT(D18:I18)&lt;&gt;0,1,"")</x:f>
        <x:v>1</x:v>
      </x:c>
      <x:c r="Z18" s="17"/>
      <x:c r="AA18" s="17"/>
      <x:c r="AB18" s="111" t="str">
        <x:f>"("&amp;AB19&amp;")"</x:f>
        <x:v>($)</x:v>
      </x:c>
      <x:c r="AC18" s="111" t="str">
        <x:f>"("&amp;AB19&amp;AC19&amp;")"</x:f>
        <x:v>($M)</x:v>
      </x:c>
    </x:row>
    <x:row r="19" spans="2:29">
      <x:c r="B19" s="46" t="s">
        <x:v>1785</x:v>
      </x:c>
      <x:c r="C19" s="60" t="s">
        <x:v>1781</x:v>
      </x:c>
      <x:c r="D19" s="80">
        <x:v>2042</x:v>
      </x:c>
      <x:c r="E19" s="80">
        <x:v>1533</x:v>
      </x:c>
      <x:c r="F19" s="80">
        <x:v>1622</x:v>
      </x:c>
      <x:c r="G19" s="80">
        <x:v>2260</x:v>
      </x:c>
      <x:c r="H19" s="80">
        <x:v>1988</x:v>
      </x:c>
      <x:c r="I19" s="80" t="s">
        <x:v>818</x:v>
      </x:c>
      <x:c r="U19" s="189">
        <x:f t="shared" si="1"/>
        <x:v>1</x:v>
      </x:c>
      <x:c r="Z19" s="111" t="str">
        <x:f>Key_Stats!$F$18</x:f>
        <x:v>U.S. Dollar</x:v>
      </x:c>
      <x:c r="AA19" s="111" t="str">
        <x:f>VLOOKUP(Z19,$Z$23:$AA$101,2,FALSE)</x:f>
        <x:v>USD</x:v>
      </x:c>
      <x:c r="AB19" s="111" t="str">
        <x:f>IF(ISERROR(VLOOKUP(Z19,Z23:AC101,3,FALSE)),"Reported",VLOOKUP(Z19,Z23:AC101,3,FALSE))</x:f>
        <x:v>$</x:v>
      </x:c>
      <x:c r="AC19" s="111" t="str">
        <x:f>AA103</x:f>
        <x:v>M</x:v>
      </x:c>
    </x:row>
    <x:row r="20" spans="2:29">
      <x:c r="B20" s="46" t="s">
        <x:v>1073</x:v>
      </x:c>
      <x:c r="C20" s="60" t="s">
        <x:v>1760</x:v>
      </x:c>
      <x:c r="D20" s="80">
        <x:v>-3398</x:v>
      </x:c>
      <x:c r="E20" s="80">
        <x:v>-2917</x:v>
      </x:c>
      <x:c r="F20" s="80">
        <x:v>-2745</x:v>
      </x:c>
      <x:c r="G20" s="80">
        <x:v>-2969</x:v>
      </x:c>
      <x:c r="H20" s="80">
        <x:v>-2799</x:v>
      </x:c>
      <x:c r="I20" s="80" t="s">
        <x:v>818</x:v>
      </x:c>
      <x:c r="U20" s="189">
        <x:f t="shared" si="1"/>
        <x:v>1</x:v>
      </x:c>
      <x:c r="Z20" s="17"/>
      <x:c r="AA20" s="17"/>
      <x:c r="AB20" s="17"/>
      <x:c r="AC20" s="17"/>
    </x:row>
    <x:row r="21" spans="2:29">
      <x:c r="B21" s="46" t="s">
        <x:v>2301</x:v>
      </x:c>
      <x:c r="C21" s="60" t="s">
        <x:v>557</x:v>
      </x:c>
      <x:c r="D21" s="80">
        <x:v>2262</x:v>
      </x:c>
      <x:c r="E21" s="80">
        <x:v>2521</x:v>
      </x:c>
      <x:c r="F21" s="80">
        <x:v>7580</x:v>
      </x:c>
      <x:c r="G21" s="80">
        <x:v>562</x:v>
      </x:c>
      <x:c r="H21" s="80">
        <x:v>4165</x:v>
      </x:c>
      <x:c r="I21" s="80" t="s">
        <x:v>818</x:v>
      </x:c>
      <x:c r="U21" s="189">
        <x:f t="shared" si="1"/>
        <x:v>1</x:v>
      </x:c>
      <x:c r="Z21" s="112" t="s">
        <x:v>2016</x:v>
      </x:c>
      <x:c r="AA21" s="112" t="s">
        <x:v>1159</x:v>
      </x:c>
      <x:c r="AB21" s="112" t="s">
        <x:v>1937</x:v>
      </x:c>
      <x:c r="AC21" s="112" t="s">
        <x:v>1939</x:v>
      </x:c>
    </x:row>
    <x:row r="22" spans="2:29">
      <x:c r="B22" s="46" t="s">
        <x:v>2298</x:v>
      </x:c>
      <x:c r="C22" s="60" t="s">
        <x:v>580</x:v>
      </x:c>
      <x:c r="D22" s="80">
        <x:v>1235</x:v>
      </x:c>
      <x:c r="E22" s="80">
        <x:v>1438</x:v>
      </x:c>
      <x:c r="F22" s="80">
        <x:v>6693</x:v>
      </x:c>
      <x:c r="G22" s="80">
        <x:v>30</x:v>
      </x:c>
      <x:c r="H22" s="80">
        <x:v>3917</x:v>
      </x:c>
      <x:c r="I22" s="80" t="s">
        <x:v>818</x:v>
      </x:c>
      <x:c r="U22" s="189">
        <x:f t="shared" si="1"/>
        <x:v>1</x:v>
      </x:c>
      <x:c r="Z22" s="113"/>
      <x:c r="AA22" s="113"/>
      <x:c r="AB22" s="114"/>
      <x:c r="AC22" s="114"/>
    </x:row>
    <x:row r="23" spans="2:30">
      <x:c r="B23" s="46" t="s">
        <x:v>280</x:v>
      </x:c>
      <x:c r="C23" s="60" t="s">
        <x:v>74</x:v>
      </x:c>
      <x:c r="D23" s="80" t="s">
        <x:v>818</x:v>
      </x:c>
      <x:c r="E23" s="80" t="s">
        <x:v>818</x:v>
      </x:c>
      <x:c r="F23" s="80" t="s">
        <x:v>818</x:v>
      </x:c>
      <x:c r="G23" s="80" t="s">
        <x:v>818</x:v>
      </x:c>
      <x:c r="H23" s="80" t="s">
        <x:v>818</x:v>
      </x:c>
      <x:c r="I23" s="80" t="s">
        <x:v>818</x:v>
      </x:c>
      <x:c r="U23" s="189" t="str">
        <x:f t="shared" si="1"/>
        <x:v/>
      </x:c>
      <x:c r="Z23" s="127" t="s">
        <x:v>1938</x:v>
      </x:c>
      <x:c r="AA23" s="128" t="s">
        <x:v>822</x:v>
      </x:c>
      <x:c r="AB23" s="128" t="s">
        <x:v>797</x:v>
      </x:c>
      <x:c r="AC23" s="215" t="s">
        <x:v>795</x:v>
      </x:c>
      <x:c r="AD23" s="214"/>
    </x:row>
    <x:row r="24" spans="2:30">
      <x:c r="B24" s="46" t="s">
        <x:v>2302</x:v>
      </x:c>
      <x:c r="C24" s="60" t="s">
        <x:v>572</x:v>
      </x:c>
      <x:c r="D24" s="80">
        <x:v>1015</x:v>
      </x:c>
      <x:c r="E24" s="80">
        <x:v>992</x:v>
      </x:c>
      <x:c r="F24" s="80">
        <x:v>924</x:v>
      </x:c>
      <x:c r="G24" s="80">
        <x:v>991</x:v>
      </x:c>
      <x:c r="H24" s="80">
        <x:v>440</x:v>
      </x:c>
      <x:c r="I24" s="80" t="s">
        <x:v>818</x:v>
      </x:c>
      <x:c r="U24" s="189">
        <x:f t="shared" ref="U24:U25" si="2">IF(COUNT(D24:I24)&lt;&gt;0,1,"")</x:f>
        <x:v>1</x:v>
      </x:c>
      <x:c r="Z24" s="129" t="s">
        <x:v>2279</x:v>
      </x:c>
      <x:c r="AA24" s="130" t="s">
        <x:v>815</x:v>
      </x:c>
      <x:c r="AB24" s="130" t="s">
        <x:v>801</x:v>
      </x:c>
      <x:c r="AC24" s="216" t="s">
        <x:v>795</x:v>
      </x:c>
      <x:c r="AD24" s="214"/>
    </x:row>
    <x:row r="25" spans="2:30">
      <x:c r="B25" s="46" t="s">
        <x:v>2306</x:v>
      </x:c>
      <x:c r="C25" s="60" t="s">
        <x:v>2300</x:v>
      </x:c>
      <x:c r="D25" s="80">
        <x:v>2250</x:v>
      </x:c>
      <x:c r="E25" s="80">
        <x:v>2430</x:v>
      </x:c>
      <x:c r="F25" s="80">
        <x:v>7617</x:v>
      </x:c>
      <x:c r="G25" s="80">
        <x:v>1021</x:v>
      </x:c>
      <x:c r="H25" s="80">
        <x:v>4357</x:v>
      </x:c>
      <x:c r="I25" s="80" t="s">
        <x:v>818</x:v>
      </x:c>
      <x:c r="U25" s="189">
        <x:f t="shared" si="2"/>
        <x:v>1</x:v>
      </x:c>
      <x:c r="Z25" s="129" t="s">
        <x:v>1993</x:v>
      </x:c>
      <x:c r="AA25" s="130" t="s">
        <x:v>802</x:v>
      </x:c>
      <x:c r="AB25" s="130" t="s">
        <x:v>804</x:v>
      </x:c>
      <x:c r="AC25" s="216" t="s">
        <x:v>800</x:v>
      </x:c>
      <x:c r="AD25" s="214"/>
    </x:row>
    <x:row r="26" spans="2:30">
      <x:c r="B26" s="61" t="s">
        <x:v>1780</x:v>
      </x:c>
      <x:c r="C26" s="60" t="s">
        <x:v>798</x:v>
      </x:c>
      <x:c r="D26" s="80"/>
      <x:c r="E26" s="80"/>
      <x:c r="F26" s="80"/>
      <x:c r="G26" s="80"/>
      <x:c r="H26" s="80"/>
      <x:c r="I26" s="80"/>
      <x:c r="U26" s="188">
        <x:v>1</x:v>
      </x:c>
      <x:c r="Z26" s="129" t="s">
        <x:v>1241</x:v>
      </x:c>
      <x:c r="AA26" s="130" t="s">
        <x:v>819</x:v>
      </x:c>
      <x:c r="AB26" s="130" t="s">
        <x:v>820</x:v>
      </x:c>
      <x:c r="AC26" s="216" t="s">
        <x:v>795</x:v>
      </x:c>
      <x:c r="AD26" s="214"/>
    </x:row>
    <x:row r="27" spans="2:31">
      <x:c r="B27" s="46" t="s">
        <x:v>1074</x:v>
      </x:c>
      <x:c r="C27" s="60" t="s">
        <x:v>1762</x:v>
      </x:c>
      <x:c r="D27" s="80">
        <x:v>96179</x:v>
      </x:c>
      <x:c r="E27" s="80">
        <x:v>102684</x:v>
      </x:c>
      <x:c r="F27" s="80">
        <x:v>93279</x:v>
      </x:c>
      <x:c r="G27" s="80">
        <x:v>52754</x:v>
      </x:c>
      <x:c r="H27" s="80">
        <x:v>54714</x:v>
      </x:c>
      <x:c r="I27" s="80" t="s">
        <x:v>818</x:v>
      </x:c>
      <x:c r="U27" s="189">
        <x:f t="shared" ref="U27:U38" si="3">IF(COUNT(D27:I27)&lt;&gt;0,1,"")</x:f>
        <x:v>1</x:v>
      </x:c>
      <x:c r="Z27" s="129" t="s">
        <x:v>1990</x:v>
      </x:c>
      <x:c r="AA27" s="130" t="s">
        <x:v>812</x:v>
      </x:c>
      <x:c r="AB27" s="130" t="s">
        <x:v>812</x:v>
      </x:c>
      <x:c r="AC27" s="216" t="s">
        <x:v>795</x:v>
      </x:c>
      <x:c r="AD27" s="214"/>
      <x:c r="AE27" s="213"/>
    </x:row>
    <x:row r="28" spans="2:29">
      <x:c r="B28" s="46" t="s">
        <x:v>1761</x:v>
      </x:c>
      <x:c r="C28" s="60" t="s">
        <x:v>574</x:v>
      </x:c>
      <x:c r="D28" s="80">
        <x:v>328</x:v>
      </x:c>
      <x:c r="E28" s="80">
        <x:v>300</x:v>
      </x:c>
      <x:c r="F28" s="80">
        <x:v>237</x:v>
      </x:c>
      <x:c r="G28" s="80">
        <x:v>177</x:v>
      </x:c>
      <x:c r="H28" s="80">
        <x:v>564</x:v>
      </x:c>
      <x:c r="I28" s="80" t="s">
        <x:v>818</x:v>
      </x:c>
      <x:c r="U28" s="189">
        <x:f t="shared" si="3"/>
        <x:v>1</x:v>
      </x:c>
      <x:c r="Z28" s="129" t="s">
        <x:v>2004</x:v>
      </x:c>
      <x:c r="AA28" s="130" t="s">
        <x:v>808</x:v>
      </x:c>
      <x:c r="AB28" s="130" t="s">
        <x:v>808</x:v>
      </x:c>
      <x:c r="AC28" s="131" t="s">
        <x:v>795</x:v>
      </x:c>
    </x:row>
    <x:row r="29" spans="2:29">
      <x:c r="B29" s="46" t="s">
        <x:v>1785</x:v>
      </x:c>
      <x:c r="C29" s="60" t="s">
        <x:v>561</x:v>
      </x:c>
      <x:c r="D29" s="80">
        <x:v>2042</x:v>
      </x:c>
      <x:c r="E29" s="80">
        <x:v>1533</x:v>
      </x:c>
      <x:c r="F29" s="80">
        <x:v>1622</x:v>
      </x:c>
      <x:c r="G29" s="80">
        <x:v>2260</x:v>
      </x:c>
      <x:c r="H29" s="80">
        <x:v>1988</x:v>
      </x:c>
      <x:c r="I29" s="80" t="s">
        <x:v>818</x:v>
      </x:c>
      <x:c r="U29" s="189">
        <x:f t="shared" si="3"/>
        <x:v>1</x:v>
      </x:c>
      <x:c r="Z29" s="129" t="s">
        <x:v>2006</x:v>
      </x:c>
      <x:c r="AA29" s="130" t="s">
        <x:v>803</x:v>
      </x:c>
      <x:c r="AB29" s="130" t="s">
        <x:v>805</x:v>
      </x:c>
      <x:c r="AC29" s="131" t="s">
        <x:v>795</x:v>
      </x:c>
    </x:row>
    <x:row r="30" spans="2:29">
      <x:c r="B30" s="46" t="s">
        <x:v>578</x:v>
      </x:c>
      <x:c r="C30" s="60" t="s">
        <x:v>70</x:v>
      </x:c>
      <x:c r="D30" s="80">
        <x:v>18</x:v>
      </x:c>
      <x:c r="E30" s="80">
        <x:v>19</x:v>
      </x:c>
      <x:c r="F30" s="80">
        <x:v>14</x:v>
      </x:c>
      <x:c r="G30" s="80">
        <x:v>17</x:v>
      </x:c>
      <x:c r="H30" s="80">
        <x:v>17</x:v>
      </x:c>
      <x:c r="I30" s="80" t="s">
        <x:v>818</x:v>
      </x:c>
      <x:c r="U30" s="189">
        <x:f t="shared" si="3"/>
        <x:v>1</x:v>
      </x:c>
      <x:c r="Z30" s="129" t="s">
        <x:v>1992</x:v>
      </x:c>
      <x:c r="AA30" s="130" t="s">
        <x:v>816</x:v>
      </x:c>
      <x:c r="AB30" s="130" t="s">
        <x:v>806</x:v>
      </x:c>
      <x:c r="AC30" s="131" t="s">
        <x:v>795</x:v>
      </x:c>
    </x:row>
    <x:row r="31" spans="2:29">
      <x:c r="B31" s="46" t="s">
        <x:v>558</x:v>
      </x:c>
      <x:c r="C31" s="60" t="s">
        <x:v>963</x:v>
      </x:c>
      <x:c r="D31" s="80">
        <x:v>6865</x:v>
      </x:c>
      <x:c r="E31" s="80">
        <x:v>-2458</x:v>
      </x:c>
      <x:c r="F31" s="80">
        <x:v>-16668</x:v>
      </x:c>
      <x:c r="G31" s="80">
        <x:v>2563</x:v>
      </x:c>
      <x:c r="H31" s="80">
        <x:v>-1665</x:v>
      </x:c>
      <x:c r="I31" s="80" t="s">
        <x:v>818</x:v>
      </x:c>
      <x:c r="U31" s="189">
        <x:f t="shared" si="3"/>
        <x:v>1</x:v>
      </x:c>
      <x:c r="Z31" s="129" t="s">
        <x:v>1447</x:v>
      </x:c>
      <x:c r="AA31" s="130" t="s">
        <x:v>807</x:v>
      </x:c>
      <x:c r="AB31" s="130" t="s">
        <x:v>810</x:v>
      </x:c>
      <x:c r="AC31" s="131" t="s">
        <x:v>795</x:v>
      </x:c>
    </x:row>
    <x:row r="32" spans="2:29">
      <x:c r="B32" s="46" t="s">
        <x:v>1448</x:v>
      </x:c>
      <x:c r="C32" s="60" t="s">
        <x:v>1782</x:v>
      </x:c>
      <x:c r="D32" s="80">
        <x:v>-5867</x:v>
      </x:c>
      <x:c r="E32" s="80">
        <x:v>-5558</x:v>
      </x:c>
      <x:c r="F32" s="80">
        <x:v>-5246</x:v>
      </x:c>
      <x:c r="G32" s="80">
        <x:v>-3571</x:v>
      </x:c>
      <x:c r="H32" s="80">
        <x:v>-3611</x:v>
      </x:c>
      <x:c r="I32" s="80" t="s">
        <x:v>818</x:v>
      </x:c>
      <x:c r="U32" s="189">
        <x:f t="shared" si="3"/>
        <x:v>1</x:v>
      </x:c>
      <x:c r="Z32" s="129" t="s">
        <x:v>1474</x:v>
      </x:c>
      <x:c r="AA32" s="130" t="s">
        <x:v>848</x:v>
      </x:c>
      <x:c r="AB32" s="130" t="s">
        <x:v>845</x:v>
      </x:c>
      <x:c r="AC32" s="131" t="s">
        <x:v>795</x:v>
      </x:c>
    </x:row>
    <x:row r="33" spans="2:29">
      <x:c r="B33" s="46" t="s">
        <x:v>2303</x:v>
      </x:c>
      <x:c r="C33" s="60" t="s">
        <x:v>1076</x:v>
      </x:c>
      <x:c r="D33" s="80">
        <x:v>3085</x:v>
      </x:c>
      <x:c r="E33" s="80">
        <x:v>-2548</x:v>
      </x:c>
      <x:c r="F33" s="80">
        <x:v>-3463</x:v>
      </x:c>
      <x:c r="G33" s="80">
        <x:v>1021</x:v>
      </x:c>
      <x:c r="H33" s="80">
        <x:v>-1850</x:v>
      </x:c>
      <x:c r="I33" s="80" t="s">
        <x:v>818</x:v>
      </x:c>
      <x:c r="U33" s="189">
        <x:f t="shared" si="3"/>
        <x:v>1</x:v>
      </x:c>
      <x:c r="Z33" s="129" t="s">
        <x:v>2007</x:v>
      </x:c>
      <x:c r="AA33" s="130" t="s">
        <x:v>828</x:v>
      </x:c>
      <x:c r="AB33" s="130" t="s">
        <x:v>832</x:v>
      </x:c>
      <x:c r="AC33" s="131" t="s">
        <x:v>795</x:v>
      </x:c>
    </x:row>
    <x:row r="34" spans="2:29">
      <x:c r="B34" s="46" t="s">
        <x:v>2304</x:v>
      </x:c>
      <x:c r="C34" s="60" t="s">
        <x:v>1765</x:v>
      </x:c>
      <x:c r="D34" s="80" t="s">
        <x:v>818</x:v>
      </x:c>
      <x:c r="E34" s="80" t="s">
        <x:v>818</x:v>
      </x:c>
      <x:c r="F34" s="80" t="s">
        <x:v>818</x:v>
      </x:c>
      <x:c r="G34" s="80" t="s">
        <x:v>818</x:v>
      </x:c>
      <x:c r="H34" s="80" t="s">
        <x:v>818</x:v>
      </x:c>
      <x:c r="I34" s="80" t="s">
        <x:v>818</x:v>
      </x:c>
      <x:c r="U34" s="189" t="str">
        <x:f t="shared" si="3"/>
        <x:v/>
      </x:c>
      <x:c r="Z34" s="129" t="s">
        <x:v>1986</x:v>
      </x:c>
      <x:c r="AA34" s="130" t="s">
        <x:v>849</x:v>
      </x:c>
      <x:c r="AB34" s="130" t="s">
        <x:v>850</x:v>
      </x:c>
      <x:c r="AC34" s="131" t="s">
        <x:v>795</x:v>
      </x:c>
    </x:row>
    <x:row r="35" spans="2:29">
      <x:c r="B35" s="46" t="s">
        <x:v>579</x:v>
      </x:c>
      <x:c r="C35" s="60" t="s">
        <x:v>1075</x:v>
      </x:c>
      <x:c r="D35" s="80" t="s">
        <x:v>818</x:v>
      </x:c>
      <x:c r="E35" s="80" t="s">
        <x:v>818</x:v>
      </x:c>
      <x:c r="F35" s="80" t="s">
        <x:v>818</x:v>
      </x:c>
      <x:c r="G35" s="80" t="s">
        <x:v>818</x:v>
      </x:c>
      <x:c r="H35" s="80" t="s">
        <x:v>818</x:v>
      </x:c>
      <x:c r="I35" s="80" t="s">
        <x:v>818</x:v>
      </x:c>
      <x:c r="U35" s="189" t="str">
        <x:f t="shared" si="3"/>
        <x:v/>
      </x:c>
      <x:c r="Z35" s="129" t="s">
        <x:v>1475</x:v>
      </x:c>
      <x:c r="AA35" s="130" t="s">
        <x:v>851</x:v>
      </x:c>
      <x:c r="AB35" s="130" t="s">
        <x:v>852</x:v>
      </x:c>
      <x:c r="AC35" s="131" t="s">
        <x:v>795</x:v>
      </x:c>
    </x:row>
    <x:row r="36" spans="2:29">
      <x:c r="B36" s="46" t="s">
        <x:v>285</x:v>
      </x:c>
      <x:c r="C36" s="60" t="s">
        <x:v>289</x:v>
      </x:c>
      <x:c r="D36" s="80">
        <x:v>35</x:v>
      </x:c>
      <x:c r="E36" s="80">
        <x:v>-693</x:v>
      </x:c>
      <x:c r="F36" s="80">
        <x:v>-17019</x:v>
      </x:c>
      <x:c r="G36" s="80">
        <x:v>-506</x:v>
      </x:c>
      <x:c r="H36" s="80">
        <x:v>-7448</x:v>
      </x:c>
      <x:c r="I36" s="80" t="s">
        <x:v>818</x:v>
      </x:c>
      <x:c r="U36" s="189">
        <x:f t="shared" si="3"/>
        <x:v>1</x:v>
      </x:c>
      <x:c r="Z36" s="129" t="s">
        <x:v>1458</x:v>
      </x:c>
      <x:c r="AA36" s="130" t="s">
        <x:v>853</x:v>
      </x:c>
      <x:c r="AB36" s="130" t="s">
        <x:v>824</x:v>
      </x:c>
      <x:c r="AC36" s="131" t="s">
        <x:v>795</x:v>
      </x:c>
    </x:row>
    <x:row r="37" spans="2:29">
      <x:c r="B37" s="46" t="s">
        <x:v>1763</x:v>
      </x:c>
      <x:c r="C37" s="60" t="s">
        <x:v>1077</x:v>
      </x:c>
      <x:c r="D37" s="80">
        <x:v>102684</x:v>
      </x:c>
      <x:c r="E37" s="80">
        <x:v>93279</x:v>
      </x:c>
      <x:c r="F37" s="80">
        <x:v>52754</x:v>
      </x:c>
      <x:c r="G37" s="80">
        <x:v>54714</x:v>
      </x:c>
      <x:c r="H37" s="80">
        <x:v>42709</x:v>
      </x:c>
      <x:c r="I37" s="80" t="s">
        <x:v>818</x:v>
      </x:c>
      <x:c r="U37" s="189">
        <x:f t="shared" si="3"/>
        <x:v>1</x:v>
      </x:c>
      <x:c r="Z37" s="129" t="s">
        <x:v>1764</x:v>
      </x:c>
      <x:c r="AA37" s="130" t="s">
        <x:v>833</x:v>
      </x:c>
      <x:c r="AB37" s="130" t="s">
        <x:v>834</x:v>
      </x:c>
      <x:c r="AC37" s="131" t="s">
        <x:v>795</x:v>
      </x:c>
    </x:row>
    <x:row r="38" spans="2:29">
      <x:c r="B38" s="46" t="s">
        <x:v>563</x:v>
      </x:c>
      <x:c r="C38" s="60" t="s">
        <x:v>567</x:v>
      </x:c>
      <x:c r="D38" s="80">
        <x:v>102256</x:v>
      </x:c>
      <x:c r="E38" s="80">
        <x:v>92810</x:v>
      </x:c>
      <x:c r="F38" s="80">
        <x:v>52454</x:v>
      </x:c>
      <x:c r="G38" s="80">
        <x:v>54363</x:v>
      </x:c>
      <x:c r="H38" s="80">
        <x:v>42406</x:v>
      </x:c>
      <x:c r="I38" s="80" t="s">
        <x:v>818</x:v>
      </x:c>
      <x:c r="U38" s="189">
        <x:f t="shared" si="3"/>
        <x:v>1</x:v>
      </x:c>
      <x:c r="Z38" s="129" t="s">
        <x:v>2013</x:v>
      </x:c>
      <x:c r="AA38" s="130" t="s">
        <x:v>835</x:v>
      </x:c>
      <x:c r="AB38" s="130" t="s">
        <x:v>827</x:v>
      </x:c>
      <x:c r="AC38" s="131" t="s">
        <x:v>795</x:v>
      </x:c>
    </x:row>
    <x:row r="39" spans="2:29">
      <x:c r="B39" s="61" t="s">
        <x:v>1132</x:v>
      </x:c>
      <x:c r="C39" s="60" t="s">
        <x:v>798</x:v>
      </x:c>
      <x:c r="D39" s="80"/>
      <x:c r="E39" s="80"/>
      <x:c r="F39" s="80"/>
      <x:c r="G39" s="80"/>
      <x:c r="H39" s="80"/>
      <x:c r="I39" s="80"/>
      <x:c r="U39" s="188">
        <x:v>1</x:v>
      </x:c>
      <x:c r="Z39" s="129" t="s">
        <x:v>2008</x:v>
      </x:c>
      <x:c r="AA39" s="130" t="s">
        <x:v>838</x:v>
      </x:c>
      <x:c r="AB39" s="130" t="s">
        <x:v>838</x:v>
      </x:c>
      <x:c r="AC39" s="131" t="s">
        <x:v>795</x:v>
      </x:c>
    </x:row>
    <x:row r="40" spans="2:29">
      <x:c r="B40" s="46" t="s">
        <x:v>1451</x:v>
      </x:c>
      <x:c r="C40" s="60" t="s">
        <x:v>2290</x:v>
      </x:c>
      <x:c r="D40" s="80">
        <x:v>90675</x:v>
      </x:c>
      <x:c r="E40" s="80">
        <x:v>96694</x:v>
      </x:c>
      <x:c r="F40" s="80">
        <x:v>91831</x:v>
      </x:c>
      <x:c r="G40" s="80">
        <x:v>53465</x:v>
      </x:c>
      <x:c r="H40" s="80">
        <x:v>53496</x:v>
      </x:c>
      <x:c r="I40" s="80" t="s">
        <x:v>818</x:v>
      </x:c>
      <x:c r="U40" s="189">
        <x:f t="shared" ref="U40:U49" si="4">IF(COUNT(D40:I40)&lt;&gt;0,1,"")</x:f>
        <x:v>1</x:v>
      </x:c>
      <x:c r="Z40" s="129" t="s">
        <x:v>2014</x:v>
      </x:c>
      <x:c r="AA40" s="130" t="s">
        <x:v>825</x:v>
      </x:c>
      <x:c r="AB40" s="130" t="s">
        <x:v>823</x:v>
      </x:c>
      <x:c r="AC40" s="131" t="s">
        <x:v>800</x:v>
      </x:c>
    </x:row>
    <x:row r="41" spans="2:29">
      <x:c r="B41" s="46" t="s">
        <x:v>1078</x:v>
      </x:c>
      <x:c r="C41" s="60" t="s">
        <x:v>1080</x:v>
      </x:c>
      <x:c r="D41" s="80">
        <x:v>8605</x:v>
      </x:c>
      <x:c r="E41" s="80">
        <x:v>2610</x:v>
      </x:c>
      <x:c r="F41" s="80">
        <x:v>-13651</x:v>
      </x:c>
      <x:c r="G41" s="80">
        <x:v>2446</x:v>
      </x:c>
      <x:c r="H41" s="80">
        <x:v>1263</x:v>
      </x:c>
      <x:c r="I41" s="80" t="s">
        <x:v>818</x:v>
      </x:c>
      <x:c r="U41" s="189">
        <x:f t="shared" si="4"/>
        <x:v>1</x:v>
      </x:c>
      <x:c r="Z41" s="129" t="s">
        <x:v>1989</x:v>
      </x:c>
      <x:c r="AA41" s="130" t="s">
        <x:v>836</x:v>
      </x:c>
      <x:c r="AB41" s="130" t="s">
        <x:v>826</x:v>
      </x:c>
      <x:c r="AC41" s="131" t="s">
        <x:v>795</x:v>
      </x:c>
    </x:row>
    <x:row r="42" spans="2:29">
      <x:c r="B42" s="46" t="s">
        <x:v>2282</x:v>
      </x:c>
      <x:c r="C42" s="60" t="s">
        <x:v>964</x:v>
      </x:c>
      <x:c r="D42" s="80">
        <x:v>166</x:v>
      </x:c>
      <x:c r="E42" s="80">
        <x:v>86</x:v>
      </x:c>
      <x:c r="F42" s="80">
        <x:v>103</x:v>
      </x:c>
      <x:c r="G42" s="80">
        <x:v>57</x:v>
      </x:c>
      <x:c r="H42" s="80">
        <x:v>67</x:v>
      </x:c>
      <x:c r="I42" s="80" t="s">
        <x:v>818</x:v>
      </x:c>
      <x:c r="U42" s="189">
        <x:f t="shared" si="4"/>
        <x:v>1</x:v>
      </x:c>
      <x:c r="Z42" s="129" t="s">
        <x:v>2010</x:v>
      </x:c>
      <x:c r="AA42" s="130" t="s">
        <x:v>839</x:v>
      </x:c>
      <x:c r="AB42" s="130" t="s">
        <x:v>854</x:v>
      </x:c>
      <x:c r="AC42" s="131" t="s">
        <x:v>800</x:v>
      </x:c>
    </x:row>
    <x:row r="43" spans="2:29">
      <x:c r="B43" s="46" t="s">
        <x:v>1766</x:v>
      </x:c>
      <x:c r="C43" s="60" t="s">
        <x:v>979</x:v>
      </x:c>
      <x:c r="D43" s="80">
        <x:v>18</x:v>
      </x:c>
      <x:c r="E43" s="80">
        <x:v>19</x:v>
      </x:c>
      <x:c r="F43" s="80">
        <x:v>14</x:v>
      </x:c>
      <x:c r="G43" s="80">
        <x:v>17</x:v>
      </x:c>
      <x:c r="H43" s="80">
        <x:v>17</x:v>
      </x:c>
      <x:c r="I43" s="80" t="s">
        <x:v>818</x:v>
      </x:c>
      <x:c r="U43" s="189">
        <x:f t="shared" si="4"/>
        <x:v>1</x:v>
      </x:c>
      <x:c r="Z43" s="129" t="s">
        <x:v>2305</x:v>
      </x:c>
      <x:c r="AA43" s="130" t="s">
        <x:v>840</x:v>
      </x:c>
      <x:c r="AB43" s="130" t="s">
        <x:v>830</x:v>
      </x:c>
      <x:c r="AC43" s="131" t="s">
        <x:v>795</x:v>
      </x:c>
    </x:row>
    <x:row r="44" spans="2:29">
      <x:c r="B44" s="46" t="s">
        <x:v>1994</x:v>
      </x:c>
      <x:c r="C44" s="60" t="s">
        <x:v>1081</x:v>
      </x:c>
      <x:c r="D44" s="80">
        <x:v>-5353</x:v>
      </x:c>
      <x:c r="E44" s="80">
        <x:v>-4917</x:v>
      </x:c>
      <x:c r="F44" s="80">
        <x:v>-4705</x:v>
      </x:c>
      <x:c r="G44" s="80">
        <x:v>-3053</x:v>
      </x:c>
      <x:c r="H44" s="80">
        <x:v>-3067</x:v>
      </x:c>
      <x:c r="I44" s="80" t="s">
        <x:v>818</x:v>
      </x:c>
      <x:c r="U44" s="189">
        <x:f t="shared" si="4"/>
        <x:v>1</x:v>
      </x:c>
      <x:c r="Z44" s="129" t="s">
        <x:v>1996</x:v>
      </x:c>
      <x:c r="AA44" s="130" t="s">
        <x:v>831</x:v>
      </x:c>
      <x:c r="AB44" s="130" t="s">
        <x:v>1951</x:v>
      </x:c>
      <x:c r="AC44" s="131" t="s">
        <x:v>800</x:v>
      </x:c>
    </x:row>
    <x:row r="45" spans="2:29">
      <x:c r="B45" s="46" t="s">
        <x:v>1079</x:v>
      </x:c>
      <x:c r="C45" s="60" t="s">
        <x:v>1772</x:v>
      </x:c>
      <x:c r="D45" s="80">
        <x:v>2479</x:v>
      </x:c>
      <x:c r="E45" s="80">
        <x:v>-1939</x:v>
      </x:c>
      <x:c r="F45" s="80">
        <x:v>-3154</x:v>
      </x:c>
      <x:c r="G45" s="80">
        <x:v>1058</x:v>
      </x:c>
      <x:c r="H45" s="80">
        <x:v>-1530</x:v>
      </x:c>
      <x:c r="I45" s="80" t="s">
        <x:v>818</x:v>
      </x:c>
      <x:c r="U45" s="189">
        <x:f t="shared" si="4"/>
        <x:v>1</x:v>
      </x:c>
      <x:c r="Z45" s="129" t="s">
        <x:v>1476</x:v>
      </x:c>
      <x:c r="AA45" s="130" t="s">
        <x:v>829</x:v>
      </x:c>
      <x:c r="AB45" s="130" t="s">
        <x:v>837</x:v>
      </x:c>
      <x:c r="AC45" s="131" t="s">
        <x:v>795</x:v>
      </x:c>
    </x:row>
    <x:row r="46" spans="2:29">
      <x:c r="B46" s="46" t="s">
        <x:v>2307</x:v>
      </x:c>
      <x:c r="C46" s="60" t="s">
        <x:v>2283</x:v>
      </x:c>
      <x:c r="D46" s="80" t="s">
        <x:v>818</x:v>
      </x:c>
      <x:c r="E46" s="80" t="s">
        <x:v>818</x:v>
      </x:c>
      <x:c r="F46" s="80" t="s">
        <x:v>818</x:v>
      </x:c>
      <x:c r="G46" s="80" t="s">
        <x:v>818</x:v>
      </x:c>
      <x:c r="H46" s="80" t="s">
        <x:v>818</x:v>
      </x:c>
      <x:c r="I46" s="80" t="s">
        <x:v>818</x:v>
      </x:c>
      <x:c r="U46" s="189" t="str">
        <x:f t="shared" si="4"/>
        <x:v/>
      </x:c>
      <x:c r="Z46" s="129" t="s">
        <x:v>1997</x:v>
      </x:c>
      <x:c r="AA46" s="130" t="s">
        <x:v>841</x:v>
      </x:c>
      <x:c r="AB46" s="130" t="s">
        <x:v>842</x:v>
      </x:c>
      <x:c r="AC46" s="131" t="s">
        <x:v>795</x:v>
      </x:c>
    </x:row>
    <x:row r="47" spans="2:29">
      <x:c r="B47" s="46" t="s">
        <x:v>1775</x:v>
      </x:c>
      <x:c r="C47" s="60" t="s">
        <x:v>1783</x:v>
      </x:c>
      <x:c r="D47" s="80" t="s">
        <x:v>818</x:v>
      </x:c>
      <x:c r="E47" s="80" t="s">
        <x:v>818</x:v>
      </x:c>
      <x:c r="F47" s="80" t="s">
        <x:v>818</x:v>
      </x:c>
      <x:c r="G47" s="80" t="s">
        <x:v>818</x:v>
      </x:c>
      <x:c r="H47" s="80" t="s">
        <x:v>818</x:v>
      </x:c>
      <x:c r="I47" s="80" t="s">
        <x:v>818</x:v>
      </x:c>
      <x:c r="U47" s="189" t="str">
        <x:f t="shared" si="4"/>
        <x:v/>
      </x:c>
      <x:c r="Z47" s="129" t="s">
        <x:v>2015</x:v>
      </x:c>
      <x:c r="AA47" s="130" t="s">
        <x:v>843</x:v>
      </x:c>
      <x:c r="AB47" s="130" t="s">
        <x:v>844</x:v>
      </x:c>
      <x:c r="AC47" s="131" t="s">
        <x:v>795</x:v>
      </x:c>
    </x:row>
    <x:row r="48" spans="2:29">
      <x:c r="B48" s="46" t="s">
        <x:v>2289</x:v>
      </x:c>
      <x:c r="C48" s="60" t="s">
        <x:v>581</x:v>
      </x:c>
      <x:c r="D48" s="80">
        <x:v>105</x:v>
      </x:c>
      <x:c r="E48" s="80">
        <x:v>-721</x:v>
      </x:c>
      <x:c r="F48" s="80">
        <x:v>-16975</x:v>
      </x:c>
      <x:c r="G48" s="80">
        <x:v>-493</x:v>
      </x:c>
      <x:c r="H48" s="80">
        <x:v>-7451</x:v>
      </x:c>
      <x:c r="I48" s="80" t="s">
        <x:v>818</x:v>
      </x:c>
      <x:c r="U48" s="189">
        <x:f t="shared" si="4"/>
        <x:v>1</x:v>
      </x:c>
      <x:c r="Z48" s="129" t="s">
        <x:v>1998</x:v>
      </x:c>
      <x:c r="AA48" s="130" t="s">
        <x:v>846</x:v>
      </x:c>
      <x:c r="AB48" s="130" t="s">
        <x:v>847</x:v>
      </x:c>
      <x:c r="AC48" s="131" t="s">
        <x:v>795</x:v>
      </x:c>
    </x:row>
    <x:row r="49" spans="2:29">
      <x:c r="B49" s="46" t="s">
        <x:v>1454</x:v>
      </x:c>
      <x:c r="C49" s="60" t="s">
        <x:v>1445</x:v>
      </x:c>
      <x:c r="D49" s="80">
        <x:v>96694</x:v>
      </x:c>
      <x:c r="E49" s="80">
        <x:v>91831</x:v>
      </x:c>
      <x:c r="F49" s="80">
        <x:v>53465</x:v>
      </x:c>
      <x:c r="G49" s="80">
        <x:v>53496</x:v>
      </x:c>
      <x:c r="H49" s="80">
        <x:v>42796</x:v>
      </x:c>
      <x:c r="I49" s="80" t="s">
        <x:v>818</x:v>
      </x:c>
      <x:c r="U49" s="189">
        <x:f t="shared" si="4"/>
        <x:v>1</x:v>
      </x:c>
      <x:c r="Z49" s="129" t="s">
        <x:v>2001</x:v>
      </x:c>
      <x:c r="AA49" s="130" t="s">
        <x:v>871</x:v>
      </x:c>
      <x:c r="AB49" s="130" t="s">
        <x:v>873</x:v>
      </x:c>
      <x:c r="AC49" s="131" t="s">
        <x:v>795</x:v>
      </x:c>
    </x:row>
    <x:row r="50" spans="2:29">
      <x:c r="B50" s="61" t="s">
        <x:v>69</x:v>
      </x:c>
      <x:c r="C50" s="60" t="s">
        <x:v>798</x:v>
      </x:c>
      <x:c r="D50" s="80"/>
      <x:c r="E50" s="80"/>
      <x:c r="F50" s="80"/>
      <x:c r="G50" s="80"/>
      <x:c r="H50" s="80"/>
      <x:c r="I50" s="80"/>
      <x:c r="U50" s="188">
        <x:v>1</x:v>
      </x:c>
      <x:c r="Z50" s="129" t="s">
        <x:v>2002</x:v>
      </x:c>
      <x:c r="AA50" s="130" t="s">
        <x:v>867</x:v>
      </x:c>
      <x:c r="AB50" s="130" t="s">
        <x:v>881</x:v>
      </x:c>
      <x:c r="AC50" s="131" t="s">
        <x:v>795</x:v>
      </x:c>
    </x:row>
    <x:row r="51" spans="2:29">
      <x:c r="B51" s="46" t="s">
        <x:v>282</x:v>
      </x:c>
      <x:c r="C51" s="60" t="s">
        <x:v>1767</x:v>
      </x:c>
      <x:c r="D51" s="44" t="s">
        <x:v>818</x:v>
      </x:c>
      <x:c r="E51" s="44" t="s">
        <x:v>818</x:v>
      </x:c>
      <x:c r="F51" s="44" t="s">
        <x:v>818</x:v>
      </x:c>
      <x:c r="G51" s="44" t="s">
        <x:v>818</x:v>
      </x:c>
      <x:c r="H51" s="44" t="s">
        <x:v>818</x:v>
      </x:c>
      <x:c r="I51" s="44" t="s">
        <x:v>818</x:v>
      </x:c>
      <x:c r="U51" s="189" t="str">
        <x:f t="shared" ref="U51:U56" si="5">IF(COUNT(D51:I51)&lt;&gt;0,1,"")</x:f>
        <x:v/>
      </x:c>
      <x:c r="Z51" s="129" t="s">
        <x:v>2009</x:v>
      </x:c>
      <x:c r="AA51" s="130" t="s">
        <x:v>858</x:v>
      </x:c>
      <x:c r="AB51" s="130" t="s">
        <x:v>872</x:v>
      </x:c>
      <x:c r="AC51" s="131" t="s">
        <x:v>795</x:v>
      </x:c>
    </x:row>
    <x:row r="52" spans="2:29">
      <x:c r="B52" s="46" t="s">
        <x:v>283</x:v>
      </x:c>
      <x:c r="C52" s="60" t="s">
        <x:v>1768</x:v>
      </x:c>
      <x:c r="D52" s="44" t="s">
        <x:v>818</x:v>
      </x:c>
      <x:c r="E52" s="44" t="s">
        <x:v>818</x:v>
      </x:c>
      <x:c r="F52" s="44" t="s">
        <x:v>818</x:v>
      </x:c>
      <x:c r="G52" s="44" t="s">
        <x:v>818</x:v>
      </x:c>
      <x:c r="H52" s="44" t="s">
        <x:v>818</x:v>
      </x:c>
      <x:c r="I52" s="44" t="s">
        <x:v>818</x:v>
      </x:c>
      <x:c r="U52" s="189" t="str">
        <x:f t="shared" si="5"/>
        <x:v/>
      </x:c>
      <x:c r="Z52" s="129" t="s">
        <x:v>1446</x:v>
      </x:c>
      <x:c r="AA52" s="130" t="s">
        <x:v>857</x:v>
      </x:c>
      <x:c r="AB52" s="130" t="s">
        <x:v>855</x:v>
      </x:c>
      <x:c r="AC52" s="131" t="s">
        <x:v>795</x:v>
      </x:c>
    </x:row>
    <x:row r="53" spans="2:29">
      <x:c r="B53" s="46" t="s">
        <x:v>564</x:v>
      </x:c>
      <x:c r="C53" s="60" t="s">
        <x:v>571</x:v>
      </x:c>
      <x:c r="D53" s="44">
        <x:v>2.3199999999999998</x:v>
      </x:c>
      <x:c r="E53" s="44">
        <x:v>2.5899999999999999</x:v>
      </x:c>
      <x:c r="F53" s="44" t="s">
        <x:v>818</x:v>
      </x:c>
      <x:c r="G53" s="44" t="s">
        <x:v>818</x:v>
      </x:c>
      <x:c r="H53" s="44" t="s">
        <x:v>818</x:v>
      </x:c>
      <x:c r="I53" s="44" t="s">
        <x:v>818</x:v>
      </x:c>
      <x:c r="U53" s="189">
        <x:f t="shared" si="5"/>
        <x:v>1</x:v>
      </x:c>
      <x:c r="Z53" s="129" t="s">
        <x:v>1508</x:v>
      </x:c>
      <x:c r="AA53" s="130" t="s">
        <x:v>865</x:v>
      </x:c>
      <x:c r="AB53" s="130" t="s">
        <x:v>883</x:v>
      </x:c>
      <x:c r="AC53" s="131" t="s">
        <x:v>795</x:v>
      </x:c>
    </x:row>
    <x:row r="54" spans="2:29">
      <x:c r="B54" s="46" t="s">
        <x:v>559</x:v>
      </x:c>
      <x:c r="C54" s="60" t="s">
        <x:v>575</x:v>
      </x:c>
      <x:c r="D54" s="44">
        <x:v>2.3199999999999998</x:v>
      </x:c>
      <x:c r="E54" s="44">
        <x:v>2.5899999999999999</x:v>
      </x:c>
      <x:c r="F54" s="44" t="s">
        <x:v>818</x:v>
      </x:c>
      <x:c r="G54" s="44" t="s">
        <x:v>818</x:v>
      </x:c>
      <x:c r="H54" s="44" t="s">
        <x:v>818</x:v>
      </x:c>
      <x:c r="I54" s="44" t="s">
        <x:v>818</x:v>
      </x:c>
      <x:c r="U54" s="189">
        <x:f t="shared" si="5"/>
        <x:v>1</x:v>
      </x:c>
      <x:c r="Z54" s="129" t="s">
        <x:v>1502</x:v>
      </x:c>
      <x:c r="AA54" s="130" t="s">
        <x:v>880</x:v>
      </x:c>
      <x:c r="AB54" s="130" t="s">
        <x:v>866</x:v>
      </x:c>
      <x:c r="AC54" s="131" t="s">
        <x:v>795</x:v>
      </x:c>
    </x:row>
    <x:row r="55" spans="2:29">
      <x:c r="B55" s="46" t="s">
        <x:v>191</x:v>
      </x:c>
      <x:c r="C55" s="60" t="s">
        <x:v>1082</x:v>
      </x:c>
      <x:c r="D55" s="44" t="s">
        <x:v>818</x:v>
      </x:c>
      <x:c r="E55" s="44" t="s">
        <x:v>818</x:v>
      </x:c>
      <x:c r="F55" s="44" t="s">
        <x:v>818</x:v>
      </x:c>
      <x:c r="G55" s="44" t="s">
        <x:v>818</x:v>
      </x:c>
      <x:c r="H55" s="44" t="s">
        <x:v>818</x:v>
      </x:c>
      <x:c r="I55" s="44" t="s">
        <x:v>818</x:v>
      </x:c>
      <x:c r="U55" s="189" t="str">
        <x:f t="shared" si="5"/>
        <x:v/>
      </x:c>
      <x:c r="Z55" s="129" t="s">
        <x:v>1478</x:v>
      </x:c>
      <x:c r="AA55" s="130" t="s">
        <x:v>878</x:v>
      </x:c>
      <x:c r="AB55" s="130" t="s">
        <x:v>884</x:v>
      </x:c>
      <x:c r="AC55" s="131" t="s">
        <x:v>800</x:v>
      </x:c>
    </x:row>
    <x:row r="56" spans="2:29">
      <x:c r="B56" s="46" t="s">
        <x:v>200</x:v>
      </x:c>
      <x:c r="C56" s="60" t="s">
        <x:v>1083</x:v>
      </x:c>
      <x:c r="D56" s="44" t="s">
        <x:v>818</x:v>
      </x:c>
      <x:c r="E56" s="44" t="s">
        <x:v>818</x:v>
      </x:c>
      <x:c r="F56" s="44" t="s">
        <x:v>818</x:v>
      </x:c>
      <x:c r="G56" s="44" t="s">
        <x:v>818</x:v>
      </x:c>
      <x:c r="H56" s="44" t="s">
        <x:v>818</x:v>
      </x:c>
      <x:c r="I56" s="44" t="s">
        <x:v>818</x:v>
      </x:c>
      <x:c r="U56" s="189" t="str">
        <x:f t="shared" si="5"/>
        <x:v/>
      </x:c>
      <x:c r="Z56" s="129" t="s">
        <x:v>2011</x:v>
      </x:c>
      <x:c r="AA56" s="130" t="s">
        <x:v>882</x:v>
      </x:c>
      <x:c r="AB56" s="130" t="s">
        <x:v>885</x:v>
      </x:c>
      <x:c r="AC56" s="131" t="s">
        <x:v>800</x:v>
      </x:c>
    </x:row>
    <x:row r="57" spans="2:29">
      <x:c r="B57" s="61" t="s">
        <x:v>1786</x:v>
      </x:c>
      <x:c r="C57" s="60" t="s">
        <x:v>798</x:v>
      </x:c>
      <x:c r="D57" s="80"/>
      <x:c r="E57" s="80"/>
      <x:c r="F57" s="80"/>
      <x:c r="G57" s="80"/>
      <x:c r="H57" s="80"/>
      <x:c r="I57" s="80"/>
      <x:c r="U57" s="188">
        <x:v>1</x:v>
      </x:c>
      <x:c r="Z57" s="129" t="s">
        <x:v>2028</x:v>
      </x:c>
      <x:c r="AA57" s="130" t="s">
        <x:v>859</x:v>
      </x:c>
      <x:c r="AB57" s="130" t="s">
        <x:v>879</x:v>
      </x:c>
      <x:c r="AC57" s="131" t="s">
        <x:v>795</x:v>
      </x:c>
    </x:row>
    <x:row r="58" spans="2:29">
      <x:c r="B58" s="46" t="s">
        <x:v>1777</x:v>
      </x:c>
      <x:c r="C58" s="60" t="s">
        <x:v>1778</x:v>
      </x:c>
      <x:c r="D58" s="44">
        <x:v>3.3969999999999998</x:v>
      </x:c>
      <x:c r="E58" s="44">
        <x:v>2.8759999999999999</x:v>
      </x:c>
      <x:c r="F58" s="44">
        <x:v>2.431</x:v>
      </x:c>
      <x:c r="G58" s="44">
        <x:v>1.9570000000000001</x:v>
      </x:c>
      <x:c r="H58" s="44">
        <x:v>2.1309999999999998</x:v>
      </x:c>
      <x:c r="I58" s="44" t="s">
        <x:v>818</x:v>
      </x:c>
      <x:c r="U58" s="189">
        <x:f t="shared" ref="U58:U61" si="6">IF(COUNT(D58:I58)&lt;&gt;0,1,"")</x:f>
        <x:v>1</x:v>
      </x:c>
      <x:c r="Z58" s="129" t="s">
        <x:v>1491</x:v>
      </x:c>
      <x:c r="AA58" s="130" t="s">
        <x:v>868</x:v>
      </x:c>
      <x:c r="AB58" s="130" t="s">
        <x:v>869</x:v>
      </x:c>
      <x:c r="AC58" s="131" t="s">
        <x:v>800</x:v>
      </x:c>
    </x:row>
    <x:row r="59" spans="2:29">
      <x:c r="B59" s="46" t="s">
        <x:v>1084</x:v>
      </x:c>
      <x:c r="C59" s="60" t="s">
        <x:v>1770</x:v>
      </x:c>
      <x:c r="D59" s="44">
        <x:v>65.105000000000004</x:v>
      </x:c>
      <x:c r="E59" s="44">
        <x:v>66.474000000000004</x:v>
      </x:c>
      <x:c r="F59" s="44">
        <x:v>58.715000000000003</x:v>
      </x:c>
      <x:c r="G59" s="44">
        <x:v>62.649999999999999</x:v>
      </x:c>
      <x:c r="H59" s="44">
        <x:v>58.750999999999998</x:v>
      </x:c>
      <x:c r="I59" s="44" t="s">
        <x:v>818</x:v>
      </x:c>
      <x:c r="U59" s="189">
        <x:f t="shared" si="6"/>
        <x:v>1</x:v>
      </x:c>
      <x:c r="Z59" s="129" t="s">
        <x:v>2031</x:v>
      </x:c>
      <x:c r="AA59" s="130" t="s">
        <x:v>874</x:v>
      </x:c>
      <x:c r="AB59" s="130" t="s">
        <x:v>862</x:v>
      </x:c>
      <x:c r="AC59" s="131" t="s">
        <x:v>795</x:v>
      </x:c>
    </x:row>
    <x:row r="60" spans="2:29">
      <x:c r="B60" s="46" t="s">
        <x:v>1085</x:v>
      </x:c>
      <x:c r="C60" s="60" t="s">
        <x:v>1779</x:v>
      </x:c>
      <x:c r="D60" s="44">
        <x:v>0.308</x:v>
      </x:c>
      <x:c r="E60" s="44">
        <x:v>0.189</x:v>
      </x:c>
      <x:c r="F60" s="44">
        <x:v>0.28599999999999998</x:v>
      </x:c>
      <x:c r="G60" s="44">
        <x:v>0.0070000000000000007</x:v>
      </x:c>
      <x:c r="H60" s="44">
        <x:v>0.0070000000000000007</x:v>
      </x:c>
      <x:c r="I60" s="44" t="s">
        <x:v>818</x:v>
      </x:c>
      <x:c r="U60" s="189">
        <x:f t="shared" si="6"/>
        <x:v>1</x:v>
      </x:c>
      <x:c r="Z60" s="129" t="s">
        <x:v>1487</x:v>
      </x:c>
      <x:c r="AA60" s="130" t="s">
        <x:v>876</x:v>
      </x:c>
      <x:c r="AB60" s="130" t="s">
        <x:v>876</x:v>
      </x:c>
      <x:c r="AC60" s="131" t="s">
        <x:v>795</x:v>
      </x:c>
    </x:row>
    <x:row r="61" spans="2:29">
      <x:c r="B61" s="46" t="s">
        <x:v>2308</x:v>
      </x:c>
      <x:c r="C61" s="60" t="s">
        <x:v>1086</x:v>
      </x:c>
      <x:c r="D61" s="44">
        <x:v>31.184000000000001</x:v>
      </x:c>
      <x:c r="E61" s="44">
        <x:v>30.460000000000001</x:v>
      </x:c>
      <x:c r="F61" s="44">
        <x:v>38.567</x:v>
      </x:c>
      <x:c r="G61" s="44">
        <x:v>35.387999999999998</x:v>
      </x:c>
      <x:c r="H61" s="44">
        <x:v>39.109000000000002</x:v>
      </x:c>
      <x:c r="I61" s="44" t="s">
        <x:v>818</x:v>
      </x:c>
      <x:c r="U61" s="189">
        <x:f t="shared" si="6"/>
        <x:v>1</x:v>
      </x:c>
      <x:c r="Z61" s="129" t="s">
        <x:v>2024</x:v>
      </x:c>
      <x:c r="AA61" s="130" t="s">
        <x:v>864</x:v>
      </x:c>
      <x:c r="AB61" s="130" t="s">
        <x:v>1940</x:v>
      </x:c>
      <x:c r="AC61" s="131" t="s">
        <x:v>795</x:v>
      </x:c>
    </x:row>
    <x:row r="62" spans="2:29">
      <x:c r="B62" s="61" t="s">
        <x:v>1786</x:v>
      </x:c>
      <x:c r="C62" s="60" t="s">
        <x:v>798</x:v>
      </x:c>
      <x:c r="D62" s="80"/>
      <x:c r="E62" s="80"/>
      <x:c r="F62" s="80"/>
      <x:c r="G62" s="80"/>
      <x:c r="H62" s="80"/>
      <x:c r="I62" s="80"/>
      <x:c r="U62" s="188">
        <x:v>1</x:v>
      </x:c>
      <x:c r="Z62" s="129" t="s">
        <x:v>2047</x:v>
      </x:c>
      <x:c r="AA62" s="130" t="s">
        <x:v>875</x:v>
      </x:c>
      <x:c r="AB62" s="130" t="s">
        <x:v>870</x:v>
      </x:c>
      <x:c r="AC62" s="131" t="s">
        <x:v>795</x:v>
      </x:c>
    </x:row>
    <x:row r="63" spans="2:29">
      <x:c r="B63" s="46" t="s">
        <x:v>2284</x:v>
      </x:c>
      <x:c r="C63" s="60" t="s">
        <x:v>2285</x:v>
      </x:c>
      <x:c r="D63" s="80">
        <x:v>3285</x:v>
      </x:c>
      <x:c r="E63" s="80">
        <x:v>2641</x:v>
      </x:c>
      <x:c r="F63" s="80">
        <x:v>1300</x:v>
      </x:c>
      <x:c r="G63" s="80">
        <x:v>1047</x:v>
      </x:c>
      <x:c r="H63" s="80">
        <x:v>912</x:v>
      </x:c>
      <x:c r="I63" s="80" t="s">
        <x:v>818</x:v>
      </x:c>
      <x:c r="U63" s="189">
        <x:f t="shared" ref="U63:U66" si="7">IF(COUNT(D63:I63)&lt;&gt;0,1,"")</x:f>
        <x:v>1</x:v>
      </x:c>
      <x:c r="Z63" s="129" t="s">
        <x:v>2020</x:v>
      </x:c>
      <x:c r="AA63" s="130" t="s">
        <x:v>856</x:v>
      </x:c>
      <x:c r="AB63" s="130" t="s">
        <x:v>877</x:v>
      </x:c>
      <x:c r="AC63" s="131" t="s">
        <x:v>795</x:v>
      </x:c>
    </x:row>
    <x:row r="64" spans="2:29">
      <x:c r="B64" s="46" t="s">
        <x:v>1773</x:v>
      </x:c>
      <x:c r="C64" s="60" t="s">
        <x:v>2287</x:v>
      </x:c>
      <x:c r="D64" s="80">
        <x:v>62953</x:v>
      </x:c>
      <x:c r="E64" s="80">
        <x:v>61044</x:v>
      </x:c>
      <x:c r="F64" s="80">
        <x:v>31392</x:v>
      </x:c>
      <x:c r="G64" s="80">
        <x:v>33515</x:v>
      </x:c>
      <x:c r="H64" s="80">
        <x:v>25143</x:v>
      </x:c>
      <x:c r="I64" s="80" t="s">
        <x:v>818</x:v>
      </x:c>
      <x:c r="U64" s="189">
        <x:f t="shared" si="7"/>
        <x:v>1</x:v>
      </x:c>
      <x:c r="Z64" s="129" t="s">
        <x:v>1497</x:v>
      </x:c>
      <x:c r="AA64" s="130" t="s">
        <x:v>861</x:v>
      </x:c>
      <x:c r="AB64" s="130" t="s">
        <x:v>861</x:v>
      </x:c>
      <x:c r="AC64" s="131" t="s">
        <x:v>795</x:v>
      </x:c>
    </x:row>
    <x:row r="65" spans="2:29">
      <x:c r="B65" s="46" t="s">
        <x:v>1784</x:v>
      </x:c>
      <x:c r="C65" s="60" t="s">
        <x:v>2291</x:v>
      </x:c>
      <x:c r="D65" s="80">
        <x:v>298</x:v>
      </x:c>
      <x:c r="E65" s="80">
        <x:v>174</x:v>
      </x:c>
      <x:c r="F65" s="80">
        <x:v>153</x:v>
      </x:c>
      <x:c r="G65" s="80">
        <x:v>4</x:v>
      </x:c>
      <x:c r="H65" s="80">
        <x:v>3</x:v>
      </x:c>
      <x:c r="I65" s="80" t="s">
        <x:v>818</x:v>
      </x:c>
      <x:c r="U65" s="189">
        <x:f t="shared" si="7"/>
        <x:v>1</x:v>
      </x:c>
      <x:c r="Z65" s="129" t="s">
        <x:v>1488</x:v>
      </x:c>
      <x:c r="AA65" s="130" t="s">
        <x:v>863</x:v>
      </x:c>
      <x:c r="AB65" s="130" t="s">
        <x:v>886</x:v>
      </x:c>
      <x:c r="AC65" s="131" t="s">
        <x:v>795</x:v>
      </x:c>
    </x:row>
    <x:row r="66" spans="2:29">
      <x:c r="B66" s="46" t="s">
        <x:v>1493</x:v>
      </x:c>
      <x:c r="C66" s="60" t="s">
        <x:v>1769</x:v>
      </x:c>
      <x:c r="D66" s="80">
        <x:v>30153</x:v>
      </x:c>
      <x:c r="E66" s="80">
        <x:v>27972</x:v>
      </x:c>
      <x:c r="F66" s="80">
        <x:v>20620</x:v>
      </x:c>
      <x:c r="G66" s="80">
        <x:v>18931</x:v>
      </x:c>
      <x:c r="H66" s="80">
        <x:v>16737</x:v>
      </x:c>
      <x:c r="I66" s="80" t="s">
        <x:v>818</x:v>
      </x:c>
      <x:c r="U66" s="189">
        <x:f t="shared" si="7"/>
        <x:v>1</x:v>
      </x:c>
      <x:c r="Z66" s="129" t="s">
        <x:v>2030</x:v>
      </x:c>
      <x:c r="AA66" s="130" t="s">
        <x:v>860</x:v>
      </x:c>
      <x:c r="AB66" s="130" t="s">
        <x:v>1936</x:v>
      </x:c>
      <x:c r="AC66" s="131" t="s">
        <x:v>795</x:v>
      </x:c>
    </x:row>
    <x:row r="67" spans="2:29">
      <x:c r="B67" s="61" t="s">
        <x:v>159</x:v>
      </x:c>
      <x:c r="C67" s="60" t="s">
        <x:v>798</x:v>
      </x:c>
      <x:c r="D67" s="80"/>
      <x:c r="E67" s="80"/>
      <x:c r="F67" s="80"/>
      <x:c r="G67" s="80"/>
      <x:c r="H67" s="80"/>
      <x:c r="I67" s="80"/>
      <x:c r="U67" s="188">
        <x:v>1</x:v>
      </x:c>
      <x:c r="Z67" s="129" t="s">
        <x:v>2021</x:v>
      </x:c>
      <x:c r="AA67" s="130" t="s">
        <x:v>887</x:v>
      </x:c>
      <x:c r="AB67" s="130" t="s">
        <x:v>887</x:v>
      </x:c>
      <x:c r="AC67" s="131" t="s">
        <x:v>795</x:v>
      </x:c>
    </x:row>
    <x:row r="68" spans="2:29">
      <x:c r="B68" s="46" t="s">
        <x:v>286</x:v>
      </x:c>
      <x:c r="C68" s="60" t="s">
        <x:v>1494</x:v>
      </x:c>
      <x:c r="D68" s="80">
        <x:v>32282</x:v>
      </x:c>
      <x:c r="E68" s="80">
        <x:v>27685</x:v>
      </x:c>
      <x:c r="F68" s="80">
        <x:v>19836</x:v>
      </x:c>
      <x:c r="G68" s="80">
        <x:v>22404</x:v>
      </x:c>
      <x:c r="H68" s="80">
        <x:v>18103</x:v>
      </x:c>
      <x:c r="I68" s="80" t="s">
        <x:v>818</x:v>
      </x:c>
      <x:c r="U68" s="189">
        <x:f t="shared" ref="U68:U72" si="8">IF(COUNT(D68:I68)&lt;&gt;0,1,"")</x:f>
        <x:v>1</x:v>
      </x:c>
      <x:c r="Z68" s="129" t="s">
        <x:v>1495</x:v>
      </x:c>
      <x:c r="AA68" s="130" t="s">
        <x:v>907</x:v>
      </x:c>
      <x:c r="AB68" s="130" t="s">
        <x:v>890</x:v>
      </x:c>
      <x:c r="AC68" s="131" t="s">
        <x:v>800</x:v>
      </x:c>
    </x:row>
    <x:row r="69" spans="2:29">
      <x:c r="B69" s="46" t="s">
        <x:v>972</x:v>
      </x:c>
      <x:c r="C69" s="60" t="s">
        <x:v>1774</x:v>
      </x:c>
      <x:c r="D69" s="80">
        <x:v>349</x:v>
      </x:c>
      <x:c r="E69" s="80">
        <x:v>405</x:v>
      </x:c>
      <x:c r="F69" s="80">
        <x:v>330</x:v>
      </x:c>
      <x:c r="G69" s="80">
        <x:v>309</x:v>
      </x:c>
      <x:c r="H69" s="80">
        <x:v>342</x:v>
      </x:c>
      <x:c r="I69" s="80" t="s">
        <x:v>818</x:v>
      </x:c>
      <x:c r="U69" s="189">
        <x:f t="shared" si="8"/>
        <x:v>1</x:v>
      </x:c>
      <x:c r="Z69" s="129" t="s">
        <x:v>2029</x:v>
      </x:c>
      <x:c r="AA69" s="130" t="s">
        <x:v>888</x:v>
      </x:c>
      <x:c r="AB69" s="130" t="s">
        <x:v>1943</x:v>
      </x:c>
      <x:c r="AC69" s="131" t="s">
        <x:v>795</x:v>
      </x:c>
    </x:row>
    <x:row r="70" spans="2:29">
      <x:c r="B70" s="46" t="s">
        <x:v>966</x:v>
      </x:c>
      <x:c r="C70" s="60" t="s">
        <x:v>1755</x:v>
      </x:c>
      <x:c r="D70" s="80" t="s">
        <x:v>818</x:v>
      </x:c>
      <x:c r="E70" s="80" t="s">
        <x:v>818</x:v>
      </x:c>
      <x:c r="F70" s="80" t="s">
        <x:v>818</x:v>
      </x:c>
      <x:c r="G70" s="80" t="s">
        <x:v>818</x:v>
      </x:c>
      <x:c r="H70" s="80" t="s">
        <x:v>818</x:v>
      </x:c>
      <x:c r="I70" s="80" t="s">
        <x:v>818</x:v>
      </x:c>
      <x:c r="U70" s="189" t="str">
        <x:f t="shared" si="8"/>
        <x:v/>
      </x:c>
      <x:c r="Z70" s="129" t="s">
        <x:v>1490</x:v>
      </x:c>
      <x:c r="AA70" s="130" t="s">
        <x:v>910</x:v>
      </x:c>
      <x:c r="AB70" s="130" t="s">
        <x:v>891</x:v>
      </x:c>
      <x:c r="AC70" s="131" t="s">
        <x:v>795</x:v>
      </x:c>
    </x:row>
    <x:row r="71" spans="2:29">
      <x:c r="B71" s="46" t="s">
        <x:v>1087</x:v>
      </x:c>
      <x:c r="C71" s="60" t="s">
        <x:v>1088</x:v>
      </x:c>
      <x:c r="D71" s="80" t="s">
        <x:v>818</x:v>
      </x:c>
      <x:c r="E71" s="80" t="s">
        <x:v>818</x:v>
      </x:c>
      <x:c r="F71" s="80" t="s">
        <x:v>818</x:v>
      </x:c>
      <x:c r="G71" s="80" t="s">
        <x:v>818</x:v>
      </x:c>
      <x:c r="H71" s="80" t="s">
        <x:v>818</x:v>
      </x:c>
      <x:c r="I71" s="80" t="s">
        <x:v>818</x:v>
      </x:c>
      <x:c r="U71" s="189" t="str">
        <x:f t="shared" si="8"/>
        <x:v/>
      </x:c>
      <x:c r="Z71" s="129" t="s">
        <x:v>1492</x:v>
      </x:c>
      <x:c r="AA71" s="130" t="s">
        <x:v>900</x:v>
      </x:c>
      <x:c r="AB71" s="130" t="s">
        <x:v>916</x:v>
      </x:c>
      <x:c r="AC71" s="131" t="s">
        <x:v>795</x:v>
      </x:c>
    </x:row>
    <x:row r="72" spans="2:29">
      <x:c r="B72" s="46" t="s">
        <x:v>568</x:v>
      </x:c>
      <x:c r="C72" s="60" t="s">
        <x:v>1757</x:v>
      </x:c>
      <x:c r="D72" s="80">
        <x:v>32632</x:v>
      </x:c>
      <x:c r="E72" s="80">
        <x:v>28090</x:v>
      </x:c>
      <x:c r="F72" s="80">
        <x:v>20166</x:v>
      </x:c>
      <x:c r="G72" s="80">
        <x:v>22712</x:v>
      </x:c>
      <x:c r="H72" s="80">
        <x:v>18446</x:v>
      </x:c>
      <x:c r="I72" s="80" t="s">
        <x:v>818</x:v>
      </x:c>
      <x:c r="U72" s="189">
        <x:f t="shared" si="8"/>
        <x:v>1</x:v>
      </x:c>
      <x:c r="Z72" s="129" t="s">
        <x:v>1484</x:v>
      </x:c>
      <x:c r="AA72" s="130" t="s">
        <x:v>905</x:v>
      </x:c>
      <x:c r="AB72" s="130" t="s">
        <x:v>915</x:v>
      </x:c>
      <x:c r="AC72" s="131" t="s">
        <x:v>795</x:v>
      </x:c>
    </x:row>
    <x:row r="73" spans="2:29">
      <x:c r="B73" s="61" t="s">
        <x:v>8</x:v>
      </x:c>
      <x:c r="C73" s="60" t="s">
        <x:v>798</x:v>
      </x:c>
      <x:c r="D73" s="80"/>
      <x:c r="E73" s="80"/>
      <x:c r="F73" s="80"/>
      <x:c r="G73" s="80"/>
      <x:c r="H73" s="80"/>
      <x:c r="I73" s="80"/>
      <x:c r="U73" s="188">
        <x:v>1</x:v>
      </x:c>
      <x:c r="Z73" s="129" t="s">
        <x:v>2033</x:v>
      </x:c>
      <x:c r="AA73" s="130" t="s">
        <x:v>911</x:v>
      </x:c>
      <x:c r="AB73" s="130" t="s">
        <x:v>899</x:v>
      </x:c>
      <x:c r="AC73" s="131" t="s">
        <x:v>795</x:v>
      </x:c>
    </x:row>
    <x:row r="74" spans="2:29">
      <x:c r="B74" s="46" t="s">
        <x:v>54</x:v>
      </x:c>
      <x:c r="C74" s="60" t="s">
        <x:v>1089</x:v>
      </x:c>
      <x:c r="D74" s="80" t="s">
        <x:v>818</x:v>
      </x:c>
      <x:c r="E74" s="80" t="s">
        <x:v>818</x:v>
      </x:c>
      <x:c r="F74" s="80" t="s">
        <x:v>818</x:v>
      </x:c>
      <x:c r="G74" s="80" t="s">
        <x:v>818</x:v>
      </x:c>
      <x:c r="H74" s="80" t="s">
        <x:v>818</x:v>
      </x:c>
      <x:c r="I74" s="80" t="s">
        <x:v>818</x:v>
      </x:c>
      <x:c r="U74" s="189" t="str">
        <x:f t="shared" ref="U74:U77" si="9">IF(COUNT(D74:I74)&lt;&gt;0,1,"")</x:f>
        <x:v/>
      </x:c>
      <x:c r="Z74" s="129" t="s">
        <x:v>656</x:v>
      </x:c>
      <x:c r="AA74" s="130" t="s">
        <x:v>917</x:v>
      </x:c>
      <x:c r="AB74" s="130" t="s">
        <x:v>898</x:v>
      </x:c>
      <x:c r="AC74" s="131" t="s">
        <x:v>795</x:v>
      </x:c>
    </x:row>
    <x:row r="75" spans="2:29">
      <x:c r="B75" s="46" t="s">
        <x:v>955</x:v>
      </x:c>
      <x:c r="C75" s="60" t="s">
        <x:v>1485</x:v>
      </x:c>
      <x:c r="D75" s="80" t="s">
        <x:v>818</x:v>
      </x:c>
      <x:c r="E75" s="80" t="s">
        <x:v>818</x:v>
      </x:c>
      <x:c r="F75" s="80" t="s">
        <x:v>818</x:v>
      </x:c>
      <x:c r="G75" s="80" t="s">
        <x:v>818</x:v>
      </x:c>
      <x:c r="H75" s="80" t="s">
        <x:v>818</x:v>
      </x:c>
      <x:c r="I75" s="80" t="s">
        <x:v>818</x:v>
      </x:c>
      <x:c r="U75" s="189" t="str">
        <x:f t="shared" si="9"/>
        <x:v/>
      </x:c>
      <x:c r="Z75" s="129" t="s">
        <x:v>2034</x:v>
      </x:c>
      <x:c r="AA75" s="130" t="s">
        <x:v>904</x:v>
      </x:c>
      <x:c r="AB75" s="130" t="s">
        <x:v>906</x:v>
      </x:c>
      <x:c r="AC75" s="131" t="s">
        <x:v>795</x:v>
      </x:c>
    </x:row>
    <x:row r="76" spans="2:29">
      <x:c r="B76" s="46" t="s">
        <x:v>75</x:v>
      </x:c>
      <x:c r="C76" s="60" t="s">
        <x:v>1758</x:v>
      </x:c>
      <x:c r="D76" s="80" t="s">
        <x:v>818</x:v>
      </x:c>
      <x:c r="E76" s="80" t="s">
        <x:v>818</x:v>
      </x:c>
      <x:c r="F76" s="80" t="s">
        <x:v>818</x:v>
      </x:c>
      <x:c r="G76" s="80" t="s">
        <x:v>818</x:v>
      </x:c>
      <x:c r="H76" s="80" t="s">
        <x:v>818</x:v>
      </x:c>
      <x:c r="I76" s="80" t="s">
        <x:v>818</x:v>
      </x:c>
      <x:c r="U76" s="189" t="str">
        <x:f t="shared" si="9"/>
        <x:v/>
      </x:c>
      <x:c r="Z76" s="129" t="s">
        <x:v>1479</x:v>
      </x:c>
      <x:c r="AA76" s="130" t="s">
        <x:v>892</x:v>
      </x:c>
      <x:c r="AB76" s="130" t="s">
        <x:v>912</x:v>
      </x:c>
      <x:c r="AC76" s="131" t="s">
        <x:v>795</x:v>
      </x:c>
    </x:row>
    <x:row r="77" spans="2:29">
      <x:c r="B77" s="46" t="s">
        <x:v>949</x:v>
      </x:c>
      <x:c r="C77" s="60" t="s">
        <x:v>1759</x:v>
      </x:c>
      <x:c r="D77" s="80" t="s">
        <x:v>818</x:v>
      </x:c>
      <x:c r="E77" s="80" t="s">
        <x:v>818</x:v>
      </x:c>
      <x:c r="F77" s="80" t="s">
        <x:v>818</x:v>
      </x:c>
      <x:c r="G77" s="80" t="s">
        <x:v>818</x:v>
      </x:c>
      <x:c r="H77" s="80" t="s">
        <x:v>818</x:v>
      </x:c>
      <x:c r="I77" s="80" t="s">
        <x:v>818</x:v>
      </x:c>
      <x:c r="U77" s="189" t="str">
        <x:f t="shared" si="9"/>
        <x:v/>
      </x:c>
      <x:c r="Z77" s="129" t="s">
        <x:v>2039</x:v>
      </x:c>
      <x:c r="AA77" s="130" t="s">
        <x:v>893</x:v>
      </x:c>
      <x:c r="AB77" s="130" t="s">
        <x:v>894</x:v>
      </x:c>
      <x:c r="AC77" s="131" t="s">
        <x:v>795</x:v>
      </x:c>
    </x:row>
    <x:row r="78" spans="2:29">
      <x:c r="B78" s="61" t="s">
        <x:v>431</x:v>
      </x:c>
      <x:c r="C78" s="60" t="s">
        <x:v>798</x:v>
      </x:c>
      <x:c r="D78" s="80"/>
      <x:c r="E78" s="80"/>
      <x:c r="F78" s="80"/>
      <x:c r="G78" s="80"/>
      <x:c r="H78" s="80"/>
      <x:c r="I78" s="80"/>
      <x:c r="U78" s="188">
        <x:v>1</x:v>
      </x:c>
      <x:c r="Z78" s="129" t="s">
        <x:v>2022</x:v>
      </x:c>
      <x:c r="AA78" s="130" t="s">
        <x:v>889</x:v>
      </x:c>
      <x:c r="AB78" s="130" t="s">
        <x:v>889</x:v>
      </x:c>
      <x:c r="AC78" s="131" t="s">
        <x:v>795</x:v>
      </x:c>
    </x:row>
    <x:row r="79" spans="2:29">
      <x:c r="B79" s="46" t="s">
        <x:v>287</x:v>
      </x:c>
      <x:c r="C79" s="60" t="s">
        <x:v>576</x:v>
      </x:c>
      <x:c r="D79" s="44" t="s">
        <x:v>818</x:v>
      </x:c>
      <x:c r="E79" s="44" t="s">
        <x:v>818</x:v>
      </x:c>
      <x:c r="F79" s="44" t="s">
        <x:v>818</x:v>
      </x:c>
      <x:c r="G79" s="44" t="s">
        <x:v>818</x:v>
      </x:c>
      <x:c r="H79" s="44" t="s">
        <x:v>818</x:v>
      </x:c>
      <x:c r="I79" s="44" t="s">
        <x:v>818</x:v>
      </x:c>
      <x:c r="U79" s="189" t="str">
        <x:f t="shared" ref="U79:U82" si="10">IF(COUNT(D79:I79)&lt;&gt;0,1,"")</x:f>
        <x:v/>
      </x:c>
      <x:c r="Z79" s="129" t="s">
        <x:v>2035</x:v>
      </x:c>
      <x:c r="AA79" s="130" t="s">
        <x:v>908</x:v>
      </x:c>
      <x:c r="AB79" s="130" t="s">
        <x:v>895</x:v>
      </x:c>
      <x:c r="AC79" s="131" t="s">
        <x:v>795</x:v>
      </x:c>
    </x:row>
    <x:row r="80" spans="2:29">
      <x:c r="B80" s="46" t="s">
        <x:v>293</x:v>
      </x:c>
      <x:c r="C80" s="60" t="s">
        <x:v>569</x:v>
      </x:c>
      <x:c r="D80" s="44" t="s">
        <x:v>818</x:v>
      </x:c>
      <x:c r="E80" s="44" t="s">
        <x:v>818</x:v>
      </x:c>
      <x:c r="F80" s="44" t="s">
        <x:v>818</x:v>
      </x:c>
      <x:c r="G80" s="44" t="s">
        <x:v>818</x:v>
      </x:c>
      <x:c r="H80" s="44" t="s">
        <x:v>818</x:v>
      </x:c>
      <x:c r="I80" s="44" t="s">
        <x:v>818</x:v>
      </x:c>
      <x:c r="U80" s="189" t="str">
        <x:f t="shared" si="10"/>
        <x:v/>
      </x:c>
      <x:c r="Z80" s="129" t="s">
        <x:v>658</x:v>
      </x:c>
      <x:c r="AA80" s="130" t="s">
        <x:v>896</x:v>
      </x:c>
      <x:c r="AB80" s="130" t="s">
        <x:v>901</x:v>
      </x:c>
      <x:c r="AC80" s="131" t="s">
        <x:v>795</x:v>
      </x:c>
    </x:row>
    <x:row r="81" spans="2:29">
      <x:c r="B81" s="46" t="s">
        <x:v>967</x:v>
      </x:c>
      <x:c r="C81" s="60" t="s">
        <x:v>284</x:v>
      </x:c>
      <x:c r="D81" s="44">
        <x:v>2.5899999999999999</x:v>
      </x:c>
      <x:c r="E81" s="44" t="s">
        <x:v>818</x:v>
      </x:c>
      <x:c r="F81" s="44" t="s">
        <x:v>818</x:v>
      </x:c>
      <x:c r="G81" s="44" t="s">
        <x:v>818</x:v>
      </x:c>
      <x:c r="H81" s="44" t="s">
        <x:v>818</x:v>
      </x:c>
      <x:c r="I81" s="44" t="s">
        <x:v>818</x:v>
      </x:c>
      <x:c r="U81" s="189">
        <x:f t="shared" si="10"/>
        <x:v>1</x:v>
      </x:c>
      <x:c r="Z81" s="129" t="s">
        <x:v>2032</x:v>
      </x:c>
      <x:c r="AA81" s="130" t="s">
        <x:v>913</x:v>
      </x:c>
      <x:c r="AB81" s="130" t="s">
        <x:v>902</x:v>
      </x:c>
      <x:c r="AC81" s="131" t="s">
        <x:v>795</x:v>
      </x:c>
    </x:row>
    <x:row r="82" spans="2:29">
      <x:c r="B82" s="46" t="s">
        <x:v>956</x:v>
      </x:c>
      <x:c r="C82" s="60" t="s">
        <x:v>290</x:v>
      </x:c>
      <x:c r="D82" s="44">
        <x:v>2.5899999999999999</x:v>
      </x:c>
      <x:c r="E82" s="44" t="s">
        <x:v>818</x:v>
      </x:c>
      <x:c r="F82" s="44" t="s">
        <x:v>818</x:v>
      </x:c>
      <x:c r="G82" s="44" t="s">
        <x:v>818</x:v>
      </x:c>
      <x:c r="H82" s="44" t="s">
        <x:v>818</x:v>
      </x:c>
      <x:c r="I82" s="44" t="s">
        <x:v>818</x:v>
      </x:c>
      <x:c r="U82" s="189">
        <x:f t="shared" si="10"/>
        <x:v>1</x:v>
      </x:c>
      <x:c r="Z82" s="129" t="s">
        <x:v>2048</x:v>
      </x:c>
      <x:c r="AA82" s="130" t="s">
        <x:v>909</x:v>
      </x:c>
      <x:c r="AB82" s="130" t="s">
        <x:v>909</x:v>
      </x:c>
      <x:c r="AC82" s="131" t="s">
        <x:v>795</x:v>
      </x:c>
    </x:row>
    <x:row r="83" spans="2:29">
      <x:c r="B83" s="61" t="s">
        <x:v>1090</x:v>
      </x:c>
      <x:c r="C83" s="60" t="s">
        <x:v>798</x:v>
      </x:c>
      <x:c r="D83" s="80"/>
      <x:c r="E83" s="80"/>
      <x:c r="F83" s="80"/>
      <x:c r="G83" s="80"/>
      <x:c r="H83" s="80"/>
      <x:c r="I83" s="80"/>
      <x:c r="U83" s="188">
        <x:v>1</x:v>
      </x:c>
      <x:c r="Z83" s="129" t="s">
        <x:v>657</x:v>
      </x:c>
      <x:c r="AA83" s="130" t="s">
        <x:v>918</x:v>
      </x:c>
      <x:c r="AB83" s="130" t="s">
        <x:v>903</x:v>
      </x:c>
      <x:c r="AC83" s="131" t="s">
        <x:v>795</x:v>
      </x:c>
    </x:row>
    <x:row r="84" spans="2:29">
      <x:c r="B84" s="46" t="s">
        <x:v>562</x:v>
      </x:c>
      <x:c r="C84" s="60" t="s">
        <x:v>1802</x:v>
      </x:c>
      <x:c r="D84" s="80">
        <x:v>6102</x:v>
      </x:c>
      <x:c r="E84" s="80">
        <x:v>5922</x:v>
      </x:c>
      <x:c r="F84" s="80">
        <x:v>4116</x:v>
      </x:c>
      <x:c r="G84" s="80">
        <x:v>4261</x:v>
      </x:c>
      <x:c r="H84" s="80">
        <x:v>3338</x:v>
      </x:c>
      <x:c r="I84" s="80" t="s">
        <x:v>818</x:v>
      </x:c>
      <x:c r="U84" s="189">
        <x:f t="shared" ref="U84:U89" si="11">IF(COUNT(D84:I84)&lt;&gt;0,1,"")</x:f>
        <x:v>1</x:v>
      </x:c>
      <x:c r="Z84" s="129" t="s">
        <x:v>659</x:v>
      </x:c>
      <x:c r="AA84" s="130" t="s">
        <x:v>897</x:v>
      </x:c>
      <x:c r="AB84" s="130" t="s">
        <x:v>914</x:v>
      </x:c>
      <x:c r="AC84" s="131" t="s">
        <x:v>795</x:v>
      </x:c>
    </x:row>
    <x:row r="85" spans="2:29">
      <x:c r="B85" s="46" t="s">
        <x:v>570</x:v>
      </x:c>
      <x:c r="C85" s="60" t="s">
        <x:v>1810</x:v>
      </x:c>
      <x:c r="D85" s="80">
        <x:v>6090</x:v>
      </x:c>
      <x:c r="E85" s="80">
        <x:v>5842</x:v>
      </x:c>
      <x:c r="F85" s="80">
        <x:v>4106</x:v>
      </x:c>
      <x:c r="G85" s="80">
        <x:v>4287</x:v>
      </x:c>
      <x:c r="H85" s="80">
        <x:v>3281</x:v>
      </x:c>
      <x:c r="I85" s="80" t="s">
        <x:v>818</x:v>
      </x:c>
      <x:c r="U85" s="189">
        <x:f t="shared" si="11"/>
        <x:v>1</x:v>
      </x:c>
      <x:c r="Z85" s="129" t="s">
        <x:v>2025</x:v>
      </x:c>
      <x:c r="AA85" s="130" t="s">
        <x:v>929</x:v>
      </x:c>
      <x:c r="AB85" s="130" t="s">
        <x:v>929</x:v>
      </x:c>
      <x:c r="AC85" s="131" t="s">
        <x:v>795</x:v>
      </x:c>
    </x:row>
    <x:row r="86" spans="2:29">
      <x:c r="B86" s="46" t="s">
        <x:v>565</x:v>
      </x:c>
      <x:c r="C86" s="60" t="s">
        <x:v>1801</x:v>
      </x:c>
      <x:c r="D86" s="80">
        <x:v>6073</x:v>
      </x:c>
      <x:c r="E86" s="80">
        <x:v>5827</x:v>
      </x:c>
      <x:c r="F86" s="80">
        <x:v>4137</x:v>
      </x:c>
      <x:c r="G86" s="80">
        <x:v>4283</x:v>
      </x:c>
      <x:c r="H86" s="80">
        <x:v>3300</x:v>
      </x:c>
      <x:c r="I86" s="80" t="s">
        <x:v>818</x:v>
      </x:c>
      <x:c r="U86" s="189">
        <x:f t="shared" si="11"/>
        <x:v>1</x:v>
      </x:c>
      <x:c r="Z86" s="129" t="s">
        <x:v>1496</x:v>
      </x:c>
      <x:c r="AA86" s="130" t="s">
        <x:v>932</x:v>
      </x:c>
      <x:c r="AB86" s="130" t="s">
        <x:v>931</x:v>
      </x:c>
      <x:c r="AC86" s="131" t="s">
        <x:v>795</x:v>
      </x:c>
    </x:row>
    <x:row r="87" spans="2:29">
      <x:c r="B87" s="46" t="s">
        <x:v>566</x:v>
      </x:c>
      <x:c r="C87" s="60" t="s">
        <x:v>1816</x:v>
      </x:c>
      <x:c r="D87" s="80">
        <x:v>6041</x:v>
      </x:c>
      <x:c r="E87" s="80">
        <x:v>5774</x:v>
      </x:c>
      <x:c r="F87" s="80">
        <x:v>4078</x:v>
      </x:c>
      <x:c r="G87" s="80">
        <x:v>4225</x:v>
      </x:c>
      <x:c r="H87" s="80">
        <x:v>3243</x:v>
      </x:c>
      <x:c r="I87" s="80" t="s">
        <x:v>818</x:v>
      </x:c>
      <x:c r="U87" s="189">
        <x:f t="shared" si="11"/>
        <x:v>1</x:v>
      </x:c>
      <x:c r="Z87" s="129" t="s">
        <x:v>1498</x:v>
      </x:c>
      <x:c r="AA87" s="130" t="s">
        <x:v>936</x:v>
      </x:c>
      <x:c r="AB87" s="130" t="s">
        <x:v>930</x:v>
      </x:c>
      <x:c r="AC87" s="131" t="s">
        <x:v>795</x:v>
      </x:c>
    </x:row>
    <x:row r="88" spans="2:29">
      <x:c r="B88" s="46" t="s">
        <x:v>573</x:v>
      </x:c>
      <x:c r="C88" s="60" t="s">
        <x:v>1788</x:v>
      </x:c>
      <x:c r="D88" s="80">
        <x:v>6013</x:v>
      </x:c>
      <x:c r="E88" s="80">
        <x:v>5669</x:v>
      </x:c>
      <x:c r="F88" s="80">
        <x:v>3995</x:v>
      </x:c>
      <x:c r="G88" s="80">
        <x:v>4145</x:v>
      </x:c>
      <x:c r="H88" s="80">
        <x:v>3220</x:v>
      </x:c>
      <x:c r="I88" s="80" t="s">
        <x:v>818</x:v>
      </x:c>
      <x:c r="U88" s="189">
        <x:f t="shared" si="11"/>
        <x:v>1</x:v>
      </x:c>
      <x:c r="Z88" s="129" t="s">
        <x:v>1483</x:v>
      </x:c>
      <x:c r="AA88" s="130" t="s">
        <x:v>947</x:v>
      </x:c>
      <x:c r="AB88" s="130" t="s">
        <x:v>925</x:v>
      </x:c>
      <x:c r="AC88" s="131" t="s">
        <x:v>800</x:v>
      </x:c>
    </x:row>
    <x:row r="89" spans="2:29">
      <x:c r="B89" s="46" t="s">
        <x:v>292</x:v>
      </x:c>
      <x:c r="C89" s="60" t="s">
        <x:v>1020</x:v>
      </x:c>
      <x:c r="D89" s="80">
        <x:v>28079</x:v>
      </x:c>
      <x:c r="E89" s="80">
        <x:v>26118</x:v>
      </x:c>
      <x:c r="F89" s="80">
        <x:v>18754</x:v>
      </x:c>
      <x:c r="G89" s="80">
        <x:v>19591</x:v>
      </x:c>
      <x:c r="H89" s="80">
        <x:v>15243</x:v>
      </x:c>
      <x:c r="I89" s="80" t="s">
        <x:v>818</x:v>
      </x:c>
      <x:c r="U89" s="189">
        <x:f t="shared" si="11"/>
        <x:v>1</x:v>
      </x:c>
      <x:c r="Z89" s="129" t="s">
        <x:v>2036</x:v>
      </x:c>
      <x:c r="AA89" s="130" t="s">
        <x:v>937</x:v>
      </x:c>
      <x:c r="AB89" s="130" t="s">
        <x:v>934</x:v>
      </x:c>
      <x:c r="AC89" s="131" t="s">
        <x:v>795</x:v>
      </x:c>
    </x:row>
    <x:row r="90" spans="2:29">
      <x:c r="B90" s="61" t="s">
        <x:v>577</x:v>
      </x:c>
      <x:c r="C90" s="60" t="s">
        <x:v>798</x:v>
      </x:c>
      <x:c r="D90" s="80"/>
      <x:c r="E90" s="80"/>
      <x:c r="F90" s="80"/>
      <x:c r="G90" s="80"/>
      <x:c r="H90" s="80"/>
      <x:c r="I90" s="80"/>
      <x:c r="U90" s="188">
        <x:v>1</x:v>
      </x:c>
      <x:c r="Z90" s="129" t="s">
        <x:v>2037</x:v>
      </x:c>
      <x:c r="AA90" s="130" t="s">
        <x:v>944</x:v>
      </x:c>
      <x:c r="AB90" s="130" t="s">
        <x:v>885</x:v>
      </x:c>
      <x:c r="AC90" s="131" t="s">
        <x:v>795</x:v>
      </x:c>
    </x:row>
    <x:row r="91" spans="2:29">
      <x:c r="B91" s="46" t="s">
        <x:v>2315</x:v>
      </x:c>
      <x:c r="C91" s="60" t="s">
        <x:v>2316</x:v>
      </x:c>
      <x:c r="D91" s="80" t="s">
        <x:v>818</x:v>
      </x:c>
      <x:c r="E91" s="80" t="s">
        <x:v>818</x:v>
      </x:c>
      <x:c r="F91" s="80" t="s">
        <x:v>818</x:v>
      </x:c>
      <x:c r="G91" s="80" t="s">
        <x:v>818</x:v>
      </x:c>
      <x:c r="H91" s="80" t="s">
        <x:v>818</x:v>
      </x:c>
      <x:c r="I91" s="80" t="s">
        <x:v>818</x:v>
      </x:c>
      <x:c r="U91" s="189" t="str">
        <x:f t="shared" ref="U91:U98" si="12">IF(COUNT(D91:I91)&lt;&gt;0,1,"")</x:f>
        <x:v/>
      </x:c>
      <x:c r="Z91" s="129" t="s">
        <x:v>661</x:v>
      </x:c>
      <x:c r="AA91" s="130" t="s">
        <x:v>921</x:v>
      </x:c>
      <x:c r="AB91" s="130" t="s">
        <x:v>1945</x:v>
      </x:c>
      <x:c r="AC91" s="131" t="s">
        <x:v>795</x:v>
      </x:c>
    </x:row>
    <x:row r="92" spans="2:29">
      <x:c r="B92" s="46" t="s">
        <x:v>1800</x:v>
      </x:c>
      <x:c r="C92" s="60" t="s">
        <x:v>2332</x:v>
      </x:c>
      <x:c r="D92" s="80" t="s">
        <x:v>818</x:v>
      </x:c>
      <x:c r="E92" s="80" t="s">
        <x:v>818</x:v>
      </x:c>
      <x:c r="F92" s="80" t="s">
        <x:v>818</x:v>
      </x:c>
      <x:c r="G92" s="80" t="s">
        <x:v>818</x:v>
      </x:c>
      <x:c r="H92" s="80" t="s">
        <x:v>818</x:v>
      </x:c>
      <x:c r="I92" s="80" t="s">
        <x:v>818</x:v>
      </x:c>
      <x:c r="U92" s="189" t="str">
        <x:f t="shared" si="12"/>
        <x:v/>
      </x:c>
      <x:c r="Z92" s="129" t="s">
        <x:v>2038</x:v>
      </x:c>
      <x:c r="AA92" s="130" t="s">
        <x:v>938</x:v>
      </x:c>
      <x:c r="AB92" s="130" t="s">
        <x:v>933</x:v>
      </x:c>
      <x:c r="AC92" s="131" t="s">
        <x:v>795</x:v>
      </x:c>
    </x:row>
    <x:row r="93" spans="2:29">
      <x:c r="B93" s="46" t="s">
        <x:v>1489</x:v>
      </x:c>
      <x:c r="C93" s="60" t="s">
        <x:v>2320</x:v>
      </x:c>
      <x:c r="D93" s="80" t="s">
        <x:v>818</x:v>
      </x:c>
      <x:c r="E93" s="80" t="s">
        <x:v>818</x:v>
      </x:c>
      <x:c r="F93" s="80" t="s">
        <x:v>818</x:v>
      </x:c>
      <x:c r="G93" s="80" t="s">
        <x:v>818</x:v>
      </x:c>
      <x:c r="H93" s="80" t="s">
        <x:v>818</x:v>
      </x:c>
      <x:c r="I93" s="80" t="s">
        <x:v>818</x:v>
      </x:c>
      <x:c r="U93" s="189" t="str">
        <x:f t="shared" si="12"/>
        <x:v/>
      </x:c>
      <x:c r="Z93" s="129" t="s">
        <x:v>660</x:v>
      </x:c>
      <x:c r="AA93" s="130" t="s">
        <x:v>948</x:v>
      </x:c>
      <x:c r="AB93" s="130" t="s">
        <x:v>935</x:v>
      </x:c>
      <x:c r="AC93" s="131" t="s">
        <x:v>795</x:v>
      </x:c>
    </x:row>
    <x:row r="94" spans="2:29">
      <x:c r="B94" s="46" t="s">
        <x:v>1803</x:v>
      </x:c>
      <x:c r="C94" s="60" t="s">
        <x:v>1808</x:v>
      </x:c>
      <x:c r="D94" s="80" t="s">
        <x:v>818</x:v>
      </x:c>
      <x:c r="E94" s="80" t="s">
        <x:v>818</x:v>
      </x:c>
      <x:c r="F94" s="80" t="s">
        <x:v>818</x:v>
      </x:c>
      <x:c r="G94" s="80" t="s">
        <x:v>818</x:v>
      </x:c>
      <x:c r="H94" s="80" t="s">
        <x:v>818</x:v>
      </x:c>
      <x:c r="I94" s="80" t="s">
        <x:v>818</x:v>
      </x:c>
      <x:c r="U94" s="189" t="str">
        <x:f t="shared" si="12"/>
        <x:v/>
      </x:c>
      <x:c r="Z94" s="129" t="s">
        <x:v>2040</x:v>
      </x:c>
      <x:c r="AA94" s="130" t="s">
        <x:v>939</x:v>
      </x:c>
      <x:c r="AB94" s="130" t="s">
        <x:v>922</x:v>
      </x:c>
      <x:c r="AC94" s="131" t="s">
        <x:v>795</x:v>
      </x:c>
    </x:row>
    <x:row r="95" spans="2:29">
      <x:c r="B95" s="46" t="s">
        <x:v>1480</x:v>
      </x:c>
      <x:c r="C95" s="60" t="s">
        <x:v>2323</x:v>
      </x:c>
      <x:c r="D95" s="80">
        <x:v>7557</x:v>
      </x:c>
      <x:c r="E95" s="80">
        <x:v>9850</x:v>
      </x:c>
      <x:c r="F95" s="80">
        <x:v>8236</x:v>
      </x:c>
      <x:c r="G95" s="80">
        <x:v>7507</x:v>
      </x:c>
      <x:c r="H95" s="80">
        <x:v>7493</x:v>
      </x:c>
      <x:c r="I95" s="80" t="s">
        <x:v>818</x:v>
      </x:c>
      <x:c r="U95" s="189">
        <x:f t="shared" si="12"/>
        <x:v>1</x:v>
      </x:c>
      <x:c r="Z95" s="129" t="s">
        <x:v>2017</x:v>
      </x:c>
      <x:c r="AA95" s="130" t="s">
        <x:v>940</x:v>
      </x:c>
      <x:c r="AB95" s="130" t="s">
        <x:v>920</x:v>
      </x:c>
      <x:c r="AC95" s="131" t="s">
        <x:v>795</x:v>
      </x:c>
    </x:row>
    <x:row r="96" spans="2:29">
      <x:c r="B96" s="46" t="s">
        <x:v>1506</x:v>
      </x:c>
      <x:c r="C96" s="60" t="s">
        <x:v>2018</x:v>
      </x:c>
      <x:c r="D96" s="80">
        <x:v>-464</x:v>
      </x:c>
      <x:c r="E96" s="80">
        <x:v>-482</x:v>
      </x:c>
      <x:c r="F96" s="80">
        <x:v>-468</x:v>
      </x:c>
      <x:c r="G96" s="80">
        <x:v>-485</x:v>
      </x:c>
      <x:c r="H96" s="80">
        <x:v>-479</x:v>
      </x:c>
      <x:c r="I96" s="80" t="s">
        <x:v>818</x:v>
      </x:c>
      <x:c r="U96" s="189">
        <x:f t="shared" si="12"/>
        <x:v>1</x:v>
      </x:c>
      <x:c r="Z96" s="129" t="s">
        <x:v>1486</x:v>
      </x:c>
      <x:c r="AA96" s="130" t="s">
        <x:v>941</x:v>
      </x:c>
      <x:c r="AB96" s="130" t="s">
        <x:v>845</x:v>
      </x:c>
      <x:c r="AC96" s="131" t="s">
        <x:v>795</x:v>
      </x:c>
    </x:row>
    <x:row r="97" spans="2:29">
      <x:c r="B97" s="46" t="s">
        <x:v>2314</x:v>
      </x:c>
      <x:c r="C97" s="60" t="s">
        <x:v>1481</x:v>
      </x:c>
      <x:c r="D97" s="80">
        <x:v>-13084</x:v>
      </x:c>
      <x:c r="E97" s="80">
        <x:v>-10816</x:v>
      </x:c>
      <x:c r="F97" s="80">
        <x:v>-7058</x:v>
      </x:c>
      <x:c r="G97" s="80">
        <x:v>-8239</x:v>
      </x:c>
      <x:c r="H97" s="80">
        <x:v>-6926</x:v>
      </x:c>
      <x:c r="I97" s="80" t="s">
        <x:v>818</x:v>
      </x:c>
      <x:c r="U97" s="189">
        <x:f t="shared" si="12"/>
        <x:v>1</x:v>
      </x:c>
      <x:c r="Z97" s="129" t="s">
        <x:v>662</x:v>
      </x:c>
      <x:c r="AA97" s="130" t="s">
        <x:v>942</x:v>
      </x:c>
      <x:c r="AB97" s="130" t="s">
        <x:v>1950</x:v>
      </x:c>
      <x:c r="AC97" s="131" t="s">
        <x:v>795</x:v>
      </x:c>
    </x:row>
    <x:row r="98" spans="2:29">
      <x:c r="B98" s="46" t="s">
        <x:v>1812</x:v>
      </x:c>
      <x:c r="C98" s="60" t="s">
        <x:v>1499</x:v>
      </x:c>
      <x:c r="D98" s="80" t="s">
        <x:v>818</x:v>
      </x:c>
      <x:c r="E98" s="80" t="s">
        <x:v>818</x:v>
      </x:c>
      <x:c r="F98" s="80" t="s">
        <x:v>818</x:v>
      </x:c>
      <x:c r="G98" s="80" t="s">
        <x:v>818</x:v>
      </x:c>
      <x:c r="H98" s="80" t="s">
        <x:v>818</x:v>
      </x:c>
      <x:c r="I98" s="80" t="s">
        <x:v>818</x:v>
      </x:c>
      <x:c r="U98" s="189" t="str">
        <x:f t="shared" si="12"/>
        <x:v/>
      </x:c>
      <x:c r="Z98" s="129" t="s">
        <x:v>2043</x:v>
      </x:c>
      <x:c r="AA98" s="130" t="s">
        <x:v>923</x:v>
      </x:c>
      <x:c r="AB98" s="130" t="s">
        <x:v>923</x:v>
      </x:c>
      <x:c r="AC98" s="131" t="s">
        <x:v>795</x:v>
      </x:c>
    </x:row>
    <x:row r="99" spans="2:29">
      <x:c r="B99" s="61" t="s">
        <x:v>84</x:v>
      </x:c>
      <x:c r="C99" s="60" t="s">
        <x:v>798</x:v>
      </x:c>
      <x:c r="D99" s="80"/>
      <x:c r="E99" s="80"/>
      <x:c r="F99" s="80"/>
      <x:c r="G99" s="80"/>
      <x:c r="H99" s="80"/>
      <x:c r="I99" s="80"/>
      <x:c r="U99" s="188">
        <x:v>1</x:v>
      </x:c>
      <x:c r="Z99" s="129" t="s">
        <x:v>2041</x:v>
      </x:c>
      <x:c r="AA99" s="130" t="s">
        <x:v>945</x:v>
      </x:c>
      <x:c r="AB99" s="130" t="s">
        <x:v>945</x:v>
      </x:c>
      <x:c r="AC99" s="131" t="s">
        <x:v>800</x:v>
      </x:c>
    </x:row>
    <x:row r="100" spans="2:29">
      <x:c r="B100" s="46" t="s">
        <x:v>15</x:v>
      </x:c>
      <x:c r="C100" s="60" t="s">
        <x:v>1792</x:v>
      </x:c>
      <x:c r="D100" s="80" t="s">
        <x:v>818</x:v>
      </x:c>
      <x:c r="E100" s="80" t="s">
        <x:v>818</x:v>
      </x:c>
      <x:c r="F100" s="80" t="s">
        <x:v>818</x:v>
      </x:c>
      <x:c r="G100" s="80" t="s">
        <x:v>818</x:v>
      </x:c>
      <x:c r="H100" s="80" t="s">
        <x:v>818</x:v>
      </x:c>
      <x:c r="I100" s="80" t="s">
        <x:v>818</x:v>
      </x:c>
      <x:c r="U100" s="189" t="str">
        <x:f t="shared" ref="U100:U102" si="13">IF(COUNT(D100:I100)&lt;&gt;0,1,"")</x:f>
        <x:v/>
      </x:c>
      <x:c r="Z100" s="129" t="s">
        <x:v>1789</x:v>
      </x:c>
      <x:c r="AA100" s="130" t="s">
        <x:v>946</x:v>
      </x:c>
      <x:c r="AB100" s="130" t="s">
        <x:v>1952</x:v>
      </x:c>
      <x:c r="AC100" s="131" t="s">
        <x:v>795</x:v>
      </x:c>
    </x:row>
    <x:row r="101" spans="2:29">
      <x:c r="B101" s="46" t="s">
        <x:v>295</x:v>
      </x:c>
      <x:c r="C101" s="60" t="s">
        <x:v>2313</x:v>
      </x:c>
      <x:c r="D101" s="80" t="s">
        <x:v>818</x:v>
      </x:c>
      <x:c r="E101" s="80" t="s">
        <x:v>818</x:v>
      </x:c>
      <x:c r="F101" s="80" t="s">
        <x:v>818</x:v>
      </x:c>
      <x:c r="G101" s="80" t="s">
        <x:v>818</x:v>
      </x:c>
      <x:c r="H101" s="80" t="s">
        <x:v>818</x:v>
      </x:c>
      <x:c r="I101" s="80" t="s">
        <x:v>818</x:v>
      </x:c>
      <x:c r="U101" s="189" t="str">
        <x:f t="shared" si="13"/>
        <x:v/>
      </x:c>
      <x:c r="Z101" s="132" t="s">
        <x:v>2027</x:v>
      </x:c>
      <x:c r="AA101" s="133" t="s">
        <x:v>926</x:v>
      </x:c>
      <x:c r="AB101" s="133" t="s">
        <x:v>927</x:v>
      </x:c>
      <x:c r="AC101" s="134" t="s">
        <x:v>800</x:v>
      </x:c>
    </x:row>
    <x:row r="102" spans="2:29">
      <x:c r="B102" s="46" t="s">
        <x:v>67</x:v>
      </x:c>
      <x:c r="C102" s="60" t="s">
        <x:v>1809</x:v>
      </x:c>
      <x:c r="D102" s="80">
        <x:v>-5991</x:v>
      </x:c>
      <x:c r="E102" s="80">
        <x:v>-1447</x:v>
      </x:c>
      <x:c r="F102" s="80">
        <x:v>709</x:v>
      </x:c>
      <x:c r="G102" s="80">
        <x:v>-1218</x:v>
      </x:c>
      <x:c r="H102" s="80">
        <x:v>87</x:v>
      </x:c>
      <x:c r="I102" s="80" t="s">
        <x:v>818</x:v>
      </x:c>
      <x:c r="U102" s="189">
        <x:f t="shared" si="13"/>
        <x:v>1</x:v>
      </x:c>
      <x:c r="Z102" s="17"/>
      <x:c r="AA102" s="17"/>
      <x:c r="AB102" s="17"/>
      <x:c r="AC102" s="17"/>
    </x:row>
    <x:row r="103" spans="2:29">
      <x:c r="B103" s="61" t="s">
        <x:v>1804</x:v>
      </x:c>
      <x:c r="C103" s="60" t="s">
        <x:v>798</x:v>
      </x:c>
      <x:c r="D103" s="80"/>
      <x:c r="E103" s="80"/>
      <x:c r="F103" s="80"/>
      <x:c r="G103" s="80"/>
      <x:c r="H103" s="80"/>
      <x:c r="I103" s="80"/>
      <x:c r="U103" s="188">
        <x:v>1</x:v>
      </x:c>
      <x:c r="Z103" s="111" t="str">
        <x:f>Key_Stats!$H$18</x:f>
        <x:v>Millions</x:v>
      </x:c>
      <x:c r="AA103" s="135" t="str">
        <x:f>VLOOKUP(Z103,Z106:AA110,2,FALSE)</x:f>
        <x:v>M</x:v>
      </x:c>
      <x:c r="AB103" s="178">
        <x:f>VLOOKUP($Z$103,$Z$106:$AB$110,3,FALSE)</x:f>
        <x:v>1000000</x:v>
      </x:c>
      <x:c r="AC103" s="120"/>
    </x:row>
    <x:row r="104" spans="2:29">
      <x:c r="B104" s="46" t="s">
        <x:v>1322</x:v>
      </x:c>
      <x:c r="C104" s="60" t="s">
        <x:v>1503</x:v>
      </x:c>
      <x:c r="D104" s="80" t="s">
        <x:v>818</x:v>
      </x:c>
      <x:c r="E104" s="80" t="s">
        <x:v>818</x:v>
      </x:c>
      <x:c r="F104" s="80" t="s">
        <x:v>818</x:v>
      </x:c>
      <x:c r="G104" s="80" t="s">
        <x:v>818</x:v>
      </x:c>
      <x:c r="H104" s="80" t="s">
        <x:v>818</x:v>
      </x:c>
      <x:c r="I104" s="80" t="s">
        <x:v>818</x:v>
      </x:c>
      <x:c r="U104" s="189" t="str">
        <x:f t="shared" ref="U104:U108" si="14">IF(COUNT(D104:I104)&lt;&gt;0,1,"")</x:f>
        <x:v/>
      </x:c>
      <x:c r="Z104" s="17"/>
      <x:c r="AA104" s="17"/>
      <x:c r="AB104" s="17"/>
      <x:c r="AC104" s="17"/>
    </x:row>
    <x:row r="105" spans="2:29">
      <x:c r="B105" s="46" t="s">
        <x:v>1321</x:v>
      </x:c>
      <x:c r="C105" s="60" t="s">
        <x:v>30</x:v>
      </x:c>
      <x:c r="D105" s="80">
        <x:v>300</x:v>
      </x:c>
      <x:c r="E105" s="80">
        <x:v>200</x:v>
      </x:c>
      <x:c r="F105" s="80">
        <x:v>200</x:v>
      </x:c>
      <x:c r="G105" s="80">
        <x:v>200</x:v>
      </x:c>
      <x:c r="H105" s="80">
        <x:v>100</x:v>
      </x:c>
      <x:c r="I105" s="80" t="s">
        <x:v>818</x:v>
      </x:c>
      <x:c r="U105" s="189">
        <x:f t="shared" si="14"/>
        <x:v>1</x:v>
      </x:c>
      <x:c r="Z105" s="112" t="s">
        <x:v>1237</x:v>
      </x:c>
      <x:c r="AA105" s="112" t="s">
        <x:v>1941</x:v>
      </x:c>
      <x:c r="AB105" s="112" t="s">
        <x:v>1944</x:v>
      </x:c>
      <x:c r="AC105" s="17"/>
    </x:row>
    <x:row r="106" spans="2:29">
      <x:c r="B106" s="46" t="s">
        <x:v>1320</x:v>
      </x:c>
      <x:c r="C106" s="60" t="s">
        <x:v>296</x:v>
      </x:c>
      <x:c r="D106" s="80" t="s">
        <x:v>818</x:v>
      </x:c>
      <x:c r="E106" s="80" t="s">
        <x:v>818</x:v>
      </x:c>
      <x:c r="F106" s="80" t="s">
        <x:v>818</x:v>
      </x:c>
      <x:c r="G106" s="80" t="s">
        <x:v>818</x:v>
      </x:c>
      <x:c r="H106" s="80" t="s">
        <x:v>818</x:v>
      </x:c>
      <x:c r="I106" s="80" t="s">
        <x:v>818</x:v>
      </x:c>
      <x:c r="U106" s="189" t="str">
        <x:f t="shared" si="14"/>
        <x:v/>
      </x:c>
      <x:c r="Z106" s="125" t="s">
        <x:v>1887</x:v>
      </x:c>
      <x:c r="AA106" s="121" t="s">
        <x:v>798</x:v>
      </x:c>
      <x:c r="AB106" s="176">
        <x:v>1</x:v>
      </x:c>
      <x:c r="AC106" s="17"/>
    </x:row>
    <x:row r="107" spans="2:29">
      <x:c r="B107" s="46" t="s">
        <x:v>976</x:v>
      </x:c>
      <x:c r="C107" s="60" t="s">
        <x:v>297</x:v>
      </x:c>
      <x:c r="D107" s="80" t="s">
        <x:v>818</x:v>
      </x:c>
      <x:c r="E107" s="80" t="s">
        <x:v>818</x:v>
      </x:c>
      <x:c r="F107" s="80" t="s">
        <x:v>818</x:v>
      </x:c>
      <x:c r="G107" s="80" t="s">
        <x:v>818</x:v>
      </x:c>
      <x:c r="H107" s="80" t="s">
        <x:v>818</x:v>
      </x:c>
      <x:c r="I107" s="80" t="s">
        <x:v>818</x:v>
      </x:c>
      <x:c r="U107" s="189" t="str">
        <x:f t="shared" si="14"/>
        <x:v/>
      </x:c>
      <x:c r="Z107" s="125" t="s">
        <x:v>664</x:v>
      </x:c>
      <x:c r="AA107" s="121" t="s">
        <x:v>795</x:v>
      </x:c>
      <x:c r="AB107" s="176">
        <x:v>1000</x:v>
      </x:c>
      <x:c r="AC107" s="17"/>
    </x:row>
    <x:row r="108" spans="2:29">
      <x:c r="B108" s="46" t="s">
        <x:v>24</x:v>
      </x:c>
      <x:c r="C108" s="60" t="s">
        <x:v>28</x:v>
      </x:c>
      <x:c r="D108" s="80" t="s">
        <x:v>818</x:v>
      </x:c>
      <x:c r="E108" s="80" t="s">
        <x:v>818</x:v>
      </x:c>
      <x:c r="F108" s="80" t="s">
        <x:v>818</x:v>
      </x:c>
      <x:c r="G108" s="80" t="s">
        <x:v>818</x:v>
      </x:c>
      <x:c r="H108" s="80" t="s">
        <x:v>818</x:v>
      </x:c>
      <x:c r="I108" s="80" t="s">
        <x:v>818</x:v>
      </x:c>
      <x:c r="U108" s="189" t="str">
        <x:f t="shared" si="14"/>
        <x:v/>
      </x:c>
      <x:c r="Z108" s="125" t="s">
        <x:v>1242</x:v>
      </x:c>
      <x:c r="AA108" s="123" t="s">
        <x:v>800</x:v>
      </x:c>
      <x:c r="AB108" s="176">
        <x:v>1000000</x:v>
      </x:c>
      <x:c r="AC108" s="17"/>
    </x:row>
    <x:row r="109" spans="2:29">
      <x:c r="B109" s="46" t="s">
        <x:v>1500</x:v>
      </x:c>
      <x:c r="C109" s="60" t="s">
        <x:v>1501</x:v>
      </x:c>
      <x:c r="D109" s="23">
        <x:v>44196</x:v>
      </x:c>
      <x:c r="E109" s="23">
        <x:v>44561</x:v>
      </x:c>
      <x:c r="F109" s="23">
        <x:v>44926</x:v>
      </x:c>
      <x:c r="G109" s="23">
        <x:v>45291</x:v>
      </x:c>
      <x:c r="H109" s="23">
        <x:v>45657</x:v>
      </x:c>
      <x:c r="I109" s="23"/>
      <x:c r="U109" s="188">
        <x:v>1</x:v>
      </x:c>
      <x:c r="Z109" s="125" t="s">
        <x:v>665</x:v>
      </x:c>
      <x:c r="AA109" s="123" t="s">
        <x:v>912</x:v>
      </x:c>
      <x:c r="AB109" s="176">
        <x:v>1000000000</x:v>
      </x:c>
      <x:c r="AC109" s="17"/>
    </x:row>
    <x:row r="110" spans="2:29">
      <x:c r="B110" s="46"/>
      <x:c r="C110" s="60" t="s">
        <x:v>798</x:v>
      </x:c>
      <x:c r="D110" s="80"/>
      <x:c r="E110" s="80"/>
      <x:c r="F110" s="80"/>
      <x:c r="G110" s="80"/>
      <x:c r="H110" s="80"/>
      <x:c r="I110" s="80"/>
      <x:c r="U110" s="188">
        <x:v>1</x:v>
      </x:c>
      <x:c r="Z110" s="126" t="s">
        <x:v>663</x:v>
      </x:c>
      <x:c r="AA110" s="124" t="s">
        <x:v>924</x:v>
      </x:c>
      <x:c r="AB110" s="177">
        <x:v>1000000000000</x:v>
      </x:c>
      <x:c r="AC110" s="17"/>
    </x:row>
    <x:row r="111" spans="2:29">
      <x:c r="B111" s="61" t="s">
        <x:v>1942</x:v>
      </x:c>
      <x:c r="C111" s="60" t="s">
        <x:v>798</x:v>
      </x:c>
      <x:c r="D111" s="80"/>
      <x:c r="E111" s="80"/>
      <x:c r="F111" s="80"/>
      <x:c r="G111" s="80"/>
      <x:c r="H111" s="80"/>
      <x:c r="I111" s="80"/>
      <x:c r="U111" s="188">
        <x:v>1</x:v>
      </x:c>
      <x:c r="AC111" s="17"/>
    </x:row>
    <x:row r="112" spans="2:29">
      <x:c r="B112" s="61" t="s">
        <x:v>560</x:v>
      </x:c>
      <x:c r="C112" s="60" t="s">
        <x:v>798</x:v>
      </x:c>
      <x:c r="D112" s="80"/>
      <x:c r="E112" s="80"/>
      <x:c r="F112" s="80"/>
      <x:c r="G112" s="80"/>
      <x:c r="H112" s="80"/>
      <x:c r="I112" s="80"/>
      <x:c r="U112" s="188">
        <x:v>1</x:v>
      </x:c>
      <x:c r="AC112" s="17"/>
    </x:row>
    <x:row r="113" spans="2:29">
      <x:c r="B113" s="46" t="s">
        <x:v>1776</x:v>
      </x:c>
      <x:c r="C113" s="60" t="s">
        <x:v>2339</x:v>
      </x:c>
      <x:c r="D113" s="80">
        <x:v>13</x:v>
      </x:c>
      <x:c r="E113" s="80">
        <x:v>11</x:v>
      </x:c>
      <x:c r="F113" s="80">
        <x:v>8</x:v>
      </x:c>
      <x:c r="G113" s="80">
        <x:v>6</x:v>
      </x:c>
      <x:c r="H113" s="80">
        <x:v>4</x:v>
      </x:c>
      <x:c r="I113" s="80" t="s">
        <x:v>818</x:v>
      </x:c>
      <x:c r="U113" s="189">
        <x:f t="shared" ref="U113:U119" si="15">IF(COUNT(D113:I113)&lt;&gt;0,1,"")</x:f>
        <x:v>1</x:v>
      </x:c>
      <x:c r="Z113" s="17"/>
      <x:c r="AA113" s="17"/>
      <x:c r="AB113" s="17"/>
      <x:c r="AC113" s="17"/>
    </x:row>
    <x:row r="114" spans="2:29">
      <x:c r="B114" s="46" t="s">
        <x:v>1785</x:v>
      </x:c>
      <x:c r="C114" s="60" t="s">
        <x:v>2317</x:v>
      </x:c>
      <x:c r="D114" s="80">
        <x:v>138</x:v>
      </x:c>
      <x:c r="E114" s="80">
        <x:v>92</x:v>
      </x:c>
      <x:c r="F114" s="80">
        <x:v>109</x:v>
      </x:c>
      <x:c r="G114" s="80">
        <x:v>156</x:v>
      </x:c>
      <x:c r="H114" s="80">
        <x:v>147</x:v>
      </x:c>
      <x:c r="I114" s="80" t="s">
        <x:v>818</x:v>
      </x:c>
      <x:c r="U114" s="189">
        <x:f t="shared" si="15"/>
        <x:v>1</x:v>
      </x:c>
      <x:c r="Z114" s="138" t="s">
        <x:v>2042</x:v>
      </x:c>
      <x:c r="AA114" s="136" t="str">
        <x:f>VLOOKUP(Key_Stats!$I$18,Z115:AA117,2,0)</x:f>
        <x:v>H</x:v>
      </x:c>
      <x:c r="AB114" s="137"/>
      <x:c r="AC114" s="17"/>
    </x:row>
    <x:row r="115" spans="2:29">
      <x:c r="B115" s="46" t="s">
        <x:v>298</x:v>
      </x:c>
      <x:c r="C115" s="60" t="s">
        <x:v>1477</x:v>
      </x:c>
      <x:c r="D115" s="80">
        <x:v>-4</x:v>
      </x:c>
      <x:c r="E115" s="80">
        <x:v>-3</x:v>
      </x:c>
      <x:c r="F115" s="80">
        <x:v>-2</x:v>
      </x:c>
      <x:c r="G115" s="80">
        <x:v>-2</x:v>
      </x:c>
      <x:c r="H115" s="80">
        <x:v>-1</x:v>
      </x:c>
      <x:c r="I115" s="80" t="s">
        <x:v>818</x:v>
      </x:c>
      <x:c r="U115" s="189">
        <x:f t="shared" si="15"/>
        <x:v>1</x:v>
      </x:c>
      <x:c r="Z115" s="208" t="s">
        <x:v>1104</x:v>
      </x:c>
      <x:c r="AA115" s="113" t="s">
        <x:v>930</x:v>
      </x:c>
      <x:c r="AB115" s="123"/>
      <x:c r="AC115" s="17"/>
    </x:row>
    <x:row r="116" spans="2:29">
      <x:c r="B116" s="46" t="s">
        <x:v>2301</x:v>
      </x:c>
      <x:c r="C116" s="60" t="s">
        <x:v>1504</x:v>
      </x:c>
      <x:c r="D116" s="80">
        <x:v>54</x:v>
      </x:c>
      <x:c r="E116" s="80">
        <x:v>71</x:v>
      </x:c>
      <x:c r="F116" s="80">
        <x:v>-1</x:v>
      </x:c>
      <x:c r="G116" s="80">
        <x:v>-32</x:v>
      </x:c>
      <x:c r="H116" s="80">
        <x:v>-30</x:v>
      </x:c>
      <x:c r="I116" s="80" t="s">
        <x:v>818</x:v>
      </x:c>
      <x:c r="U116" s="189">
        <x:f t="shared" si="15"/>
        <x:v>1</x:v>
      </x:c>
      <x:c r="Z116" s="125" t="s">
        <x:v>1101</x:v>
      </x:c>
      <x:c r="AA116" s="113" t="s">
        <x:v>919</x:v>
      </x:c>
      <x:c r="AB116" s="123"/>
      <x:c r="AC116" s="17"/>
    </x:row>
    <x:row r="117" spans="2:28">
      <x:c r="B117" s="46" t="s">
        <x:v>1327</x:v>
      </x:c>
      <x:c r="C117" s="60" t="s">
        <x:v>1505</x:v>
      </x:c>
      <x:c r="D117" s="80">
        <x:v>202</x:v>
      </x:c>
      <x:c r="E117" s="80">
        <x:v>171</x:v>
      </x:c>
      <x:c r="F117" s="80">
        <x:v>115</x:v>
      </x:c>
      <x:c r="G117" s="80">
        <x:v>128</x:v>
      </x:c>
      <x:c r="H117" s="80">
        <x:v>120</x:v>
      </x:c>
      <x:c r="I117" s="80" t="s">
        <x:v>818</x:v>
      </x:c>
      <x:c r="U117" s="189">
        <x:f t="shared" si="15"/>
        <x:v>1</x:v>
      </x:c>
      <x:c r="Z117" s="126" t="s">
        <x:v>2318</x:v>
      </x:c>
      <x:c r="AA117" s="122" t="s">
        <x:v>928</x:v>
      </x:c>
      <x:c r="AB117" s="124"/>
    </x:row>
    <x:row r="118" spans="2:21">
      <x:c r="B118" s="46" t="s">
        <x:v>280</x:v>
      </x:c>
      <x:c r="C118" s="60" t="s">
        <x:v>1328</x:v>
      </x:c>
      <x:c r="D118" s="80" t="s">
        <x:v>818</x:v>
      </x:c>
      <x:c r="E118" s="80" t="s">
        <x:v>818</x:v>
      </x:c>
      <x:c r="F118" s="80" t="s">
        <x:v>818</x:v>
      </x:c>
      <x:c r="G118" s="80" t="s">
        <x:v>818</x:v>
      </x:c>
      <x:c r="H118" s="80" t="s">
        <x:v>818</x:v>
      </x:c>
      <x:c r="I118" s="80" t="s">
        <x:v>818</x:v>
      </x:c>
      <x:c r="U118" s="189" t="str">
        <x:f t="shared" si="15"/>
        <x:v/>
      </x:c>
    </x:row>
    <x:row r="119" spans="2:21">
      <x:c r="B119" s="46" t="s">
        <x:v>1507</x:v>
      </x:c>
      <x:c r="C119" s="60" t="s">
        <x:v>1482</x:v>
      </x:c>
      <x:c r="D119" s="80">
        <x:v>202</x:v>
      </x:c>
      <x:c r="E119" s="80">
        <x:v>171</x:v>
      </x:c>
      <x:c r="F119" s="80">
        <x:v>115</x:v>
      </x:c>
      <x:c r="G119" s="80">
        <x:v>128</x:v>
      </x:c>
      <x:c r="H119" s="80">
        <x:v>120</x:v>
      </x:c>
      <x:c r="I119" s="80" t="s">
        <x:v>818</x:v>
      </x:c>
      <x:c r="U119" s="189">
        <x:f t="shared" si="15"/>
        <x:v>1</x:v>
      </x:c>
    </x:row>
    <x:row r="120" spans="2:21">
      <x:c r="B120" s="61" t="s">
        <x:v>1780</x:v>
      </x:c>
      <x:c r="C120" s="60" t="s">
        <x:v>798</x:v>
      </x:c>
      <x:c r="D120" s="80"/>
      <x:c r="E120" s="80"/>
      <x:c r="F120" s="80"/>
      <x:c r="G120" s="80"/>
      <x:c r="H120" s="80"/>
      <x:c r="I120" s="80"/>
      <x:c r="U120" s="188">
        <x:v>1</x:v>
      </x:c>
    </x:row>
    <x:row r="121" spans="2:21">
      <x:c r="B121" s="46" t="s">
        <x:v>1074</x:v>
      </x:c>
      <x:c r="C121" s="60" t="s">
        <x:v>2319</x:v>
      </x:c>
      <x:c r="D121" s="80">
        <x:v>4687</x:v>
      </x:c>
      <x:c r="E121" s="80">
        <x:v>4547</x:v>
      </x:c>
      <x:c r="F121" s="80">
        <x:v>4042</x:v>
      </x:c>
      <x:c r="G121" s="80">
        <x:v>2900</x:v>
      </x:c>
      <x:c r="H121" s="80">
        <x:v>2819</x:v>
      </x:c>
      <x:c r="I121" s="80" t="s">
        <x:v>818</x:v>
      </x:c>
      <x:c r="U121" s="189">
        <x:f t="shared" ref="U121:U132" si="16">IF(COUNT(D121:I121)&lt;&gt;0,1,"")</x:f>
        <x:v>1</x:v>
      </x:c>
    </x:row>
    <x:row r="122" spans="2:21">
      <x:c r="B122" s="46" t="s">
        <x:v>1761</x:v>
      </x:c>
      <x:c r="C122" s="60" t="s">
        <x:v>1329</x:v>
      </x:c>
      <x:c r="D122" s="80">
        <x:v>13</x:v>
      </x:c>
      <x:c r="E122" s="80">
        <x:v>11</x:v>
      </x:c>
      <x:c r="F122" s="80">
        <x:v>8</x:v>
      </x:c>
      <x:c r="G122" s="80">
        <x:v>6</x:v>
      </x:c>
      <x:c r="H122" s="80">
        <x:v>4</x:v>
      </x:c>
      <x:c r="I122" s="80" t="s">
        <x:v>818</x:v>
      </x:c>
      <x:c r="U122" s="189">
        <x:f t="shared" si="16"/>
        <x:v>1</x:v>
      </x:c>
    </x:row>
    <x:row r="123" spans="2:21">
      <x:c r="B123" s="46" t="s">
        <x:v>1785</x:v>
      </x:c>
      <x:c r="C123" s="60" t="s">
        <x:v>17</x:v>
      </x:c>
      <x:c r="D123" s="80">
        <x:v>138</x:v>
      </x:c>
      <x:c r="E123" s="80">
        <x:v>92</x:v>
      </x:c>
      <x:c r="F123" s="80">
        <x:v>109</x:v>
      </x:c>
      <x:c r="G123" s="80">
        <x:v>156</x:v>
      </x:c>
      <x:c r="H123" s="80">
        <x:v>147</x:v>
      </x:c>
      <x:c r="I123" s="80" t="s">
        <x:v>818</x:v>
      </x:c>
      <x:c r="U123" s="189">
        <x:f t="shared" si="16"/>
        <x:v>1</x:v>
      </x:c>
    </x:row>
    <x:row r="124" spans="2:21">
      <x:c r="B124" s="46" t="s">
        <x:v>578</x:v>
      </x:c>
      <x:c r="C124" s="60" t="s">
        <x:v>968</x:v>
      </x:c>
      <x:c r="D124" s="80">
        <x:v>56</x:v>
      </x:c>
      <x:c r="E124" s="80">
        <x:v>50</x:v>
      </x:c>
      <x:c r="F124" s="80">
        <x:v>43</x:v>
      </x:c>
      <x:c r="G124" s="80">
        <x:v>38</x:v>
      </x:c>
      <x:c r="H124" s="80">
        <x:v>33</x:v>
      </x:c>
      <x:c r="I124" s="80" t="s">
        <x:v>818</x:v>
      </x:c>
      <x:c r="U124" s="189">
        <x:f t="shared" si="16"/>
        <x:v>1</x:v>
      </x:c>
    </x:row>
    <x:row r="125" spans="2:21">
      <x:c r="B125" s="46" t="s">
        <x:v>558</x:v>
      </x:c>
      <x:c r="C125" s="60" t="s">
        <x:v>275</x:v>
      </x:c>
      <x:c r="D125" s="80">
        <x:v>133</x:v>
      </x:c>
      <x:c r="E125" s="80">
        <x:v>-219</x:v>
      </x:c>
      <x:c r="F125" s="80">
        <x:v>-867</x:v>
      </x:c>
      <x:c r="G125" s="80">
        <x:v>16</x:v>
      </x:c>
      <x:c r="H125" s="80">
        <x:v>116</x:v>
      </x:c>
      <x:c r="I125" s="80" t="s">
        <x:v>818</x:v>
      </x:c>
      <x:c r="U125" s="189">
        <x:f t="shared" si="16"/>
        <x:v>1</x:v>
      </x:c>
    </x:row>
    <x:row r="126" spans="2:21">
      <x:c r="B126" s="46" t="s">
        <x:v>1448</x:v>
      </x:c>
      <x:c r="C126" s="60" t="s">
        <x:v>2334</x:v>
      </x:c>
      <x:c r="D126" s="80">
        <x:v>-397</x:v>
      </x:c>
      <x:c r="E126" s="80">
        <x:v>-404</x:v>
      </x:c>
      <x:c r="F126" s="80">
        <x:v>-425</x:v>
      </x:c>
      <x:c r="G126" s="80">
        <x:v>-315</x:v>
      </x:c>
      <x:c r="H126" s="80">
        <x:v>-271</x:v>
      </x:c>
      <x:c r="I126" s="80" t="s">
        <x:v>818</x:v>
      </x:c>
      <x:c r="U126" s="189">
        <x:f t="shared" si="16"/>
        <x:v>1</x:v>
      </x:c>
    </x:row>
    <x:row r="127" spans="2:21">
      <x:c r="B127" s="46" t="s">
        <x:v>2303</x:v>
      </x:c>
      <x:c r="C127" s="60" t="s">
        <x:v>1813</x:v>
      </x:c>
      <x:c r="D127" s="80">
        <x:v>-83</x:v>
      </x:c>
      <x:c r="E127" s="80">
        <x:v>-42</x:v>
      </x:c>
      <x:c r="F127" s="80">
        <x:v>-10</x:v>
      </x:c>
      <x:c r="G127" s="80">
        <x:v>22</x:v>
      </x:c>
      <x:c r="H127" s="80">
        <x:v>-85</x:v>
      </x:c>
      <x:c r="I127" s="80" t="s">
        <x:v>818</x:v>
      </x:c>
      <x:c r="U127" s="189">
        <x:f t="shared" si="16"/>
        <x:v>1</x:v>
      </x:c>
    </x:row>
    <x:row r="128" spans="2:21">
      <x:c r="B128" s="46" t="s">
        <x:v>2304</x:v>
      </x:c>
      <x:c r="C128" s="60" t="s">
        <x:v>2321</x:v>
      </x:c>
      <x:c r="D128" s="80" t="s">
        <x:v>818</x:v>
      </x:c>
      <x:c r="E128" s="80" t="s">
        <x:v>818</x:v>
      </x:c>
      <x:c r="F128" s="80" t="s">
        <x:v>818</x:v>
      </x:c>
      <x:c r="G128" s="80" t="s">
        <x:v>818</x:v>
      </x:c>
      <x:c r="H128" s="80" t="s">
        <x:v>818</x:v>
      </x:c>
      <x:c r="I128" s="80" t="s">
        <x:v>818</x:v>
      </x:c>
      <x:c r="U128" s="189" t="str">
        <x:f t="shared" si="16"/>
        <x:v/>
      </x:c>
    </x:row>
    <x:row r="129" spans="2:21">
      <x:c r="B129" s="46" t="s">
        <x:v>579</x:v>
      </x:c>
      <x:c r="C129" s="60" t="s">
        <x:v>1807</x:v>
      </x:c>
      <x:c r="D129" s="80" t="s">
        <x:v>818</x:v>
      </x:c>
      <x:c r="E129" s="80" t="s">
        <x:v>818</x:v>
      </x:c>
      <x:c r="F129" s="80" t="s">
        <x:v>818</x:v>
      </x:c>
      <x:c r="G129" s="80" t="s">
        <x:v>818</x:v>
      </x:c>
      <x:c r="H129" s="80" t="s">
        <x:v>818</x:v>
      </x:c>
      <x:c r="I129" s="80" t="s">
        <x:v>818</x:v>
      </x:c>
      <x:c r="U129" s="189" t="str">
        <x:f t="shared" si="16"/>
        <x:v/>
      </x:c>
    </x:row>
    <x:row r="130" spans="2:21">
      <x:c r="B130" s="46" t="s">
        <x:v>285</x:v>
      </x:c>
      <x:c r="C130" s="60" t="s">
        <x:v>29</x:v>
      </x:c>
      <x:c r="D130" s="80">
        <x:v>-1</x:v>
      </x:c>
      <x:c r="E130" s="80">
        <x:v>8</x:v>
      </x:c>
      <x:c r="F130" s="80">
        <x:v>-1</x:v>
      </x:c>
      <x:c r="G130" s="80">
        <x:v>-4</x:v>
      </x:c>
      <x:c r="H130" s="80">
        <x:v>-1</x:v>
      </x:c>
      <x:c r="I130" s="80" t="s">
        <x:v>818</x:v>
      </x:c>
      <x:c r="U130" s="189">
        <x:f t="shared" si="16"/>
        <x:v>1</x:v>
      </x:c>
    </x:row>
    <x:row r="131" spans="2:21">
      <x:c r="B131" s="46" t="s">
        <x:v>1323</x:v>
      </x:c>
      <x:c r="C131" s="60" t="s">
        <x:v>1324</x:v>
      </x:c>
      <x:c r="D131" s="80">
        <x:v>4547</x:v>
      </x:c>
      <x:c r="E131" s="80">
        <x:v>4042</x:v>
      </x:c>
      <x:c r="F131" s="80">
        <x:v>2900</x:v>
      </x:c>
      <x:c r="G131" s="80">
        <x:v>2819</x:v>
      </x:c>
      <x:c r="H131" s="80">
        <x:v>2764</x:v>
      </x:c>
      <x:c r="I131" s="80" t="s">
        <x:v>818</x:v>
      </x:c>
      <x:c r="U131" s="189">
        <x:f t="shared" si="16"/>
        <x:v>1</x:v>
      </x:c>
    </x:row>
    <x:row r="132" spans="2:21">
      <x:c r="B132" s="46" t="s">
        <x:v>1325</x:v>
      </x:c>
      <x:c r="C132" s="60" t="s">
        <x:v>1326</x:v>
      </x:c>
      <x:c r="D132" s="80" t="s">
        <x:v>818</x:v>
      </x:c>
      <x:c r="E132" s="80" t="s">
        <x:v>818</x:v>
      </x:c>
      <x:c r="F132" s="80" t="s">
        <x:v>818</x:v>
      </x:c>
      <x:c r="G132" s="80" t="s">
        <x:v>818</x:v>
      </x:c>
      <x:c r="H132" s="80" t="s">
        <x:v>818</x:v>
      </x:c>
      <x:c r="I132" s="80" t="s">
        <x:v>818</x:v>
      </x:c>
      <x:c r="U132" s="189" t="str">
        <x:f t="shared" si="16"/>
        <x:v/>
      </x:c>
    </x:row>
    <x:row r="133" spans="2:21">
      <x:c r="B133" s="61" t="s">
        <x:v>1132</x:v>
      </x:c>
      <x:c r="C133" s="60" t="s">
        <x:v>798</x:v>
      </x:c>
      <x:c r="D133" s="80"/>
      <x:c r="E133" s="80"/>
      <x:c r="F133" s="80"/>
      <x:c r="G133" s="80"/>
      <x:c r="H133" s="80"/>
      <x:c r="I133" s="80"/>
      <x:c r="U133" s="188">
        <x:v>1</x:v>
      </x:c>
    </x:row>
    <x:row r="134" spans="2:21">
      <x:c r="B134" s="46" t="s">
        <x:v>1451</x:v>
      </x:c>
      <x:c r="C134" s="60" t="s">
        <x:v>1515</x:v>
      </x:c>
      <x:c r="D134" s="80">
        <x:v>55</x:v>
      </x:c>
      <x:c r="E134" s="80">
        <x:v>55</x:v>
      </x:c>
      <x:c r="F134" s="80">
        <x:v>39</x:v>
      </x:c>
      <x:c r="G134" s="80">
        <x:v>39</x:v>
      </x:c>
      <x:c r="H134" s="80">
        <x:v>33</x:v>
      </x:c>
      <x:c r="I134" s="80" t="s">
        <x:v>818</x:v>
      </x:c>
      <x:c r="U134" s="189">
        <x:f t="shared" ref="U134:U143" si="17">IF(COUNT(D134:I134)&lt;&gt;0,1,"")</x:f>
        <x:v>1</x:v>
      </x:c>
    </x:row>
    <x:row r="135" spans="2:21">
      <x:c r="B135" s="46" t="s">
        <x:v>1078</x:v>
      </x:c>
      <x:c r="C135" s="60" t="s">
        <x:v>1331</x:v>
      </x:c>
      <x:c r="D135" s="80">
        <x:v>2</x:v>
      </x:c>
      <x:c r="E135" s="80">
        <x:v>-14</x:v>
      </x:c>
      <x:c r="F135" s="80">
        <x:v>3</x:v>
      </x:c>
      <x:c r="G135" s="80">
        <x:v>3</x:v>
      </x:c>
      <x:c r="H135" s="80">
        <x:v>1</x:v>
      </x:c>
      <x:c r="I135" s="80" t="s">
        <x:v>818</x:v>
      </x:c>
      <x:c r="U135" s="189">
        <x:f t="shared" si="17"/>
        <x:v>1</x:v>
      </x:c>
    </x:row>
    <x:row r="136" spans="2:21">
      <x:c r="B136" s="46" t="s">
        <x:v>2282</x:v>
      </x:c>
      <x:c r="C136" s="60" t="s">
        <x:v>299</x:v>
      </x:c>
      <x:c r="D136" s="80">
        <x:v>325</x:v>
      </x:c>
      <x:c r="E136" s="80">
        <x:v>319</x:v>
      </x:c>
      <x:c r="F136" s="80">
        <x:v>344</x:v>
      </x:c>
      <x:c r="G136" s="80">
        <x:v>233</x:v>
      </x:c>
      <x:c r="H136" s="80">
        <x:v>194</x:v>
      </x:c>
      <x:c r="I136" s="80" t="s">
        <x:v>818</x:v>
      </x:c>
      <x:c r="U136" s="189">
        <x:f t="shared" si="17"/>
        <x:v>1</x:v>
      </x:c>
    </x:row>
    <x:row r="137" spans="2:21">
      <x:c r="B137" s="46" t="s">
        <x:v>1766</x:v>
      </x:c>
      <x:c r="C137" s="60" t="s">
        <x:v>300</x:v>
      </x:c>
      <x:c r="D137" s="80">
        <x:v>56</x:v>
      </x:c>
      <x:c r="E137" s="80">
        <x:v>50</x:v>
      </x:c>
      <x:c r="F137" s="80">
        <x:v>43</x:v>
      </x:c>
      <x:c r="G137" s="80">
        <x:v>38</x:v>
      </x:c>
      <x:c r="H137" s="80">
        <x:v>33</x:v>
      </x:c>
      <x:c r="I137" s="80" t="s">
        <x:v>818</x:v>
      </x:c>
      <x:c r="U137" s="189">
        <x:f t="shared" si="17"/>
        <x:v>1</x:v>
      </x:c>
    </x:row>
    <x:row r="138" spans="2:21">
      <x:c r="B138" s="46" t="s">
        <x:v>1994</x:v>
      </x:c>
      <x:c r="C138" s="60" t="s">
        <x:v>1333</x:v>
      </x:c>
      <x:c r="D138" s="80">
        <x:v>-373</x:v>
      </x:c>
      <x:c r="E138" s="80">
        <x:v>-375</x:v>
      </x:c>
      <x:c r="F138" s="80">
        <x:v>-391</x:v>
      </x:c>
      <x:c r="G138" s="80">
        <x:v>-281</x:v>
      </x:c>
      <x:c r="H138" s="80">
        <x:v>-237</x:v>
      </x:c>
      <x:c r="I138" s="80" t="s">
        <x:v>818</x:v>
      </x:c>
      <x:c r="U138" s="189">
        <x:f t="shared" si="17"/>
        <x:v>1</x:v>
      </x:c>
    </x:row>
    <x:row r="139" spans="2:21">
      <x:c r="B139" s="46" t="s">
        <x:v>1079</x:v>
      </x:c>
      <x:c r="C139" s="60" t="s">
        <x:v>2322</x:v>
      </x:c>
      <x:c r="D139" s="80">
        <x:v>-10</x:v>
      </x:c>
      <x:c r="E139" s="80">
        <x:v>6</x:v>
      </x:c>
      <x:c r="F139" s="80">
        <x:v>2</x:v>
      </x:c>
      <x:c r="G139" s="80">
        <x:v>3</x:v>
      </x:c>
      <x:c r="H139" s="80">
        <x:v>-5</x:v>
      </x:c>
      <x:c r="I139" s="80" t="s">
        <x:v>818</x:v>
      </x:c>
      <x:c r="U139" s="189">
        <x:f t="shared" si="17"/>
        <x:v>1</x:v>
      </x:c>
    </x:row>
    <x:row r="140" spans="2:21">
      <x:c r="B140" s="46" t="s">
        <x:v>2307</x:v>
      </x:c>
      <x:c r="C140" s="60" t="s">
        <x:v>1511</x:v>
      </x:c>
      <x:c r="D140" s="80" t="s">
        <x:v>818</x:v>
      </x:c>
      <x:c r="E140" s="80" t="s">
        <x:v>818</x:v>
      </x:c>
      <x:c r="F140" s="80" t="s">
        <x:v>818</x:v>
      </x:c>
      <x:c r="G140" s="80" t="s">
        <x:v>818</x:v>
      </x:c>
      <x:c r="H140" s="80" t="s">
        <x:v>818</x:v>
      </x:c>
      <x:c r="I140" s="80" t="s">
        <x:v>818</x:v>
      </x:c>
      <x:c r="U140" s="189" t="str">
        <x:f t="shared" si="17"/>
        <x:v/>
      </x:c>
    </x:row>
    <x:row r="141" spans="2:21">
      <x:c r="B141" s="46" t="s">
        <x:v>1775</x:v>
      </x:c>
      <x:c r="C141" s="60" t="s">
        <x:v>2337</x:v>
      </x:c>
      <x:c r="D141" s="80" t="s">
        <x:v>818</x:v>
      </x:c>
      <x:c r="E141" s="80" t="s">
        <x:v>818</x:v>
      </x:c>
      <x:c r="F141" s="80" t="s">
        <x:v>818</x:v>
      </x:c>
      <x:c r="G141" s="80" t="s">
        <x:v>818</x:v>
      </x:c>
      <x:c r="H141" s="80" t="s">
        <x:v>818</x:v>
      </x:c>
      <x:c r="I141" s="80" t="s">
        <x:v>818</x:v>
      </x:c>
      <x:c r="U141" s="189" t="str">
        <x:f t="shared" si="17"/>
        <x:v/>
      </x:c>
    </x:row>
    <x:row r="142" spans="2:21">
      <x:c r="B142" s="46" t="s">
        <x:v>2289</x:v>
      </x:c>
      <x:c r="C142" s="60" t="s">
        <x:v>1332</x:v>
      </x:c>
      <x:c r="D142" s="80" t="s">
        <x:v>818</x:v>
      </x:c>
      <x:c r="E142" s="80" t="s">
        <x:v>818</x:v>
      </x:c>
      <x:c r="F142" s="80" t="s">
        <x:v>818</x:v>
      </x:c>
      <x:c r="G142" s="80">
        <x:v>-4</x:v>
      </x:c>
      <x:c r="H142" s="80">
        <x:v>2</x:v>
      </x:c>
      <x:c r="I142" s="80" t="s">
        <x:v>818</x:v>
      </x:c>
      <x:c r="U142" s="189">
        <x:f t="shared" si="17"/>
        <x:v>1</x:v>
      </x:c>
    </x:row>
    <x:row r="143" spans="2:21">
      <x:c r="B143" s="46" t="s">
        <x:v>1454</x:v>
      </x:c>
      <x:c r="C143" s="60" t="s">
        <x:v>2044</x:v>
      </x:c>
      <x:c r="D143" s="80">
        <x:v>55</x:v>
      </x:c>
      <x:c r="E143" s="80">
        <x:v>39</x:v>
      </x:c>
      <x:c r="F143" s="80">
        <x:v>39</x:v>
      </x:c>
      <x:c r="G143" s="80">
        <x:v>33</x:v>
      </x:c>
      <x:c r="H143" s="80">
        <x:v>20</x:v>
      </x:c>
      <x:c r="I143" s="80" t="s">
        <x:v>818</x:v>
      </x:c>
      <x:c r="U143" s="189">
        <x:f t="shared" si="17"/>
        <x:v>1</x:v>
      </x:c>
    </x:row>
    <x:row r="144" spans="2:21">
      <x:c r="B144" s="61" t="s">
        <x:v>69</x:v>
      </x:c>
      <x:c r="C144" s="60" t="s">
        <x:v>798</x:v>
      </x:c>
      <x:c r="D144" s="80"/>
      <x:c r="E144" s="80"/>
      <x:c r="F144" s="80"/>
      <x:c r="G144" s="80"/>
      <x:c r="H144" s="80"/>
      <x:c r="I144" s="80"/>
      <x:c r="U144" s="188">
        <x:v>1</x:v>
      </x:c>
    </x:row>
    <x:row r="145" spans="2:21">
      <x:c r="B145" s="46" t="s">
        <x:v>282</x:v>
      </x:c>
      <x:c r="C145" s="60" t="s">
        <x:v>2324</x:v>
      </x:c>
      <x:c r="D145" s="44" t="s">
        <x:v>818</x:v>
      </x:c>
      <x:c r="E145" s="44" t="s">
        <x:v>818</x:v>
      </x:c>
      <x:c r="F145" s="44" t="s">
        <x:v>818</x:v>
      </x:c>
      <x:c r="G145" s="44" t="s">
        <x:v>818</x:v>
      </x:c>
      <x:c r="H145" s="44" t="s">
        <x:v>818</x:v>
      </x:c>
      <x:c r="I145" s="44" t="s">
        <x:v>818</x:v>
      </x:c>
      <x:c r="U145" s="189" t="str">
        <x:f t="shared" ref="U145:U150" si="18">IF(COUNT(D145:I145)&lt;&gt;0,1,"")</x:f>
        <x:v/>
      </x:c>
    </x:row>
    <x:row r="146" spans="2:21">
      <x:c r="B146" s="46" t="s">
        <x:v>283</x:v>
      </x:c>
      <x:c r="C146" s="60" t="s">
        <x:v>2325</x:v>
      </x:c>
      <x:c r="D146" s="44" t="s">
        <x:v>818</x:v>
      </x:c>
      <x:c r="E146" s="44" t="s">
        <x:v>818</x:v>
      </x:c>
      <x:c r="F146" s="44" t="s">
        <x:v>818</x:v>
      </x:c>
      <x:c r="G146" s="44" t="s">
        <x:v>818</x:v>
      </x:c>
      <x:c r="H146" s="44" t="s">
        <x:v>818</x:v>
      </x:c>
      <x:c r="I146" s="44" t="s">
        <x:v>818</x:v>
      </x:c>
      <x:c r="U146" s="189" t="str">
        <x:f t="shared" si="18"/>
        <x:v/>
      </x:c>
    </x:row>
    <x:row r="147" spans="2:21">
      <x:c r="B147" s="46" t="s">
        <x:v>564</x:v>
      </x:c>
      <x:c r="C147" s="60" t="s">
        <x:v>1334</x:v>
      </x:c>
      <x:c r="D147" s="44" t="s">
        <x:v>818</x:v>
      </x:c>
      <x:c r="E147" s="44" t="s">
        <x:v>818</x:v>
      </x:c>
      <x:c r="F147" s="44" t="s">
        <x:v>818</x:v>
      </x:c>
      <x:c r="G147" s="44" t="s">
        <x:v>818</x:v>
      </x:c>
      <x:c r="H147" s="44" t="s">
        <x:v>818</x:v>
      </x:c>
      <x:c r="I147" s="44" t="s">
        <x:v>818</x:v>
      </x:c>
      <x:c r="U147" s="189" t="str">
        <x:f t="shared" si="18"/>
        <x:v/>
      </x:c>
    </x:row>
    <x:row r="148" spans="2:21">
      <x:c r="B148" s="46" t="s">
        <x:v>559</x:v>
      </x:c>
      <x:c r="C148" s="60" t="s">
        <x:v>1330</x:v>
      </x:c>
      <x:c r="D148" s="44" t="s">
        <x:v>818</x:v>
      </x:c>
      <x:c r="E148" s="44" t="s">
        <x:v>818</x:v>
      </x:c>
      <x:c r="F148" s="44" t="s">
        <x:v>818</x:v>
      </x:c>
      <x:c r="G148" s="44" t="s">
        <x:v>818</x:v>
      </x:c>
      <x:c r="H148" s="44" t="s">
        <x:v>818</x:v>
      </x:c>
      <x:c r="I148" s="44" t="s">
        <x:v>818</x:v>
      </x:c>
      <x:c r="U148" s="189" t="str">
        <x:f t="shared" si="18"/>
        <x:v/>
      </x:c>
    </x:row>
    <x:row r="149" spans="2:21">
      <x:c r="B149" s="46" t="s">
        <x:v>191</x:v>
      </x:c>
      <x:c r="C149" s="60" t="s">
        <x:v>1787</x:v>
      </x:c>
      <x:c r="D149" s="44" t="s">
        <x:v>818</x:v>
      </x:c>
      <x:c r="E149" s="44" t="s">
        <x:v>818</x:v>
      </x:c>
      <x:c r="F149" s="44" t="s">
        <x:v>818</x:v>
      </x:c>
      <x:c r="G149" s="44" t="s">
        <x:v>818</x:v>
      </x:c>
      <x:c r="H149" s="44" t="s">
        <x:v>818</x:v>
      </x:c>
      <x:c r="I149" s="44" t="s">
        <x:v>818</x:v>
      </x:c>
      <x:c r="U149" s="189" t="str">
        <x:f t="shared" si="18"/>
        <x:v/>
      </x:c>
    </x:row>
    <x:row r="150" spans="2:21">
      <x:c r="B150" s="46" t="s">
        <x:v>200</x:v>
      </x:c>
      <x:c r="C150" s="60" t="s">
        <x:v>1794</x:v>
      </x:c>
      <x:c r="D150" s="44" t="s">
        <x:v>818</x:v>
      </x:c>
      <x:c r="E150" s="44" t="s">
        <x:v>818</x:v>
      </x:c>
      <x:c r="F150" s="44" t="s">
        <x:v>818</x:v>
      </x:c>
      <x:c r="G150" s="44" t="s">
        <x:v>818</x:v>
      </x:c>
      <x:c r="H150" s="44" t="s">
        <x:v>818</x:v>
      </x:c>
      <x:c r="I150" s="44" t="s">
        <x:v>818</x:v>
      </x:c>
      <x:c r="U150" s="189" t="str">
        <x:f t="shared" si="18"/>
        <x:v/>
      </x:c>
    </x:row>
    <x:row r="151" spans="2:21">
      <x:c r="B151" s="61" t="s">
        <x:v>1786</x:v>
      </x:c>
      <x:c r="C151" s="60" t="s">
        <x:v>798</x:v>
      </x:c>
      <x:c r="D151" s="80"/>
      <x:c r="E151" s="80"/>
      <x:c r="F151" s="80"/>
      <x:c r="G151" s="80"/>
      <x:c r="H151" s="80"/>
      <x:c r="I151" s="80"/>
      <x:c r="U151" s="188">
        <x:v>1</x:v>
      </x:c>
    </x:row>
    <x:row r="152" spans="2:21">
      <x:c r="B152" s="46" t="s">
        <x:v>1777</x:v>
      </x:c>
      <x:c r="C152" s="60" t="s">
        <x:v>1805</x:v>
      </x:c>
      <x:c r="D152" s="44" t="s">
        <x:v>818</x:v>
      </x:c>
      <x:c r="E152" s="44" t="s">
        <x:v>818</x:v>
      </x:c>
      <x:c r="F152" s="44" t="s">
        <x:v>818</x:v>
      </x:c>
      <x:c r="G152" s="44" t="s">
        <x:v>818</x:v>
      </x:c>
      <x:c r="H152" s="44" t="s">
        <x:v>818</x:v>
      </x:c>
      <x:c r="I152" s="44" t="s">
        <x:v>818</x:v>
      </x:c>
      <x:c r="U152" s="189" t="str">
        <x:f t="shared" ref="U152:U155" si="19">IF(COUNT(D152:I152)&lt;&gt;0,1,"")</x:f>
        <x:v/>
      </x:c>
    </x:row>
    <x:row r="153" spans="2:21">
      <x:c r="B153" s="46" t="s">
        <x:v>1084</x:v>
      </x:c>
      <x:c r="C153" s="60" t="s">
        <x:v>1818</x:v>
      </x:c>
      <x:c r="D153" s="44">
        <x:v>100</x:v>
      </x:c>
      <x:c r="E153" s="44">
        <x:v>100</x:v>
      </x:c>
      <x:c r="F153" s="44">
        <x:v>100</x:v>
      </x:c>
      <x:c r="G153" s="44">
        <x:v>100</x:v>
      </x:c>
      <x:c r="H153" s="44">
        <x:v>100</x:v>
      </x:c>
      <x:c r="I153" s="44" t="s">
        <x:v>818</x:v>
      </x:c>
      <x:c r="U153" s="189">
        <x:f t="shared" si="19"/>
        <x:v>1</x:v>
      </x:c>
    </x:row>
    <x:row r="154" spans="2:21">
      <x:c r="B154" s="46" t="s">
        <x:v>1085</x:v>
      </x:c>
      <x:c r="C154" s="60" t="s">
        <x:v>1797</x:v>
      </x:c>
      <x:c r="D154" s="44" t="s">
        <x:v>818</x:v>
      </x:c>
      <x:c r="E154" s="44" t="s">
        <x:v>818</x:v>
      </x:c>
      <x:c r="F154" s="44" t="s">
        <x:v>818</x:v>
      </x:c>
      <x:c r="G154" s="44" t="s">
        <x:v>818</x:v>
      </x:c>
      <x:c r="H154" s="44" t="s">
        <x:v>818</x:v>
      </x:c>
      <x:c r="I154" s="44" t="s">
        <x:v>818</x:v>
      </x:c>
      <x:c r="U154" s="189" t="str">
        <x:f t="shared" si="19"/>
        <x:v/>
      </x:c>
    </x:row>
    <x:row r="155" spans="2:21">
      <x:c r="B155" s="46" t="s">
        <x:v>2308</x:v>
      </x:c>
      <x:c r="C155" s="60" t="s">
        <x:v>1790</x:v>
      </x:c>
      <x:c r="D155" s="44" t="s">
        <x:v>818</x:v>
      </x:c>
      <x:c r="E155" s="44" t="s">
        <x:v>818</x:v>
      </x:c>
      <x:c r="F155" s="44" t="s">
        <x:v>818</x:v>
      </x:c>
      <x:c r="G155" s="44" t="s">
        <x:v>818</x:v>
      </x:c>
      <x:c r="H155" s="44" t="s">
        <x:v>818</x:v>
      </x:c>
      <x:c r="I155" s="44" t="s">
        <x:v>818</x:v>
      </x:c>
      <x:c r="U155" s="189" t="str">
        <x:f t="shared" si="19"/>
        <x:v/>
      </x:c>
    </x:row>
    <x:row r="156" spans="2:21">
      <x:c r="B156" s="94" t="s">
        <x:v>1786</x:v>
      </x:c>
      <x:c r="C156" s="60" t="s">
        <x:v>798</x:v>
      </x:c>
      <x:c r="D156" s="80"/>
      <x:c r="E156" s="80"/>
      <x:c r="F156" s="80"/>
      <x:c r="G156" s="80"/>
      <x:c r="H156" s="80"/>
      <x:c r="I156" s="80"/>
      <x:c r="U156" s="188">
        <x:v>1</x:v>
      </x:c>
    </x:row>
    <x:row r="157" spans="2:21">
      <x:c r="B157" s="46" t="s">
        <x:v>2284</x:v>
      </x:c>
      <x:c r="C157" s="60" t="s">
        <x:v>2310</x:v>
      </x:c>
      <x:c r="D157" s="80" t="s">
        <x:v>818</x:v>
      </x:c>
      <x:c r="E157" s="80" t="s">
        <x:v>818</x:v>
      </x:c>
      <x:c r="F157" s="80" t="s">
        <x:v>818</x:v>
      </x:c>
      <x:c r="G157" s="80" t="s">
        <x:v>818</x:v>
      </x:c>
      <x:c r="H157" s="80" t="s">
        <x:v>818</x:v>
      </x:c>
      <x:c r="I157" s="80" t="s">
        <x:v>818</x:v>
      </x:c>
      <x:c r="U157" s="189" t="str">
        <x:f t="shared" ref="U157:U160" si="20">IF(COUNT(D157:I157)&lt;&gt;0,1,"")</x:f>
        <x:v/>
      </x:c>
    </x:row>
    <x:row r="158" spans="2:21">
      <x:c r="B158" s="46" t="s">
        <x:v>1773</x:v>
      </x:c>
      <x:c r="C158" s="60" t="s">
        <x:v>2328</x:v>
      </x:c>
      <x:c r="D158" s="80">
        <x:v>55</x:v>
      </x:c>
      <x:c r="E158" s="80">
        <x:v>39</x:v>
      </x:c>
      <x:c r="F158" s="80">
        <x:v>39</x:v>
      </x:c>
      <x:c r="G158" s="80">
        <x:v>33</x:v>
      </x:c>
      <x:c r="H158" s="80">
        <x:v>20</x:v>
      </x:c>
      <x:c r="I158" s="80" t="s">
        <x:v>818</x:v>
      </x:c>
      <x:c r="U158" s="189">
        <x:f t="shared" si="20"/>
        <x:v>1</x:v>
      </x:c>
    </x:row>
    <x:row r="159" spans="2:21">
      <x:c r="B159" s="46" t="s">
        <x:v>1784</x:v>
      </x:c>
      <x:c r="C159" s="60" t="s">
        <x:v>2335</x:v>
      </x:c>
      <x:c r="D159" s="80" t="s">
        <x:v>818</x:v>
      </x:c>
      <x:c r="E159" s="80" t="s">
        <x:v>818</x:v>
      </x:c>
      <x:c r="F159" s="80" t="s">
        <x:v>818</x:v>
      </x:c>
      <x:c r="G159" s="80" t="s">
        <x:v>818</x:v>
      </x:c>
      <x:c r="H159" s="80" t="s">
        <x:v>818</x:v>
      </x:c>
      <x:c r="I159" s="80" t="s">
        <x:v>818</x:v>
      </x:c>
      <x:c r="U159" s="189" t="str">
        <x:f t="shared" si="20"/>
        <x:v/>
      </x:c>
    </x:row>
    <x:row r="160" spans="2:21">
      <x:c r="B160" s="46" t="s">
        <x:v>1493</x:v>
      </x:c>
      <x:c r="C160" s="60" t="s">
        <x:v>2326</x:v>
      </x:c>
      <x:c r="D160" s="80" t="s">
        <x:v>818</x:v>
      </x:c>
      <x:c r="E160" s="80" t="s">
        <x:v>818</x:v>
      </x:c>
      <x:c r="F160" s="80" t="s">
        <x:v>818</x:v>
      </x:c>
      <x:c r="G160" s="80" t="s">
        <x:v>818</x:v>
      </x:c>
      <x:c r="H160" s="80" t="s">
        <x:v>818</x:v>
      </x:c>
      <x:c r="I160" s="80" t="s">
        <x:v>818</x:v>
      </x:c>
      <x:c r="U160" s="189" t="str">
        <x:f t="shared" si="20"/>
        <x:v/>
      </x:c>
    </x:row>
    <x:row r="161" spans="2:21">
      <x:c r="B161" s="61" t="s">
        <x:v>159</x:v>
      </x:c>
      <x:c r="C161" s="60" t="s">
        <x:v>798</x:v>
      </x:c>
      <x:c r="D161" s="80"/>
      <x:c r="E161" s="80"/>
      <x:c r="F161" s="80"/>
      <x:c r="G161" s="80"/>
      <x:c r="H161" s="80"/>
      <x:c r="I161" s="80"/>
      <x:c r="U161" s="188">
        <x:v>1</x:v>
      </x:c>
    </x:row>
    <x:row r="162" spans="2:21">
      <x:c r="B162" s="46" t="s">
        <x:v>286</x:v>
      </x:c>
      <x:c r="C162" s="60" t="s">
        <x:v>2045</x:v>
      </x:c>
      <x:c r="D162" s="80">
        <x:v>919</x:v>
      </x:c>
      <x:c r="E162" s="80">
        <x:v>647</x:v>
      </x:c>
      <x:c r="F162" s="80">
        <x:v>180</x:v>
      </x:c>
      <x:c r="G162" s="80">
        <x:v>196</x:v>
      </x:c>
      <x:c r="H162" s="80">
        <x:v>313</x:v>
      </x:c>
      <x:c r="I162" s="80" t="s">
        <x:v>818</x:v>
      </x:c>
      <x:c r="U162" s="189">
        <x:f t="shared" ref="U162:U166" si="21">IF(COUNT(D162:I162)&lt;&gt;0,1,"")</x:f>
        <x:v>1</x:v>
      </x:c>
    </x:row>
    <x:row r="163" spans="2:21">
      <x:c r="B163" s="46" t="s">
        <x:v>972</x:v>
      </x:c>
      <x:c r="C163" s="60" t="s">
        <x:v>1811</x:v>
      </x:c>
      <x:c r="D163" s="80">
        <x:v>26</x:v>
      </x:c>
      <x:c r="E163" s="80">
        <x:v>22</x:v>
      </x:c>
      <x:c r="F163" s="80">
        <x:v>-379</x:v>
      </x:c>
      <x:c r="G163" s="80">
        <x:v>-351</x:v>
      </x:c>
      <x:c r="H163" s="80">
        <x:v>-322</x:v>
      </x:c>
      <x:c r="I163" s="80" t="s">
        <x:v>818</x:v>
      </x:c>
      <x:c r="U163" s="189">
        <x:f t="shared" si="21"/>
        <x:v>1</x:v>
      </x:c>
    </x:row>
    <x:row r="164" spans="2:21">
      <x:c r="B164" s="46" t="s">
        <x:v>966</x:v>
      </x:c>
      <x:c r="C164" s="60" t="s">
        <x:v>2309</x:v>
      </x:c>
      <x:c r="D164" s="80" t="s">
        <x:v>818</x:v>
      </x:c>
      <x:c r="E164" s="80" t="s">
        <x:v>818</x:v>
      </x:c>
      <x:c r="F164" s="80" t="s">
        <x:v>818</x:v>
      </x:c>
      <x:c r="G164" s="80" t="s">
        <x:v>818</x:v>
      </x:c>
      <x:c r="H164" s="80" t="s">
        <x:v>818</x:v>
      </x:c>
      <x:c r="I164" s="80" t="s">
        <x:v>818</x:v>
      </x:c>
      <x:c r="U164" s="189" t="str">
        <x:f t="shared" si="21"/>
        <x:v/>
      </x:c>
    </x:row>
    <x:row r="165" spans="2:21">
      <x:c r="B165" s="46" t="s">
        <x:v>1087</x:v>
      </x:c>
      <x:c r="C165" s="60" t="s">
        <x:v>1806</x:v>
      </x:c>
      <x:c r="D165" s="80" t="s">
        <x:v>818</x:v>
      </x:c>
      <x:c r="E165" s="80" t="s">
        <x:v>818</x:v>
      </x:c>
      <x:c r="F165" s="80" t="s">
        <x:v>818</x:v>
      </x:c>
      <x:c r="G165" s="80" t="s">
        <x:v>818</x:v>
      </x:c>
      <x:c r="H165" s="80" t="s">
        <x:v>818</x:v>
      </x:c>
      <x:c r="I165" s="80" t="s">
        <x:v>818</x:v>
      </x:c>
      <x:c r="U165" s="189" t="str">
        <x:f t="shared" si="21"/>
        <x:v/>
      </x:c>
    </x:row>
    <x:row r="166" spans="2:21">
      <x:c r="B166" s="46" t="s">
        <x:v>568</x:v>
      </x:c>
      <x:c r="C166" s="60" t="s">
        <x:v>1795</x:v>
      </x:c>
      <x:c r="D166" s="80">
        <x:v>946</x:v>
      </x:c>
      <x:c r="E166" s="80">
        <x:v>669</x:v>
      </x:c>
      <x:c r="F166" s="80">
        <x:v>-199</x:v>
      </x:c>
      <x:c r="G166" s="80">
        <x:v>-154</x:v>
      </x:c>
      <x:c r="H166" s="80">
        <x:v>-9</x:v>
      </x:c>
      <x:c r="I166" s="80" t="s">
        <x:v>818</x:v>
      </x:c>
      <x:c r="U166" s="189">
        <x:f t="shared" si="21"/>
        <x:v>1</x:v>
      </x:c>
    </x:row>
    <x:row r="167" spans="2:21">
      <x:c r="B167" s="61" t="s">
        <x:v>8</x:v>
      </x:c>
      <x:c r="C167" s="60" t="s">
        <x:v>798</x:v>
      </x:c>
      <x:c r="D167" s="80"/>
      <x:c r="E167" s="80"/>
      <x:c r="F167" s="80"/>
      <x:c r="G167" s="80"/>
      <x:c r="H167" s="80"/>
      <x:c r="I167" s="80"/>
      <x:c r="U167" s="188">
        <x:v>1</x:v>
      </x:c>
    </x:row>
    <x:row r="168" spans="2:21">
      <x:c r="B168" s="46" t="s">
        <x:v>54</x:v>
      </x:c>
      <x:c r="C168" s="60" t="s">
        <x:v>1814</x:v>
      </x:c>
      <x:c r="D168" s="80" t="s">
        <x:v>818</x:v>
      </x:c>
      <x:c r="E168" s="80" t="s">
        <x:v>818</x:v>
      </x:c>
      <x:c r="F168" s="80" t="s">
        <x:v>818</x:v>
      </x:c>
      <x:c r="G168" s="80" t="s">
        <x:v>818</x:v>
      </x:c>
      <x:c r="H168" s="80" t="s">
        <x:v>818</x:v>
      </x:c>
      <x:c r="I168" s="80" t="s">
        <x:v>818</x:v>
      </x:c>
      <x:c r="U168" s="189" t="str">
        <x:f t="shared" ref="U168:U171" si="22">IF(COUNT(D168:I168)&lt;&gt;0,1,"")</x:f>
        <x:v/>
      </x:c>
    </x:row>
    <x:row r="169" spans="2:21">
      <x:c r="B169" s="46" t="s">
        <x:v>955</x:v>
      </x:c>
      <x:c r="C169" s="60" t="s">
        <x:v>1528</x:v>
      </x:c>
      <x:c r="D169" s="80" t="s">
        <x:v>818</x:v>
      </x:c>
      <x:c r="E169" s="80" t="s">
        <x:v>818</x:v>
      </x:c>
      <x:c r="F169" s="80" t="s">
        <x:v>818</x:v>
      </x:c>
      <x:c r="G169" s="80" t="s">
        <x:v>818</x:v>
      </x:c>
      <x:c r="H169" s="80" t="s">
        <x:v>818</x:v>
      </x:c>
      <x:c r="I169" s="80" t="s">
        <x:v>818</x:v>
      </x:c>
      <x:c r="U169" s="189" t="str">
        <x:f t="shared" si="22"/>
        <x:v/>
      </x:c>
    </x:row>
    <x:row r="170" spans="2:21">
      <x:c r="B170" s="46" t="s">
        <x:v>75</x:v>
      </x:c>
      <x:c r="C170" s="60" t="s">
        <x:v>2333</x:v>
      </x:c>
      <x:c r="D170" s="80" t="s">
        <x:v>818</x:v>
      </x:c>
      <x:c r="E170" s="80" t="s">
        <x:v>818</x:v>
      </x:c>
      <x:c r="F170" s="80" t="s">
        <x:v>818</x:v>
      </x:c>
      <x:c r="G170" s="80" t="s">
        <x:v>818</x:v>
      </x:c>
      <x:c r="H170" s="80" t="s">
        <x:v>818</x:v>
      </x:c>
      <x:c r="I170" s="80" t="s">
        <x:v>818</x:v>
      </x:c>
      <x:c r="U170" s="189" t="str">
        <x:f t="shared" si="22"/>
        <x:v/>
      </x:c>
    </x:row>
    <x:row r="171" spans="2:21">
      <x:c r="B171" s="46" t="s">
        <x:v>949</x:v>
      </x:c>
      <x:c r="C171" s="60" t="s">
        <x:v>2331</x:v>
      </x:c>
      <x:c r="D171" s="80" t="s">
        <x:v>818</x:v>
      </x:c>
      <x:c r="E171" s="80" t="s">
        <x:v>818</x:v>
      </x:c>
      <x:c r="F171" s="80" t="s">
        <x:v>818</x:v>
      </x:c>
      <x:c r="G171" s="80" t="s">
        <x:v>818</x:v>
      </x:c>
      <x:c r="H171" s="80" t="s">
        <x:v>818</x:v>
      </x:c>
      <x:c r="I171" s="80" t="s">
        <x:v>818</x:v>
      </x:c>
      <x:c r="U171" s="189" t="str">
        <x:f t="shared" si="22"/>
        <x:v/>
      </x:c>
    </x:row>
    <x:row r="172" spans="2:21">
      <x:c r="B172" s="61" t="s">
        <x:v>431</x:v>
      </x:c>
      <x:c r="C172" s="60" t="s">
        <x:v>798</x:v>
      </x:c>
      <x:c r="D172" s="80"/>
      <x:c r="E172" s="80"/>
      <x:c r="F172" s="80"/>
      <x:c r="G172" s="80"/>
      <x:c r="H172" s="80"/>
      <x:c r="I172" s="80"/>
      <x:c r="U172" s="188">
        <x:v>1</x:v>
      </x:c>
    </x:row>
    <x:row r="173" spans="2:21">
      <x:c r="B173" s="46" t="s">
        <x:v>287</x:v>
      </x:c>
      <x:c r="C173" s="60" t="s">
        <x:v>31</x:v>
      </x:c>
      <x:c r="D173" s="44" t="s">
        <x:v>818</x:v>
      </x:c>
      <x:c r="E173" s="44" t="s">
        <x:v>818</x:v>
      </x:c>
      <x:c r="F173" s="44" t="s">
        <x:v>818</x:v>
      </x:c>
      <x:c r="G173" s="44" t="s">
        <x:v>818</x:v>
      </x:c>
      <x:c r="H173" s="44" t="s">
        <x:v>818</x:v>
      </x:c>
      <x:c r="I173" s="44" t="s">
        <x:v>818</x:v>
      </x:c>
      <x:c r="U173" s="189" t="str">
        <x:f t="shared" ref="U173:U176" si="23">IF(COUNT(D173:I173)&lt;&gt;0,1,"")</x:f>
        <x:v/>
      </x:c>
    </x:row>
    <x:row r="174" spans="2:21">
      <x:c r="B174" s="46" t="s">
        <x:v>293</x:v>
      </x:c>
      <x:c r="C174" s="60" t="s">
        <x:v>16</x:v>
      </x:c>
      <x:c r="D174" s="44" t="s">
        <x:v>818</x:v>
      </x:c>
      <x:c r="E174" s="44" t="s">
        <x:v>818</x:v>
      </x:c>
      <x:c r="F174" s="44" t="s">
        <x:v>818</x:v>
      </x:c>
      <x:c r="G174" s="44" t="s">
        <x:v>818</x:v>
      </x:c>
      <x:c r="H174" s="44" t="s">
        <x:v>818</x:v>
      </x:c>
      <x:c r="I174" s="44" t="s">
        <x:v>818</x:v>
      </x:c>
      <x:c r="U174" s="189" t="str">
        <x:f t="shared" si="23"/>
        <x:v/>
      </x:c>
    </x:row>
    <x:row r="175" spans="2:21">
      <x:c r="B175" s="46" t="s">
        <x:v>967</x:v>
      </x:c>
      <x:c r="C175" s="60" t="s">
        <x:v>32</x:v>
      </x:c>
      <x:c r="D175" s="44" t="s">
        <x:v>818</x:v>
      </x:c>
      <x:c r="E175" s="44" t="s">
        <x:v>818</x:v>
      </x:c>
      <x:c r="F175" s="44" t="s">
        <x:v>818</x:v>
      </x:c>
      <x:c r="G175" s="44" t="s">
        <x:v>818</x:v>
      </x:c>
      <x:c r="H175" s="44" t="s">
        <x:v>818</x:v>
      </x:c>
      <x:c r="I175" s="44" t="s">
        <x:v>818</x:v>
      </x:c>
      <x:c r="U175" s="189" t="str">
        <x:f t="shared" si="23"/>
        <x:v/>
      </x:c>
    </x:row>
    <x:row r="176" spans="2:21">
      <x:c r="B176" s="46" t="s">
        <x:v>956</x:v>
      </x:c>
      <x:c r="C176" s="60" t="s">
        <x:v>18</x:v>
      </x:c>
      <x:c r="D176" s="44" t="s">
        <x:v>818</x:v>
      </x:c>
      <x:c r="E176" s="44" t="s">
        <x:v>818</x:v>
      </x:c>
      <x:c r="F176" s="44" t="s">
        <x:v>818</x:v>
      </x:c>
      <x:c r="G176" s="44" t="s">
        <x:v>818</x:v>
      </x:c>
      <x:c r="H176" s="44" t="s">
        <x:v>818</x:v>
      </x:c>
      <x:c r="I176" s="44" t="s">
        <x:v>818</x:v>
      </x:c>
      <x:c r="U176" s="189" t="str">
        <x:f t="shared" si="23"/>
        <x:v/>
      </x:c>
    </x:row>
    <x:row r="177" spans="2:21">
      <x:c r="B177" s="61" t="s">
        <x:v>1090</x:v>
      </x:c>
      <x:c r="C177" s="60" t="s">
        <x:v>798</x:v>
      </x:c>
      <x:c r="D177" s="80"/>
      <x:c r="E177" s="80"/>
      <x:c r="F177" s="80"/>
      <x:c r="G177" s="80"/>
      <x:c r="H177" s="80"/>
      <x:c r="I177" s="80"/>
      <x:c r="U177" s="188">
        <x:v>1</x:v>
      </x:c>
    </x:row>
    <x:row r="178" spans="2:21">
      <x:c r="B178" s="46" t="s">
        <x:v>562</x:v>
      </x:c>
      <x:c r="C178" s="60" t="s">
        <x:v>2327</x:v>
      </x:c>
      <x:c r="D178" s="80">
        <x:v>405</x:v>
      </x:c>
      <x:c r="E178" s="80">
        <x:v>418</x:v>
      </x:c>
      <x:c r="F178" s="80">
        <x:v>366</x:v>
      </x:c>
      <x:c r="G178" s="80">
        <x:v>261</x:v>
      </x:c>
      <x:c r="H178" s="80">
        <x:v>272</x:v>
      </x:c>
      <x:c r="I178" s="80" t="s">
        <x:v>818</x:v>
      </x:c>
      <x:c r="U178" s="189">
        <x:f t="shared" ref="U178:U183" si="24">IF(COUNT(D178:I178)&lt;&gt;0,1,"")</x:f>
        <x:v>1</x:v>
      </x:c>
    </x:row>
    <x:row r="179" spans="2:21">
      <x:c r="B179" s="46" t="s">
        <x:v>570</x:v>
      </x:c>
      <x:c r="C179" s="60" t="s">
        <x:v>2329</x:v>
      </x:c>
      <x:c r="D179" s="80">
        <x:v>420</x:v>
      </x:c>
      <x:c r="E179" s="80">
        <x:v>422</x:v>
      </x:c>
      <x:c r="F179" s="80">
        <x:v>294</x:v>
      </x:c>
      <x:c r="G179" s="80">
        <x:v>260</x:v>
      </x:c>
      <x:c r="H179" s="80">
        <x:v>281</x:v>
      </x:c>
      <x:c r="I179" s="80" t="s">
        <x:v>818</x:v>
      </x:c>
      <x:c r="U179" s="189">
        <x:f t="shared" si="24"/>
        <x:v>1</x:v>
      </x:c>
    </x:row>
    <x:row r="180" spans="2:21">
      <x:c r="B180" s="46" t="s">
        <x:v>565</x:v>
      </x:c>
      <x:c r="C180" s="60" t="s">
        <x:v>2336</x:v>
      </x:c>
      <x:c r="D180" s="80">
        <x:v>423</x:v>
      </x:c>
      <x:c r="E180" s="80">
        <x:v>405</x:v>
      </x:c>
      <x:c r="F180" s="80">
        <x:v>280</x:v>
      </x:c>
      <x:c r="G180" s="80">
        <x:v>259</x:v>
      </x:c>
      <x:c r="H180" s="80">
        <x:v>294</x:v>
      </x:c>
      <x:c r="I180" s="80" t="s">
        <x:v>818</x:v>
      </x:c>
      <x:c r="U180" s="189">
        <x:f t="shared" si="24"/>
        <x:v>1</x:v>
      </x:c>
    </x:row>
    <x:row r="181" spans="2:21">
      <x:c r="B181" s="46" t="s">
        <x:v>566</x:v>
      </x:c>
      <x:c r="C181" s="60" t="s">
        <x:v>2338</x:v>
      </x:c>
      <x:c r="D181" s="80">
        <x:v>408</x:v>
      </x:c>
      <x:c r="E181" s="80">
        <x:v>382</x:v>
      </x:c>
      <x:c r="F181" s="80">
        <x:v>271</x:v>
      </x:c>
      <x:c r="G181" s="80">
        <x:v>255</x:v>
      </x:c>
      <x:c r="H181" s="80">
        <x:v>298</x:v>
      </x:c>
      <x:c r="I181" s="80" t="s">
        <x:v>818</x:v>
      </x:c>
      <x:c r="U181" s="189">
        <x:f t="shared" si="24"/>
        <x:v>1</x:v>
      </x:c>
    </x:row>
    <x:row r="182" spans="2:21">
      <x:c r="B182" s="46" t="s">
        <x:v>573</x:v>
      </x:c>
      <x:c r="C182" s="60" t="s">
        <x:v>2330</x:v>
      </x:c>
      <x:c r="D182" s="80">
        <x:v>384</x:v>
      </x:c>
      <x:c r="E182" s="80">
        <x:v>360</x:v>
      </x:c>
      <x:c r="F182" s="80">
        <x:v>263</x:v>
      </x:c>
      <x:c r="G182" s="80">
        <x:v>281</x:v>
      </x:c>
      <x:c r="H182" s="80">
        <x:v>293</x:v>
      </x:c>
      <x:c r="I182" s="80" t="s">
        <x:v>818</x:v>
      </x:c>
      <x:c r="U182" s="189">
        <x:f t="shared" si="24"/>
        <x:v>1</x:v>
      </x:c>
    </x:row>
    <x:row r="183" spans="2:21">
      <x:c r="B183" s="46" t="s">
        <x:v>292</x:v>
      </x:c>
      <x:c r="C183" s="60" t="s">
        <x:v>1815</x:v>
      </x:c>
      <x:c r="D183" s="80">
        <x:v>1538</x:v>
      </x:c>
      <x:c r="E183" s="80">
        <x:v>1386</x:v>
      </x:c>
      <x:c r="F183" s="80">
        <x:v>1271</x:v>
      </x:c>
      <x:c r="G183" s="80">
        <x:v>1348</x:v>
      </x:c>
      <x:c r="H183" s="80">
        <x:v>1350</x:v>
      </x:c>
      <x:c r="I183" s="80" t="s">
        <x:v>818</x:v>
      </x:c>
      <x:c r="U183" s="189">
        <x:f t="shared" si="24"/>
        <x:v>1</x:v>
      </x:c>
    </x:row>
    <x:row r="184" spans="2:21">
      <x:c r="B184" s="61" t="s">
        <x:v>577</x:v>
      </x:c>
      <x:c r="C184" s="60" t="s">
        <x:v>798</x:v>
      </x:c>
      <x:c r="D184" s="80"/>
      <x:c r="E184" s="80"/>
      <x:c r="F184" s="80"/>
      <x:c r="G184" s="80"/>
      <x:c r="H184" s="80"/>
      <x:c r="I184" s="80"/>
      <x:c r="U184" s="188">
        <x:v>1</x:v>
      </x:c>
    </x:row>
    <x:row r="185" spans="2:21">
      <x:c r="B185" s="46" t="s">
        <x:v>2315</x:v>
      </x:c>
      <x:c r="C185" s="60" t="s">
        <x:v>2340</x:v>
      </x:c>
      <x:c r="D185" s="80" t="s">
        <x:v>818</x:v>
      </x:c>
      <x:c r="E185" s="80" t="s">
        <x:v>818</x:v>
      </x:c>
      <x:c r="F185" s="80" t="s">
        <x:v>818</x:v>
      </x:c>
      <x:c r="G185" s="80" t="s">
        <x:v>818</x:v>
      </x:c>
      <x:c r="H185" s="80" t="s">
        <x:v>818</x:v>
      </x:c>
      <x:c r="I185" s="80" t="s">
        <x:v>818</x:v>
      </x:c>
      <x:c r="U185" s="189" t="str">
        <x:f t="shared" ref="U185:U192" si="25">IF(COUNT(D185:I185)&lt;&gt;0,1,"")</x:f>
        <x:v/>
      </x:c>
    </x:row>
    <x:row r="186" spans="2:21">
      <x:c r="B186" s="46" t="s">
        <x:v>1800</x:v>
      </x:c>
      <x:c r="C186" s="60" t="s">
        <x:v>2311</x:v>
      </x:c>
      <x:c r="D186" s="80" t="s">
        <x:v>818</x:v>
      </x:c>
      <x:c r="E186" s="80" t="s">
        <x:v>818</x:v>
      </x:c>
      <x:c r="F186" s="80" t="s">
        <x:v>818</x:v>
      </x:c>
      <x:c r="G186" s="80" t="s">
        <x:v>818</x:v>
      </x:c>
      <x:c r="H186" s="80" t="s">
        <x:v>818</x:v>
      </x:c>
      <x:c r="I186" s="80" t="s">
        <x:v>818</x:v>
      </x:c>
      <x:c r="U186" s="189" t="str">
        <x:f t="shared" si="25"/>
        <x:v/>
      </x:c>
    </x:row>
    <x:row r="187" spans="2:21">
      <x:c r="B187" s="46" t="s">
        <x:v>1489</x:v>
      </x:c>
      <x:c r="C187" s="60" t="s">
        <x:v>2312</x:v>
      </x:c>
      <x:c r="D187" s="80" t="s">
        <x:v>818</x:v>
      </x:c>
      <x:c r="E187" s="80" t="s">
        <x:v>818</x:v>
      </x:c>
      <x:c r="F187" s="80" t="s">
        <x:v>818</x:v>
      </x:c>
      <x:c r="G187" s="80" t="s">
        <x:v>818</x:v>
      </x:c>
      <x:c r="H187" s="80" t="s">
        <x:v>818</x:v>
      </x:c>
      <x:c r="I187" s="80" t="s">
        <x:v>818</x:v>
      </x:c>
      <x:c r="U187" s="189" t="str">
        <x:f t="shared" si="25"/>
        <x:v/>
      </x:c>
    </x:row>
    <x:row r="188" spans="2:21">
      <x:c r="B188" s="46" t="s">
        <x:v>1803</x:v>
      </x:c>
      <x:c r="C188" s="60" t="s">
        <x:v>2353</x:v>
      </x:c>
      <x:c r="D188" s="80" t="s">
        <x:v>818</x:v>
      </x:c>
      <x:c r="E188" s="80" t="s">
        <x:v>818</x:v>
      </x:c>
      <x:c r="F188" s="80" t="s">
        <x:v>818</x:v>
      </x:c>
      <x:c r="G188" s="80" t="s">
        <x:v>818</x:v>
      </x:c>
      <x:c r="H188" s="80" t="s">
        <x:v>818</x:v>
      </x:c>
      <x:c r="I188" s="80" t="s">
        <x:v>818</x:v>
      </x:c>
      <x:c r="U188" s="189" t="str">
        <x:f t="shared" si="25"/>
        <x:v/>
      </x:c>
    </x:row>
    <x:row r="189" spans="2:21">
      <x:c r="B189" s="46" t="s">
        <x:v>1480</x:v>
      </x:c>
      <x:c r="C189" s="60" t="s">
        <x:v>1525</x:v>
      </x:c>
      <x:c r="D189" s="80" t="s">
        <x:v>818</x:v>
      </x:c>
      <x:c r="E189" s="80" t="s">
        <x:v>818</x:v>
      </x:c>
      <x:c r="F189" s="80" t="s">
        <x:v>818</x:v>
      </x:c>
      <x:c r="G189" s="80" t="s">
        <x:v>818</x:v>
      </x:c>
      <x:c r="H189" s="80" t="s">
        <x:v>818</x:v>
      </x:c>
      <x:c r="I189" s="80" t="s">
        <x:v>818</x:v>
      </x:c>
      <x:c r="U189" s="189" t="str">
        <x:f t="shared" si="25"/>
        <x:v/>
      </x:c>
    </x:row>
    <x:row r="190" spans="2:21">
      <x:c r="B190" s="46" t="s">
        <x:v>1506</x:v>
      </x:c>
      <x:c r="C190" s="60" t="s">
        <x:v>666</x:v>
      </x:c>
      <x:c r="D190" s="80">
        <x:v>-392</x:v>
      </x:c>
      <x:c r="E190" s="80">
        <x:v>-383</x:v>
      </x:c>
      <x:c r="F190" s="80">
        <x:v>-323</x:v>
      </x:c>
      <x:c r="G190" s="80">
        <x:v>-219</x:v>
      </x:c>
      <x:c r="H190" s="80">
        <x:v>-238</x:v>
      </x:c>
      <x:c r="I190" s="80" t="s">
        <x:v>818</x:v>
      </x:c>
      <x:c r="U190" s="189">
        <x:f t="shared" si="25"/>
        <x:v>1</x:v>
      </x:c>
    </x:row>
    <x:row r="191" spans="2:21">
      <x:c r="B191" s="46" t="s">
        <x:v>2314</x:v>
      </x:c>
      <x:c r="C191" s="60" t="s">
        <x:v>2046</x:v>
      </x:c>
      <x:c r="D191" s="80">
        <x:v>-4100</x:v>
      </x:c>
      <x:c r="E191" s="80">
        <x:v>-3619</x:v>
      </x:c>
      <x:c r="F191" s="80">
        <x:v>-2538</x:v>
      </x:c>
      <x:c r="G191" s="80">
        <x:v>-2569</x:v>
      </x:c>
      <x:c r="H191" s="80">
        <x:v>-2506</x:v>
      </x:c>
      <x:c r="I191" s="80" t="s">
        <x:v>818</x:v>
      </x:c>
      <x:c r="U191" s="189">
        <x:f t="shared" si="25"/>
        <x:v>1</x:v>
      </x:c>
    </x:row>
    <x:row r="192" spans="2:21">
      <x:c r="B192" s="46" t="s">
        <x:v>1812</x:v>
      </x:c>
      <x:c r="C192" s="60" t="s">
        <x:v>2019</x:v>
      </x:c>
      <x:c r="D192" s="80" t="s">
        <x:v>818</x:v>
      </x:c>
      <x:c r="E192" s="80" t="s">
        <x:v>818</x:v>
      </x:c>
      <x:c r="F192" s="80" t="s">
        <x:v>818</x:v>
      </x:c>
      <x:c r="G192" s="80" t="s">
        <x:v>818</x:v>
      </x:c>
      <x:c r="H192" s="80" t="s">
        <x:v>818</x:v>
      </x:c>
      <x:c r="I192" s="80" t="s">
        <x:v>818</x:v>
      </x:c>
      <x:c r="U192" s="189" t="str">
        <x:f t="shared" si="25"/>
        <x:v/>
      </x:c>
    </x:row>
    <x:row r="193" spans="2:21">
      <x:c r="B193" s="61" t="s">
        <x:v>84</x:v>
      </x:c>
      <x:c r="C193" s="60" t="s">
        <x:v>798</x:v>
      </x:c>
      <x:c r="D193" s="80"/>
      <x:c r="E193" s="80"/>
      <x:c r="F193" s="80"/>
      <x:c r="G193" s="80"/>
      <x:c r="H193" s="80"/>
      <x:c r="I193" s="80"/>
      <x:c r="U193" s="188">
        <x:v>1</x:v>
      </x:c>
    </x:row>
    <x:row r="194" spans="2:21">
      <x:c r="B194" s="46" t="s">
        <x:v>15</x:v>
      </x:c>
      <x:c r="C194" s="60" t="s">
        <x:v>2359</x:v>
      </x:c>
      <x:c r="D194" s="80" t="s">
        <x:v>818</x:v>
      </x:c>
      <x:c r="E194" s="80" t="s">
        <x:v>818</x:v>
      </x:c>
      <x:c r="F194" s="80" t="s">
        <x:v>818</x:v>
      </x:c>
      <x:c r="G194" s="80" t="s">
        <x:v>818</x:v>
      </x:c>
      <x:c r="H194" s="80" t="s">
        <x:v>818</x:v>
      </x:c>
      <x:c r="I194" s="80" t="s">
        <x:v>818</x:v>
      </x:c>
      <x:c r="U194" s="189" t="str">
        <x:f t="shared" ref="U194:U196" si="26">IF(COUNT(D194:I194)&lt;&gt;0,1,"")</x:f>
        <x:v/>
      </x:c>
    </x:row>
    <x:row r="195" spans="2:21">
      <x:c r="B195" s="46" t="s">
        <x:v>295</x:v>
      </x:c>
      <x:c r="C195" s="60" t="s">
        <x:v>1517</x:v>
      </x:c>
      <x:c r="D195" s="80" t="s">
        <x:v>818</x:v>
      </x:c>
      <x:c r="E195" s="80" t="s">
        <x:v>818</x:v>
      </x:c>
      <x:c r="F195" s="80" t="s">
        <x:v>818</x:v>
      </x:c>
      <x:c r="G195" s="80" t="s">
        <x:v>818</x:v>
      </x:c>
      <x:c r="H195" s="80" t="s">
        <x:v>818</x:v>
      </x:c>
      <x:c r="I195" s="80" t="s">
        <x:v>818</x:v>
      </x:c>
      <x:c r="U195" s="189" t="str">
        <x:f t="shared" si="26"/>
        <x:v/>
      </x:c>
    </x:row>
    <x:row r="196" spans="2:21">
      <x:c r="B196" s="46" t="s">
        <x:v>67</x:v>
      </x:c>
      <x:c r="C196" s="60" t="s">
        <x:v>2368</x:v>
      </x:c>
      <x:c r="D196" s="80">
        <x:v>-4492</x:v>
      </x:c>
      <x:c r="E196" s="80">
        <x:v>-4002</x:v>
      </x:c>
      <x:c r="F196" s="80">
        <x:v>-2860</x:v>
      </x:c>
      <x:c r="G196" s="80">
        <x:v>-2788</x:v>
      </x:c>
      <x:c r="H196" s="80">
        <x:v>-2744</x:v>
      </x:c>
      <x:c r="I196" s="80" t="s">
        <x:v>818</x:v>
      </x:c>
      <x:c r="U196" s="189">
        <x:f t="shared" si="26"/>
        <x:v>1</x:v>
      </x:c>
    </x:row>
    <x:row r="197" spans="2:21">
      <x:c r="B197" s="61" t="s">
        <x:v>1335</x:v>
      </x:c>
      <x:c r="C197" s="60" t="s">
        <x:v>798</x:v>
      </x:c>
      <x:c r="D197" s="80"/>
      <x:c r="E197" s="80"/>
      <x:c r="F197" s="80"/>
      <x:c r="G197" s="80"/>
      <x:c r="H197" s="80"/>
      <x:c r="I197" s="80"/>
      <x:c r="U197" s="188">
        <x:v>1</x:v>
      </x:c>
    </x:row>
    <x:row r="198" spans="2:21">
      <x:c r="B198" s="46" t="s">
        <x:v>189</x:v>
      </x:c>
      <x:c r="C198" s="60" t="s">
        <x:v>960</x:v>
      </x:c>
      <x:c r="D198" s="80" t="s">
        <x:v>818</x:v>
      </x:c>
      <x:c r="E198" s="80" t="s">
        <x:v>818</x:v>
      </x:c>
      <x:c r="F198" s="80" t="s">
        <x:v>818</x:v>
      </x:c>
      <x:c r="G198" s="80" t="s">
        <x:v>818</x:v>
      </x:c>
      <x:c r="H198" s="80" t="s">
        <x:v>818</x:v>
      </x:c>
      <x:c r="I198" s="80" t="s">
        <x:v>818</x:v>
      </x:c>
      <x:c r="U198" s="189" t="str">
        <x:f t="shared" ref="U198:U201" si="27">IF(COUNT(D198:I198)&lt;&gt;0,1,"")</x:f>
        <x:v/>
      </x:c>
    </x:row>
    <x:row r="199" spans="2:21">
      <x:c r="B199" s="46" t="s">
        <x:v>1793</x:v>
      </x:c>
      <x:c r="C199" s="60" t="s">
        <x:v>1791</x:v>
      </x:c>
      <x:c r="D199" s="80" t="s">
        <x:v>818</x:v>
      </x:c>
      <x:c r="E199" s="80" t="s">
        <x:v>818</x:v>
      </x:c>
      <x:c r="F199" s="80" t="s">
        <x:v>818</x:v>
      </x:c>
      <x:c r="G199" s="80" t="s">
        <x:v>818</x:v>
      </x:c>
      <x:c r="H199" s="80" t="s">
        <x:v>818</x:v>
      </x:c>
      <x:c r="I199" s="80" t="s">
        <x:v>818</x:v>
      </x:c>
      <x:c r="U199" s="189" t="str">
        <x:f t="shared" si="27"/>
        <x:v/>
      </x:c>
    </x:row>
    <x:row r="200" spans="2:21">
      <x:c r="B200" s="46" t="s">
        <x:v>193</x:v>
      </x:c>
      <x:c r="C200" s="60" t="s">
        <x:v>969</x:v>
      </x:c>
      <x:c r="D200" s="80" t="s">
        <x:v>818</x:v>
      </x:c>
      <x:c r="E200" s="80" t="s">
        <x:v>818</x:v>
      </x:c>
      <x:c r="F200" s="80" t="s">
        <x:v>818</x:v>
      </x:c>
      <x:c r="G200" s="80" t="s">
        <x:v>818</x:v>
      </x:c>
      <x:c r="H200" s="80" t="s">
        <x:v>818</x:v>
      </x:c>
      <x:c r="I200" s="80" t="s">
        <x:v>818</x:v>
      </x:c>
      <x:c r="U200" s="189" t="str">
        <x:f t="shared" si="27"/>
        <x:v/>
      </x:c>
    </x:row>
    <x:row r="201" spans="2:21">
      <x:c r="B201" s="46" t="s">
        <x:v>1817</x:v>
      </x:c>
      <x:c r="C201" s="60" t="s">
        <x:v>1796</x:v>
      </x:c>
      <x:c r="D201" s="80" t="s">
        <x:v>818</x:v>
      </x:c>
      <x:c r="E201" s="80" t="s">
        <x:v>818</x:v>
      </x:c>
      <x:c r="F201" s="80" t="s">
        <x:v>818</x:v>
      </x:c>
      <x:c r="G201" s="80" t="s">
        <x:v>818</x:v>
      </x:c>
      <x:c r="H201" s="80" t="s">
        <x:v>818</x:v>
      </x:c>
      <x:c r="I201" s="80" t="s">
        <x:v>818</x:v>
      </x:c>
      <x:c r="U201" s="189" t="str">
        <x:f t="shared" si="27"/>
        <x:v/>
      </x:c>
    </x:row>
    <x:row r="202" spans="2:21">
      <x:c r="B202" s="61" t="s">
        <x:v>957</x:v>
      </x:c>
      <x:c r="C202" s="60" t="s">
        <x:v>798</x:v>
      </x:c>
      <x:c r="D202" s="80"/>
      <x:c r="E202" s="80"/>
      <x:c r="F202" s="80"/>
      <x:c r="G202" s="80"/>
      <x:c r="H202" s="80"/>
      <x:c r="I202" s="80"/>
      <x:c r="U202" s="188">
        <x:v>1</x:v>
      </x:c>
    </x:row>
    <x:row r="203" spans="2:21">
      <x:c r="B203" s="46" t="s">
        <x:v>301</x:v>
      </x:c>
      <x:c r="C203" s="60" t="s">
        <x:v>25</x:v>
      </x:c>
      <x:c r="D203" s="80" t="s">
        <x:v>818</x:v>
      </x:c>
      <x:c r="E203" s="80" t="s">
        <x:v>818</x:v>
      </x:c>
      <x:c r="F203" s="80" t="s">
        <x:v>818</x:v>
      </x:c>
      <x:c r="G203" s="80" t="s">
        <x:v>818</x:v>
      </x:c>
      <x:c r="H203" s="80" t="s">
        <x:v>818</x:v>
      </x:c>
      <x:c r="I203" s="80" t="s">
        <x:v>818</x:v>
      </x:c>
      <x:c r="U203" s="189" t="str">
        <x:f t="shared" ref="U203:U204" si="28">IF(COUNT(D203:I203)&lt;&gt;0,1,"")</x:f>
        <x:v/>
      </x:c>
    </x:row>
    <x:row r="204" spans="2:21">
      <x:c r="B204" s="46" t="s">
        <x:v>272</x:v>
      </x:c>
      <x:c r="C204" s="60" t="s">
        <x:v>9</x:v>
      </x:c>
      <x:c r="D204" s="80" t="s">
        <x:v>818</x:v>
      </x:c>
      <x:c r="E204" s="80" t="s">
        <x:v>818</x:v>
      </x:c>
      <x:c r="F204" s="80" t="s">
        <x:v>818</x:v>
      </x:c>
      <x:c r="G204" s="80" t="s">
        <x:v>818</x:v>
      </x:c>
      <x:c r="H204" s="80" t="s">
        <x:v>818</x:v>
      </x:c>
      <x:c r="I204" s="80" t="s">
        <x:v>818</x:v>
      </x:c>
      <x:c r="U204" s="189" t="str">
        <x:f t="shared" si="28"/>
        <x:v/>
      </x:c>
    </x:row>
    <x:row r="205" spans="2:21">
      <x:c r="B205" s="46" t="s">
        <x:v>1500</x:v>
      </x:c>
      <x:c r="C205" s="60" t="s">
        <x:v>1501</x:v>
      </x:c>
      <x:c r="D205" s="23">
        <x:v>44196</x:v>
      </x:c>
      <x:c r="E205" s="23">
        <x:v>44561</x:v>
      </x:c>
      <x:c r="F205" s="23">
        <x:v>44926</x:v>
      </x:c>
      <x:c r="G205" s="23">
        <x:v>45291</x:v>
      </x:c>
      <x:c r="H205" s="23">
        <x:v>45657</x:v>
      </x:c>
      <x:c r="I205" s="23"/>
      <x:c r="U205" s="188">
        <x:v>1</x:v>
      </x:c>
    </x:row>
    <x:row r="206" spans="2:21">
      <x:c r="B206" s="46"/>
      <x:c r="C206" s="60" t="s">
        <x:v>798</x:v>
      </x:c>
      <x:c r="D206" s="80"/>
      <x:c r="E206" s="80"/>
      <x:c r="F206" s="80"/>
      <x:c r="G206" s="80"/>
      <x:c r="H206" s="80"/>
      <x:c r="I206" s="80"/>
      <x:c r="U206" s="188">
        <x:v>1</x:v>
      </x:c>
    </x:row>
    <x:row r="207" spans="2:21">
      <x:c r="B207" s="61" t="s">
        <x:v>1519</x:v>
      </x:c>
      <x:c r="C207" s="60" t="s">
        <x:v>798</x:v>
      </x:c>
      <x:c r="D207" s="80"/>
      <x:c r="E207" s="80"/>
      <x:c r="F207" s="80"/>
      <x:c r="G207" s="80"/>
      <x:c r="H207" s="80"/>
      <x:c r="I207" s="80"/>
      <x:c r="U207" s="188">
        <x:v>1</x:v>
      </x:c>
    </x:row>
    <x:row r="208" spans="2:21">
      <x:c r="B208" s="61" t="s">
        <x:v>560</x:v>
      </x:c>
      <x:c r="C208" s="60" t="s">
        <x:v>798</x:v>
      </x:c>
      <x:c r="D208" s="80"/>
      <x:c r="E208" s="80"/>
      <x:c r="F208" s="80"/>
      <x:c r="G208" s="80"/>
      <x:c r="H208" s="80"/>
      <x:c r="I208" s="80"/>
      <x:c r="U208" s="188">
        <x:v>1</x:v>
      </x:c>
    </x:row>
    <x:row r="209" spans="2:21">
      <x:c r="B209" s="46" t="s">
        <x:v>1776</x:v>
      </x:c>
      <x:c r="C209" s="60" t="s">
        <x:v>1798</x:v>
      </x:c>
      <x:c r="D209" s="80" t="s">
        <x:v>818</x:v>
      </x:c>
      <x:c r="E209" s="80" t="s">
        <x:v>818</x:v>
      </x:c>
      <x:c r="F209" s="80" t="s">
        <x:v>818</x:v>
      </x:c>
      <x:c r="G209" s="80" t="s">
        <x:v>818</x:v>
      </x:c>
      <x:c r="H209" s="80">
        <x:v>394</x:v>
      </x:c>
      <x:c r="I209" s="80" t="s">
        <x:v>818</x:v>
      </x:c>
      <x:c r="U209" s="189">
        <x:f t="shared" ref="U209:U215" si="29">IF(COUNT(D209:I209)&lt;&gt;0,1,"")</x:f>
        <x:v>1</x:v>
      </x:c>
    </x:row>
    <x:row r="210" spans="2:21">
      <x:c r="B210" s="46" t="s">
        <x:v>1785</x:v>
      </x:c>
      <x:c r="C210" s="60" t="s">
        <x:v>1339</x:v>
      </x:c>
      <x:c r="D210" s="80">
        <x:v>1501</x:v>
      </x:c>
      <x:c r="E210" s="80">
        <x:v>1109</x:v>
      </x:c>
      <x:c r="F210" s="80">
        <x:v>1129</x:v>
      </x:c>
      <x:c r="G210" s="80">
        <x:v>1090</x:v>
      </x:c>
      <x:c r="H210" s="80">
        <x:v>911</x:v>
      </x:c>
      <x:c r="I210" s="80" t="s">
        <x:v>818</x:v>
      </x:c>
      <x:c r="U210" s="189">
        <x:f t="shared" si="29"/>
        <x:v>1</x:v>
      </x:c>
    </x:row>
    <x:row r="211" spans="2:21">
      <x:c r="B211" s="46" t="s">
        <x:v>1425</x:v>
      </x:c>
      <x:c r="C211" s="60" t="s">
        <x:v>1337</x:v>
      </x:c>
      <x:c r="D211" s="80">
        <x:v>-2169</x:v>
      </x:c>
      <x:c r="E211" s="80">
        <x:v>-1802</x:v>
      </x:c>
      <x:c r="F211" s="80">
        <x:v>-1729</x:v>
      </x:c>
      <x:c r="G211" s="80">
        <x:v>-1529</x:v>
      </x:c>
      <x:c r="H211" s="80">
        <x:v>-1253</x:v>
      </x:c>
      <x:c r="I211" s="80" t="s">
        <x:v>818</x:v>
      </x:c>
      <x:c r="U211" s="189">
        <x:f t="shared" si="29"/>
        <x:v>1</x:v>
      </x:c>
    </x:row>
    <x:row r="212" spans="2:21">
      <x:c r="B212" s="46" t="s">
        <x:v>2301</x:v>
      </x:c>
      <x:c r="C212" s="60" t="s">
        <x:v>273</x:v>
      </x:c>
      <x:c r="D212" s="80">
        <x:v>845</x:v>
      </x:c>
      <x:c r="E212" s="80">
        <x:v>1012</x:v>
      </x:c>
      <x:c r="F212" s="80">
        <x:v>6458</x:v>
      </x:c>
      <x:c r="G212" s="80">
        <x:v>109</x:v>
      </x:c>
      <x:c r="H212" s="80">
        <x:v>3213</x:v>
      </x:c>
      <x:c r="I212" s="80" t="s">
        <x:v>818</x:v>
      </x:c>
      <x:c r="U212" s="189">
        <x:f t="shared" si="29"/>
        <x:v>1</x:v>
      </x:c>
    </x:row>
    <x:row r="213" spans="2:21">
      <x:c r="B213" s="46" t="s">
        <x:v>2298</x:v>
      </x:c>
      <x:c r="C213" s="60" t="s">
        <x:v>327</x:v>
      </x:c>
      <x:c r="D213" s="80">
        <x:v>178</x:v>
      </x:c>
      <x:c r="E213" s="80">
        <x:v>319</x:v>
      </x:c>
      <x:c r="F213" s="80">
        <x:v>5857</x:v>
      </x:c>
      <x:c r="G213" s="80">
        <x:v>-329</x:v>
      </x:c>
      <x:c r="H213" s="80">
        <x:v>3265</x:v>
      </x:c>
      <x:c r="I213" s="80" t="s">
        <x:v>818</x:v>
      </x:c>
      <x:c r="U213" s="189">
        <x:f t="shared" si="29"/>
        <x:v>1</x:v>
      </x:c>
    </x:row>
    <x:row r="214" spans="2:21">
      <x:c r="B214" s="46" t="s">
        <x:v>280</x:v>
      </x:c>
      <x:c r="C214" s="60" t="s">
        <x:v>192</x:v>
      </x:c>
      <x:c r="D214" s="80" t="s">
        <x:v>818</x:v>
      </x:c>
      <x:c r="E214" s="80" t="s">
        <x:v>818</x:v>
      </x:c>
      <x:c r="F214" s="80" t="s">
        <x:v>818</x:v>
      </x:c>
      <x:c r="G214" s="80" t="s">
        <x:v>818</x:v>
      </x:c>
      <x:c r="H214" s="80" t="s">
        <x:v>818</x:v>
      </x:c>
      <x:c r="I214" s="80" t="s">
        <x:v>818</x:v>
      </x:c>
      <x:c r="U214" s="189" t="str">
        <x:f t="shared" si="29"/>
        <x:v/>
      </x:c>
    </x:row>
    <x:row r="215" spans="2:21">
      <x:c r="B215" s="46" t="s">
        <x:v>961</x:v>
      </x:c>
      <x:c r="C215" s="60" t="s">
        <x:v>432</x:v>
      </x:c>
      <x:c r="D215" s="80" t="s">
        <x:v>818</x:v>
      </x:c>
      <x:c r="E215" s="80" t="s">
        <x:v>818</x:v>
      </x:c>
      <x:c r="F215" s="80" t="s">
        <x:v>818</x:v>
      </x:c>
      <x:c r="G215" s="80" t="s">
        <x:v>818</x:v>
      </x:c>
      <x:c r="H215" s="80" t="s">
        <x:v>818</x:v>
      </x:c>
      <x:c r="I215" s="80" t="s">
        <x:v>818</x:v>
      </x:c>
      <x:c r="U215" s="189" t="str">
        <x:f t="shared" si="29"/>
        <x:v/>
      </x:c>
    </x:row>
    <x:row r="216" spans="2:21">
      <x:c r="B216" s="61" t="s">
        <x:v>1780</x:v>
      </x:c>
      <x:c r="C216" s="60" t="s">
        <x:v>798</x:v>
      </x:c>
      <x:c r="D216" s="80"/>
      <x:c r="E216" s="80"/>
      <x:c r="F216" s="80"/>
      <x:c r="G216" s="80"/>
      <x:c r="H216" s="80"/>
      <x:c r="I216" s="80"/>
      <x:c r="U216" s="188">
        <x:v>1</x:v>
      </x:c>
    </x:row>
    <x:row r="217" spans="2:21">
      <x:c r="B217" s="46" t="s">
        <x:v>1074</x:v>
      </x:c>
      <x:c r="C217" s="60" t="s">
        <x:v>1336</x:v>
      </x:c>
      <x:c r="D217" s="80">
        <x:v>50232</x:v>
      </x:c>
      <x:c r="E217" s="80">
        <x:v>52237</x:v>
      </x:c>
      <x:c r="F217" s="80">
        <x:v>48182</x:v>
      </x:c>
      <x:c r="G217" s="80">
        <x:v>21493</x:v>
      </x:c>
      <x:c r="H217" s="80">
        <x:v>21235</x:v>
      </x:c>
      <x:c r="I217" s="80" t="s">
        <x:v>818</x:v>
      </x:c>
      <x:c r="U217" s="189">
        <x:f t="shared" ref="U217:U228" si="30">IF(COUNT(D217:I217)&lt;&gt;0,1,"")</x:f>
        <x:v>1</x:v>
      </x:c>
    </x:row>
    <x:row r="218" spans="2:21">
      <x:c r="B218" s="46" t="s">
        <x:v>1776</x:v>
      </x:c>
      <x:c r="C218" s="60" t="s">
        <x:v>333</x:v>
      </x:c>
      <x:c r="D218" s="80" t="s">
        <x:v>818</x:v>
      </x:c>
      <x:c r="E218" s="80" t="s">
        <x:v>818</x:v>
      </x:c>
      <x:c r="F218" s="80" t="s">
        <x:v>818</x:v>
      </x:c>
      <x:c r="G218" s="80" t="s">
        <x:v>818</x:v>
      </x:c>
      <x:c r="H218" s="80">
        <x:v>394</x:v>
      </x:c>
      <x:c r="I218" s="80" t="s">
        <x:v>818</x:v>
      </x:c>
      <x:c r="U218" s="189">
        <x:f t="shared" si="30"/>
        <x:v>1</x:v>
      </x:c>
    </x:row>
    <x:row r="219" spans="2:21">
      <x:c r="B219" s="46" t="s">
        <x:v>1785</x:v>
      </x:c>
      <x:c r="C219" s="60" t="s">
        <x:v>308</x:v>
      </x:c>
      <x:c r="D219" s="80">
        <x:v>1501</x:v>
      </x:c>
      <x:c r="E219" s="80">
        <x:v>1109</x:v>
      </x:c>
      <x:c r="F219" s="80">
        <x:v>1129</x:v>
      </x:c>
      <x:c r="G219" s="80">
        <x:v>1090</x:v>
      </x:c>
      <x:c r="H219" s="80">
        <x:v>911</x:v>
      </x:c>
      <x:c r="I219" s="80" t="s">
        <x:v>818</x:v>
      </x:c>
      <x:c r="U219" s="189">
        <x:f t="shared" si="30"/>
        <x:v>1</x:v>
      </x:c>
    </x:row>
    <x:row r="220" spans="2:21">
      <x:c r="B220" s="46" t="s">
        <x:v>578</x:v>
      </x:c>
      <x:c r="C220" s="60" t="s">
        <x:v>201</x:v>
      </x:c>
      <x:c r="D220" s="80" t="s">
        <x:v>818</x:v>
      </x:c>
      <x:c r="E220" s="80" t="s">
        <x:v>818</x:v>
      </x:c>
      <x:c r="F220" s="80" t="s">
        <x:v>818</x:v>
      </x:c>
      <x:c r="G220" s="80" t="s">
        <x:v>818</x:v>
      </x:c>
      <x:c r="H220" s="80" t="s">
        <x:v>818</x:v>
      </x:c>
      <x:c r="I220" s="80" t="s">
        <x:v>818</x:v>
      </x:c>
      <x:c r="U220" s="189" t="str">
        <x:f t="shared" si="30"/>
        <x:v/>
      </x:c>
    </x:row>
    <x:row r="221" spans="2:21">
      <x:c r="B221" s="46" t="s">
        <x:v>558</x:v>
      </x:c>
      <x:c r="C221" s="60" t="s">
        <x:v>71</x:v>
      </x:c>
      <x:c r="D221" s="80">
        <x:v>4071</x:v>
      </x:c>
      <x:c r="E221" s="80">
        <x:v>-1582</x:v>
      </x:c>
      <x:c r="F221" s="80">
        <x:v>-7849</x:v>
      </x:c>
      <x:c r="G221" s="80">
        <x:v>486</x:v>
      </x:c>
      <x:c r="H221" s="80">
        <x:v>-589</x:v>
      </x:c>
      <x:c r="I221" s="80" t="s">
        <x:v>818</x:v>
      </x:c>
      <x:c r="U221" s="189">
        <x:f t="shared" si="30"/>
        <x:v>1</x:v>
      </x:c>
    </x:row>
    <x:row r="222" spans="2:21">
      <x:c r="B222" s="46" t="s">
        <x:v>1529</x:v>
      </x:c>
      <x:c r="C222" s="60" t="s">
        <x:v>1341</x:v>
      </x:c>
      <x:c r="D222" s="80">
        <x:v>-3568</x:v>
      </x:c>
      <x:c r="E222" s="80">
        <x:v>-3306</x:v>
      </x:c>
      <x:c r="F222" s="80">
        <x:v>-3256</x:v>
      </x:c>
      <x:c r="G222" s="80">
        <x:v>-1546</x:v>
      </x:c>
      <x:c r="H222" s="80">
        <x:v>-1554</x:v>
      </x:c>
      <x:c r="I222" s="80" t="s">
        <x:v>818</x:v>
      </x:c>
      <x:c r="U222" s="189">
        <x:f t="shared" si="30"/>
        <x:v>1</x:v>
      </x:c>
    </x:row>
    <x:row r="223" spans="2:21">
      <x:c r="B223" s="46" t="s">
        <x:v>2303</x:v>
      </x:c>
      <x:c r="C223" s="60" t="s">
        <x:v>10</x:v>
      </x:c>
      <x:c r="D223" s="80" t="s">
        <x:v>818</x:v>
      </x:c>
      <x:c r="E223" s="80" t="s">
        <x:v>818</x:v>
      </x:c>
      <x:c r="F223" s="80" t="s">
        <x:v>818</x:v>
      </x:c>
      <x:c r="G223" s="80" t="s">
        <x:v>818</x:v>
      </x:c>
      <x:c r="H223" s="80" t="s">
        <x:v>818</x:v>
      </x:c>
      <x:c r="I223" s="80" t="s">
        <x:v>818</x:v>
      </x:c>
      <x:c r="U223" s="189" t="str">
        <x:f t="shared" si="30"/>
        <x:v/>
      </x:c>
    </x:row>
    <x:row r="224" spans="2:21">
      <x:c r="B224" s="46" t="s">
        <x:v>2304</x:v>
      </x:c>
      <x:c r="C224" s="60" t="s">
        <x:v>1344</x:v>
      </x:c>
      <x:c r="D224" s="80" t="s">
        <x:v>818</x:v>
      </x:c>
      <x:c r="E224" s="80" t="s">
        <x:v>818</x:v>
      </x:c>
      <x:c r="F224" s="80" t="s">
        <x:v>818</x:v>
      </x:c>
      <x:c r="G224" s="80" t="s">
        <x:v>818</x:v>
      </x:c>
      <x:c r="H224" s="80" t="s">
        <x:v>818</x:v>
      </x:c>
      <x:c r="I224" s="80" t="s">
        <x:v>818</x:v>
      </x:c>
      <x:c r="U224" s="189" t="str">
        <x:f t="shared" si="30"/>
        <x:v/>
      </x:c>
    </x:row>
    <x:row r="225" spans="2:21">
      <x:c r="B225" s="46" t="s">
        <x:v>579</x:v>
      </x:c>
      <x:c r="C225" s="60" t="s">
        <x:v>33</x:v>
      </x:c>
      <x:c r="D225" s="80" t="s">
        <x:v>818</x:v>
      </x:c>
      <x:c r="E225" s="80" t="s">
        <x:v>818</x:v>
      </x:c>
      <x:c r="F225" s="80" t="s">
        <x:v>818</x:v>
      </x:c>
      <x:c r="G225" s="80" t="s">
        <x:v>818</x:v>
      </x:c>
      <x:c r="H225" s="80" t="s">
        <x:v>818</x:v>
      </x:c>
      <x:c r="I225" s="80" t="s">
        <x:v>818</x:v>
      </x:c>
      <x:c r="U225" s="189" t="str">
        <x:f t="shared" si="30"/>
        <x:v/>
      </x:c>
    </x:row>
    <x:row r="226" spans="2:21">
      <x:c r="B226" s="46" t="s">
        <x:v>285</x:v>
      </x:c>
      <x:c r="C226" s="60" t="s">
        <x:v>974</x:v>
      </x:c>
      <x:c r="D226" s="80">
        <x:v>1</x:v>
      </x:c>
      <x:c r="E226" s="80">
        <x:v>-276</x:v>
      </x:c>
      <x:c r="F226" s="80">
        <x:v>-16712</x:v>
      </x:c>
      <x:c r="G226" s="80">
        <x:v>-288</x:v>
      </x:c>
      <x:c r="H226" s="80">
        <x:v>-6178</x:v>
      </x:c>
      <x:c r="I226" s="80" t="s">
        <x:v>818</x:v>
      </x:c>
      <x:c r="U226" s="189">
        <x:f t="shared" si="30"/>
        <x:v>1</x:v>
      </x:c>
    </x:row>
    <x:row r="227" spans="2:21">
      <x:c r="B227" s="46" t="s">
        <x:v>1763</x:v>
      </x:c>
      <x:c r="C227" s="60" t="s">
        <x:v>27</x:v>
      </x:c>
      <x:c r="D227" s="80">
        <x:v>52237</x:v>
      </x:c>
      <x:c r="E227" s="80">
        <x:v>48182</x:v>
      </x:c>
      <x:c r="F227" s="80">
        <x:v>21493</x:v>
      </x:c>
      <x:c r="G227" s="80">
        <x:v>21235</x:v>
      </x:c>
      <x:c r="H227" s="80">
        <x:v>14219</x:v>
      </x:c>
      <x:c r="I227" s="80" t="s">
        <x:v>818</x:v>
      </x:c>
      <x:c r="U227" s="189">
        <x:f t="shared" si="30"/>
        <x:v>1</x:v>
      </x:c>
    </x:row>
    <x:row r="228" spans="2:21">
      <x:c r="B228" s="46" t="s">
        <x:v>563</x:v>
      </x:c>
      <x:c r="C228" s="60" t="s">
        <x:v>971</x:v>
      </x:c>
      <x:c r="D228" s="80">
        <x:v>52237</x:v>
      </x:c>
      <x:c r="E228" s="80">
        <x:v>48182</x:v>
      </x:c>
      <x:c r="F228" s="80">
        <x:v>21493</x:v>
      </x:c>
      <x:c r="G228" s="80">
        <x:v>21235</x:v>
      </x:c>
      <x:c r="H228" s="80">
        <x:v>14219</x:v>
      </x:c>
      <x:c r="I228" s="80" t="s">
        <x:v>818</x:v>
      </x:c>
      <x:c r="U228" s="189">
        <x:f t="shared" si="30"/>
        <x:v>1</x:v>
      </x:c>
    </x:row>
    <x:row r="229" spans="2:21">
      <x:c r="B229" s="61" t="s">
        <x:v>1132</x:v>
      </x:c>
      <x:c r="C229" s="60" t="s">
        <x:v>798</x:v>
      </x:c>
      <x:c r="D229" s="80"/>
      <x:c r="E229" s="80"/>
      <x:c r="F229" s="80"/>
      <x:c r="G229" s="80"/>
      <x:c r="H229" s="80"/>
      <x:c r="I229" s="80"/>
      <x:c r="U229" s="188">
        <x:v>1</x:v>
      </x:c>
    </x:row>
    <x:row r="230" spans="2:21">
      <x:c r="B230" s="46" t="s">
        <x:v>1451</x:v>
      </x:c>
      <x:c r="C230" s="60" t="s">
        <x:v>1845</x:v>
      </x:c>
      <x:c r="D230" s="80">
        <x:v>51784</x:v>
      </x:c>
      <x:c r="E230" s="80">
        <x:v>54386</x:v>
      </x:c>
      <x:c r="F230" s="80">
        <x:v>51852</x:v>
      </x:c>
      <x:c r="G230" s="80">
        <x:v>25094</x:v>
      </x:c>
      <x:c r="H230" s="80">
        <x:v>24437</x:v>
      </x:c>
      <x:c r="I230" s="80" t="s">
        <x:v>818</x:v>
      </x:c>
      <x:c r="U230" s="189">
        <x:f t="shared" ref="U230:U239" si="31">IF(COUNT(D230:I230)&lt;&gt;0,1,"")</x:f>
        <x:v>1</x:v>
      </x:c>
    </x:row>
    <x:row r="231" spans="2:21">
      <x:c r="B231" s="46" t="s">
        <x:v>1078</x:v>
      </x:c>
      <x:c r="C231" s="60" t="s">
        <x:v>19</x:v>
      </x:c>
      <x:c r="D231" s="80">
        <x:v>6046</x:v>
      </x:c>
      <x:c r="E231" s="80">
        <x:v>924</x:v>
      </x:c>
      <x:c r="F231" s="80">
        <x:v>-6914</x:v>
      </x:c>
      <x:c r="G231" s="80">
        <x:v>1055</x:v>
      </x:c>
      <x:c r="H231" s="80">
        <x:v>764</x:v>
      </x:c>
      <x:c r="I231" s="80" t="s">
        <x:v>818</x:v>
      </x:c>
      <x:c r="U231" s="189">
        <x:f t="shared" si="31"/>
        <x:v>1</x:v>
      </x:c>
    </x:row>
    <x:row r="232" spans="2:21">
      <x:c r="B232" s="46" t="s">
        <x:v>2282</x:v>
      </x:c>
      <x:c r="C232" s="60" t="s">
        <x:v>60</x:v>
      </x:c>
      <x:c r="D232" s="80" t="s">
        <x:v>818</x:v>
      </x:c>
      <x:c r="E232" s="80" t="s">
        <x:v>818</x:v>
      </x:c>
      <x:c r="F232" s="80" t="s">
        <x:v>818</x:v>
      </x:c>
      <x:c r="G232" s="80" t="s">
        <x:v>818</x:v>
      </x:c>
      <x:c r="H232" s="80" t="s">
        <x:v>818</x:v>
      </x:c>
      <x:c r="I232" s="80" t="s">
        <x:v>818</x:v>
      </x:c>
      <x:c r="U232" s="189" t="str">
        <x:f t="shared" si="31"/>
        <x:v/>
      </x:c>
    </x:row>
    <x:row r="233" spans="2:21">
      <x:c r="B233" s="46" t="s">
        <x:v>1766</x:v>
      </x:c>
      <x:c r="C233" s="60" t="s">
        <x:v>77</x:v>
      </x:c>
      <x:c r="D233" s="80" t="s">
        <x:v>818</x:v>
      </x:c>
      <x:c r="E233" s="80" t="s">
        <x:v>818</x:v>
      </x:c>
      <x:c r="F233" s="80" t="s">
        <x:v>818</x:v>
      </x:c>
      <x:c r="G233" s="80" t="s">
        <x:v>818</x:v>
      </x:c>
      <x:c r="H233" s="80" t="s">
        <x:v>818</x:v>
      </x:c>
      <x:c r="I233" s="80" t="s">
        <x:v>818</x:v>
      </x:c>
      <x:c r="U233" s="189" t="str">
        <x:f t="shared" si="31"/>
        <x:v/>
      </x:c>
    </x:row>
    <x:row r="234" spans="2:21">
      <x:c r="B234" s="46" t="s">
        <x:v>1994</x:v>
      </x:c>
      <x:c r="C234" s="60" t="s">
        <x:v>14</x:v>
      </x:c>
      <x:c r="D234" s="80">
        <x:v>-3445</x:v>
      </x:c>
      <x:c r="E234" s="80">
        <x:v>-3181</x:v>
      </x:c>
      <x:c r="F234" s="80">
        <x:v>-3133</x:v>
      </x:c>
      <x:c r="G234" s="80">
        <x:v>-1424</x:v>
      </x:c>
      <x:c r="H234" s="80">
        <x:v>-1432</x:v>
      </x:c>
      <x:c r="I234" s="80" t="s">
        <x:v>818</x:v>
      </x:c>
      <x:c r="U234" s="189">
        <x:f t="shared" si="31"/>
        <x:v>1</x:v>
      </x:c>
    </x:row>
    <x:row r="235" spans="2:21">
      <x:c r="B235" s="46" t="s">
        <x:v>1079</x:v>
      </x:c>
      <x:c r="C235" s="60" t="s">
        <x:v>1340</x:v>
      </x:c>
      <x:c r="D235" s="80" t="s">
        <x:v>818</x:v>
      </x:c>
      <x:c r="E235" s="80" t="s">
        <x:v>818</x:v>
      </x:c>
      <x:c r="F235" s="80" t="s">
        <x:v>818</x:v>
      </x:c>
      <x:c r="G235" s="80" t="s">
        <x:v>818</x:v>
      </x:c>
      <x:c r="H235" s="80" t="s">
        <x:v>818</x:v>
      </x:c>
      <x:c r="I235" s="80" t="s">
        <x:v>818</x:v>
      </x:c>
      <x:c r="U235" s="189" t="str">
        <x:f t="shared" si="31"/>
        <x:v/>
      </x:c>
    </x:row>
    <x:row r="236" spans="2:21">
      <x:c r="B236" s="46" t="s">
        <x:v>2307</x:v>
      </x:c>
      <x:c r="C236" s="60" t="s">
        <x:v>1846</x:v>
      </x:c>
      <x:c r="D236" s="80" t="s">
        <x:v>818</x:v>
      </x:c>
      <x:c r="E236" s="80" t="s">
        <x:v>818</x:v>
      </x:c>
      <x:c r="F236" s="80" t="s">
        <x:v>818</x:v>
      </x:c>
      <x:c r="G236" s="80" t="s">
        <x:v>818</x:v>
      </x:c>
      <x:c r="H236" s="80" t="s">
        <x:v>818</x:v>
      </x:c>
      <x:c r="I236" s="80" t="s">
        <x:v>818</x:v>
      </x:c>
      <x:c r="U236" s="189" t="str">
        <x:f t="shared" si="31"/>
        <x:v/>
      </x:c>
    </x:row>
    <x:row r="237" spans="2:21">
      <x:c r="B237" s="46" t="s">
        <x:v>1775</x:v>
      </x:c>
      <x:c r="C237" s="60" t="s">
        <x:v>1347</x:v>
      </x:c>
      <x:c r="D237" s="80" t="s">
        <x:v>818</x:v>
      </x:c>
      <x:c r="E237" s="80" t="s">
        <x:v>818</x:v>
      </x:c>
      <x:c r="F237" s="80" t="s">
        <x:v>818</x:v>
      </x:c>
      <x:c r="G237" s="80" t="s">
        <x:v>818</x:v>
      </x:c>
      <x:c r="H237" s="80" t="s">
        <x:v>818</x:v>
      </x:c>
      <x:c r="I237" s="80" t="s">
        <x:v>818</x:v>
      </x:c>
      <x:c r="U237" s="189" t="str">
        <x:f t="shared" si="31"/>
        <x:v/>
      </x:c>
    </x:row>
    <x:row r="238" spans="2:21">
      <x:c r="B238" s="46" t="s">
        <x:v>2289</x:v>
      </x:c>
      <x:c r="C238" s="60" t="s">
        <x:v>328</x:v>
      </x:c>
      <x:c r="D238" s="80">
        <x:v>1</x:v>
      </x:c>
      <x:c r="E238" s="80">
        <x:v>-276</x:v>
      </x:c>
      <x:c r="F238" s="80">
        <x:v>-16712</x:v>
      </x:c>
      <x:c r="G238" s="80">
        <x:v>-288</x:v>
      </x:c>
      <x:c r="H238" s="80">
        <x:v>-6178</x:v>
      </x:c>
      <x:c r="I238" s="80" t="s">
        <x:v>818</x:v>
      </x:c>
      <x:c r="U238" s="189">
        <x:f t="shared" si="31"/>
        <x:v>1</x:v>
      </x:c>
    </x:row>
    <x:row r="239" spans="2:21">
      <x:c r="B239" s="46" t="s">
        <x:v>1454</x:v>
      </x:c>
      <x:c r="C239" s="60" t="s">
        <x:v>2354</x:v>
      </x:c>
      <x:c r="D239" s="80">
        <x:v>54386</x:v>
      </x:c>
      <x:c r="E239" s="80">
        <x:v>51852</x:v>
      </x:c>
      <x:c r="F239" s="80">
        <x:v>25094</x:v>
      </x:c>
      <x:c r="G239" s="80">
        <x:v>24437</x:v>
      </x:c>
      <x:c r="H239" s="80">
        <x:v>17591</x:v>
      </x:c>
      <x:c r="I239" s="80" t="s">
        <x:v>818</x:v>
      </x:c>
      <x:c r="U239" s="189">
        <x:f t="shared" si="31"/>
        <x:v>1</x:v>
      </x:c>
    </x:row>
    <x:row r="240" spans="2:21">
      <x:c r="B240" s="61" t="s">
        <x:v>69</x:v>
      </x:c>
      <x:c r="C240" s="60" t="s">
        <x:v>798</x:v>
      </x:c>
      <x:c r="D240" s="80"/>
      <x:c r="E240" s="80"/>
      <x:c r="F240" s="80"/>
      <x:c r="G240" s="80"/>
      <x:c r="H240" s="80"/>
      <x:c r="I240" s="80"/>
      <x:c r="U240" s="188">
        <x:v>1</x:v>
      </x:c>
    </x:row>
    <x:row r="241" spans="2:21">
      <x:c r="B241" s="46" t="s">
        <x:v>282</x:v>
      </x:c>
      <x:c r="C241" s="60" t="s">
        <x:v>1351</x:v>
      </x:c>
      <x:c r="D241" s="44">
        <x:v>3.1000000000000001</x:v>
      </x:c>
      <x:c r="E241" s="44">
        <x:v>2.2000000000000002</x:v>
      </x:c>
      <x:c r="F241" s="44">
        <x:v>3.2999999999999998</x:v>
      </x:c>
      <x:c r="G241" s="44">
        <x:v>5.2999999999999998</x:v>
      </x:c>
      <x:c r="H241" s="44">
        <x:v>5</x:v>
      </x:c>
      <x:c r="I241" s="44" t="s">
        <x:v>818</x:v>
      </x:c>
      <x:c r="U241" s="189">
        <x:f t="shared" ref="U241:U246" si="32">IF(COUNT(D241:I241)&lt;&gt;0,1,"")</x:f>
        <x:v>1</x:v>
      </x:c>
    </x:row>
    <x:row r="242" spans="2:21">
      <x:c r="B242" s="46" t="s">
        <x:v>283</x:v>
      </x:c>
      <x:c r="C242" s="60" t="s">
        <x:v>1345</x:v>
      </x:c>
      <x:c r="D242" s="44">
        <x:v>3.1000000000000001</x:v>
      </x:c>
      <x:c r="E242" s="44">
        <x:v>2.2000000000000002</x:v>
      </x:c>
      <x:c r="F242" s="44">
        <x:v>3.2999999999999998</x:v>
      </x:c>
      <x:c r="G242" s="44">
        <x:v>5.2999999999999998</x:v>
      </x:c>
      <x:c r="H242" s="44">
        <x:v>5</x:v>
      </x:c>
      <x:c r="I242" s="44" t="s">
        <x:v>818</x:v>
      </x:c>
      <x:c r="U242" s="189">
        <x:f t="shared" si="32"/>
        <x:v>1</x:v>
      </x:c>
    </x:row>
    <x:row r="243" spans="2:21">
      <x:c r="B243" s="46" t="s">
        <x:v>564</x:v>
      </x:c>
      <x:c r="C243" s="60" t="s">
        <x:v>332</x:v>
      </x:c>
      <x:c r="D243" s="44" t="s">
        <x:v>818</x:v>
      </x:c>
      <x:c r="E243" s="44" t="s">
        <x:v>818</x:v>
      </x:c>
      <x:c r="F243" s="44" t="s">
        <x:v>818</x:v>
      </x:c>
      <x:c r="G243" s="44" t="s">
        <x:v>818</x:v>
      </x:c>
      <x:c r="H243" s="44">
        <x:v>5</x:v>
      </x:c>
      <x:c r="I243" s="44" t="s">
        <x:v>818</x:v>
      </x:c>
      <x:c r="U243" s="189">
        <x:f t="shared" si="32"/>
        <x:v>1</x:v>
      </x:c>
    </x:row>
    <x:row r="244" spans="2:21">
      <x:c r="B244" s="46" t="s">
        <x:v>559</x:v>
      </x:c>
      <x:c r="C244" s="60" t="s">
        <x:v>319</x:v>
      </x:c>
      <x:c r="D244" s="44" t="s">
        <x:v>818</x:v>
      </x:c>
      <x:c r="E244" s="44" t="s">
        <x:v>818</x:v>
      </x:c>
      <x:c r="F244" s="44" t="s">
        <x:v>818</x:v>
      </x:c>
      <x:c r="G244" s="44" t="s">
        <x:v>818</x:v>
      </x:c>
      <x:c r="H244" s="44">
        <x:v>5</x:v>
      </x:c>
      <x:c r="I244" s="44" t="s">
        <x:v>818</x:v>
      </x:c>
      <x:c r="U244" s="189">
        <x:f t="shared" si="32"/>
        <x:v>1</x:v>
      </x:c>
    </x:row>
    <x:row r="245" spans="2:21">
      <x:c r="B245" s="46" t="s">
        <x:v>191</x:v>
      </x:c>
      <x:c r="C245" s="60" t="s">
        <x:v>26</x:v>
      </x:c>
      <x:c r="D245" s="44">
        <x:v>4.5</x:v>
      </x:c>
      <x:c r="E245" s="44">
        <x:v>3.75</x:v>
      </x:c>
      <x:c r="F245" s="44">
        <x:v>4.3300000000000001</x:v>
      </x:c>
      <x:c r="G245" s="44">
        <x:v>5.5</x:v>
      </x:c>
      <x:c r="H245" s="44">
        <x:v>5.0800000000000001</x:v>
      </x:c>
      <x:c r="I245" s="44" t="s">
        <x:v>818</x:v>
      </x:c>
      <x:c r="U245" s="189">
        <x:f t="shared" si="32"/>
        <x:v>1</x:v>
      </x:c>
    </x:row>
    <x:row r="246" spans="2:21">
      <x:c r="B246" s="46" t="s">
        <x:v>200</x:v>
      </x:c>
      <x:c r="C246" s="60" t="s">
        <x:v>20</x:v>
      </x:c>
      <x:c r="D246" s="44">
        <x:v>4.5</x:v>
      </x:c>
      <x:c r="E246" s="44">
        <x:v>3.75</x:v>
      </x:c>
      <x:c r="F246" s="44">
        <x:v>4.3300000000000001</x:v>
      </x:c>
      <x:c r="G246" s="44">
        <x:v>5.5</x:v>
      </x:c>
      <x:c r="H246" s="44">
        <x:v>5.0800000000000001</x:v>
      </x:c>
      <x:c r="I246" s="44" t="s">
        <x:v>818</x:v>
      </x:c>
      <x:c r="U246" s="189">
        <x:f t="shared" si="32"/>
        <x:v>1</x:v>
      </x:c>
    </x:row>
    <x:row r="247" spans="2:21">
      <x:c r="B247" s="61" t="s">
        <x:v>1786</x:v>
      </x:c>
      <x:c r="C247" s="60" t="s">
        <x:v>798</x:v>
      </x:c>
      <x:c r="D247" s="80"/>
      <x:c r="E247" s="80"/>
      <x:c r="F247" s="80"/>
      <x:c r="G247" s="80"/>
      <x:c r="H247" s="80"/>
      <x:c r="I247" s="80"/>
      <x:c r="U247" s="188">
        <x:v>1</x:v>
      </x:c>
    </x:row>
    <x:row r="248" spans="2:21">
      <x:c r="B248" s="46" t="s">
        <x:v>1777</x:v>
      </x:c>
      <x:c r="C248" s="60" t="s">
        <x:v>1348</x:v>
      </x:c>
      <x:c r="D248" s="44">
        <x:v>5.1829999999999998</x:v>
      </x:c>
      <x:c r="E248" s="44">
        <x:v>4.1580000000000004</x:v>
      </x:c>
      <x:c r="F248" s="44">
        <x:v>4.1959999999999997</x:v>
      </x:c>
      <x:c r="G248" s="44">
        <x:v>3.27</x:v>
      </x:c>
      <x:c r="H248" s="44">
        <x:v>4.798</x:v>
      </x:c>
      <x:c r="I248" s="44" t="s">
        <x:v>818</x:v>
      </x:c>
      <x:c r="U248" s="189">
        <x:f t="shared" ref="U248:U251" si="33">IF(COUNT(D248:I248)&lt;&gt;0,1,"")</x:f>
        <x:v>1</x:v>
      </x:c>
    </x:row>
    <x:row r="249" spans="2:21">
      <x:c r="B249" s="46" t="s">
        <x:v>1084</x:v>
      </x:c>
      <x:c r="C249" s="60" t="s">
        <x:v>1350</x:v>
      </x:c>
      <x:c r="D249" s="44">
        <x:v>77.763999999999996</x:v>
      </x:c>
      <x:c r="E249" s="44">
        <x:v>78.896000000000001</x:v>
      </x:c>
      <x:c r="F249" s="44">
        <x:v>70.912999999999997</x:v>
      </x:c>
      <x:c r="G249" s="44">
        <x:v>76.469999999999999</x:v>
      </x:c>
      <x:c r="H249" s="44">
        <x:v>67.569000000000003</x:v>
      </x:c>
      <x:c r="I249" s="44" t="s">
        <x:v>818</x:v>
      </x:c>
      <x:c r="U249" s="189">
        <x:f t="shared" si="33"/>
        <x:v>1</x:v>
      </x:c>
    </x:row>
    <x:row r="250" spans="2:21">
      <x:c r="B250" s="46" t="s">
        <x:v>1085</x:v>
      </x:c>
      <x:c r="C250" s="60" t="s">
        <x:v>1346</x:v>
      </x:c>
      <x:c r="D250" s="44" t="s">
        <x:v>818</x:v>
      </x:c>
      <x:c r="E250" s="44" t="s">
        <x:v>818</x:v>
      </x:c>
      <x:c r="F250" s="44">
        <x:v>0.032000000000000001</x:v>
      </x:c>
      <x:c r="G250" s="44" t="s">
        <x:v>818</x:v>
      </x:c>
      <x:c r="H250" s="44" t="s">
        <x:v>818</x:v>
      </x:c>
      <x:c r="I250" s="44" t="s">
        <x:v>818</x:v>
      </x:c>
      <x:c r="U250" s="189">
        <x:f t="shared" si="33"/>
        <x:v>1</x:v>
      </x:c>
    </x:row>
    <x:row r="251" spans="2:21">
      <x:c r="B251" s="46" t="s">
        <x:v>2308</x:v>
      </x:c>
      <x:c r="C251" s="60" t="s">
        <x:v>11</x:v>
      </x:c>
      <x:c r="D251" s="44">
        <x:v>17.050000000000001</x:v>
      </x:c>
      <x:c r="E251" s="44">
        <x:v>16.946000000000002</x:v>
      </x:c>
      <x:c r="F251" s="44">
        <x:v>24.859000000000002</x:v>
      </x:c>
      <x:c r="G251" s="44">
        <x:v>20.263999999999999</x:v>
      </x:c>
      <x:c r="H251" s="44">
        <x:v>27.628</x:v>
      </x:c>
      <x:c r="I251" s="44" t="s">
        <x:v>818</x:v>
      </x:c>
      <x:c r="U251" s="189">
        <x:f t="shared" si="33"/>
        <x:v>1</x:v>
      </x:c>
    </x:row>
    <x:row r="252" spans="2:21">
      <x:c r="B252" s="61" t="s">
        <x:v>1786</x:v>
      </x:c>
      <x:c r="C252" s="60" t="s">
        <x:v>798</x:v>
      </x:c>
      <x:c r="D252" s="80"/>
      <x:c r="E252" s="80"/>
      <x:c r="F252" s="80"/>
      <x:c r="G252" s="80"/>
      <x:c r="H252" s="80"/>
      <x:c r="I252" s="80"/>
      <x:c r="U252" s="188">
        <x:v>1</x:v>
      </x:c>
    </x:row>
    <x:row r="253" spans="2:21">
      <x:c r="B253" s="46" t="s">
        <x:v>2284</x:v>
      </x:c>
      <x:c r="C253" s="60" t="s">
        <x:v>1848</x:v>
      </x:c>
      <x:c r="D253" s="80">
        <x:v>2819</x:v>
      </x:c>
      <x:c r="E253" s="80">
        <x:v>2156</x:v>
      </x:c>
      <x:c r="F253" s="80">
        <x:v>1053</x:v>
      </x:c>
      <x:c r="G253" s="80">
        <x:v>799</x:v>
      </x:c>
      <x:c r="H253" s="80">
        <x:v>844</x:v>
      </x:c>
      <x:c r="I253" s="80" t="s">
        <x:v>818</x:v>
      </x:c>
      <x:c r="U253" s="189">
        <x:f t="shared" ref="U253:U256" si="34">IF(COUNT(D253:I253)&lt;&gt;0,1,"")</x:f>
        <x:v>1</x:v>
      </x:c>
    </x:row>
    <x:row r="254" spans="2:21">
      <x:c r="B254" s="46" t="s">
        <x:v>1773</x:v>
      </x:c>
      <x:c r="C254" s="60" t="s">
        <x:v>1849</x:v>
      </x:c>
      <x:c r="D254" s="80">
        <x:v>42293</x:v>
      </x:c>
      <x:c r="E254" s="80">
        <x:v>40909</x:v>
      </x:c>
      <x:c r="F254" s="80">
        <x:v>17795</x:v>
      </x:c>
      <x:c r="G254" s="80">
        <x:v>18687</x:v>
      </x:c>
      <x:c r="H254" s="80">
        <x:v>11886</x:v>
      </x:c>
      <x:c r="I254" s="80" t="s">
        <x:v>818</x:v>
      </x:c>
      <x:c r="U254" s="189">
        <x:f t="shared" si="34"/>
        <x:v>1</x:v>
      </x:c>
    </x:row>
    <x:row r="255" spans="2:21">
      <x:c r="B255" s="46" t="s">
        <x:v>1784</x:v>
      </x:c>
      <x:c r="C255" s="60" t="s">
        <x:v>1839</x:v>
      </x:c>
      <x:c r="D255" s="80" t="s">
        <x:v>818</x:v>
      </x:c>
      <x:c r="E255" s="80" t="s">
        <x:v>818</x:v>
      </x:c>
      <x:c r="F255" s="80">
        <x:v>8</x:v>
      </x:c>
      <x:c r="G255" s="80" t="s">
        <x:v>818</x:v>
      </x:c>
      <x:c r="H255" s="80" t="s">
        <x:v>818</x:v>
      </x:c>
      <x:c r="I255" s="80" t="s">
        <x:v>818</x:v>
      </x:c>
      <x:c r="U255" s="189">
        <x:f t="shared" si="34"/>
        <x:v>1</x:v>
      </x:c>
    </x:row>
    <x:row r="256" spans="2:21">
      <x:c r="B256" s="46" t="s">
        <x:v>1493</x:v>
      </x:c>
      <x:c r="C256" s="60" t="s">
        <x:v>1352</x:v>
      </x:c>
      <x:c r="D256" s="80">
        <x:v>9273</x:v>
      </x:c>
      <x:c r="E256" s="80">
        <x:v>8787</x:v>
      </x:c>
      <x:c r="F256" s="80">
        <x:v>6238</x:v>
      </x:c>
      <x:c r="G256" s="80">
        <x:v>4952</x:v>
      </x:c>
      <x:c r="H256" s="80">
        <x:v>4860</x:v>
      </x:c>
      <x:c r="I256" s="80" t="s">
        <x:v>818</x:v>
      </x:c>
      <x:c r="U256" s="189">
        <x:f t="shared" si="34"/>
        <x:v>1</x:v>
      </x:c>
    </x:row>
    <x:row r="257" spans="2:21">
      <x:c r="B257" s="61" t="s">
        <x:v>159</x:v>
      </x:c>
      <x:c r="C257" s="60" t="s">
        <x:v>798</x:v>
      </x:c>
      <x:c r="D257" s="80"/>
      <x:c r="E257" s="80"/>
      <x:c r="F257" s="80"/>
      <x:c r="G257" s="80"/>
      <x:c r="H257" s="80"/>
      <x:c r="I257" s="80"/>
      <x:c r="U257" s="188">
        <x:v>1</x:v>
      </x:c>
    </x:row>
    <x:row r="258" spans="2:21">
      <x:c r="B258" s="46" t="s">
        <x:v>286</x:v>
      </x:c>
      <x:c r="C258" s="60" t="s">
        <x:v>2365</x:v>
      </x:c>
      <x:c r="D258" s="80">
        <x:v>15972</x:v>
      </x:c>
      <x:c r="E258" s="80">
        <x:v>14273</x:v>
      </x:c>
      <x:c r="F258" s="80">
        <x:v>8617</x:v>
      </x:c>
      <x:c r="G258" s="80">
        <x:v>9467</x:v>
      </x:c>
      <x:c r="H258" s="80">
        <x:v>6153</x:v>
      </x:c>
      <x:c r="I258" s="80" t="s">
        <x:v>818</x:v>
      </x:c>
      <x:c r="U258" s="189">
        <x:f t="shared" ref="U258:U262" si="35">IF(COUNT(D258:I258)&lt;&gt;0,1,"")</x:f>
        <x:v>1</x:v>
      </x:c>
    </x:row>
    <x:row r="259" spans="2:21">
      <x:c r="B259" s="46" t="s">
        <x:v>972</x:v>
      </x:c>
      <x:c r="C259" s="60" t="s">
        <x:v>1360</x:v>
      </x:c>
      <x:c r="D259" s="80">
        <x:v>24</x:v>
      </x:c>
      <x:c r="E259" s="80">
        <x:v>8</x:v>
      </x:c>
      <x:c r="F259" s="80" t="s">
        <x:v>818</x:v>
      </x:c>
      <x:c r="G259" s="80" t="s">
        <x:v>818</x:v>
      </x:c>
      <x:c r="H259" s="80" t="s">
        <x:v>818</x:v>
      </x:c>
      <x:c r="I259" s="80" t="s">
        <x:v>818</x:v>
      </x:c>
      <x:c r="U259" s="189">
        <x:f t="shared" si="35"/>
        <x:v>1</x:v>
      </x:c>
    </x:row>
    <x:row r="260" spans="2:21">
      <x:c r="B260" s="46" t="s">
        <x:v>966</x:v>
      </x:c>
      <x:c r="C260" s="60" t="s">
        <x:v>1353</x:v>
      </x:c>
      <x:c r="D260" s="80" t="s">
        <x:v>818</x:v>
      </x:c>
      <x:c r="E260" s="80" t="s">
        <x:v>818</x:v>
      </x:c>
      <x:c r="F260" s="80" t="s">
        <x:v>818</x:v>
      </x:c>
      <x:c r="G260" s="80" t="s">
        <x:v>818</x:v>
      </x:c>
      <x:c r="H260" s="80" t="s">
        <x:v>818</x:v>
      </x:c>
      <x:c r="I260" s="80" t="s">
        <x:v>818</x:v>
      </x:c>
      <x:c r="U260" s="189" t="str">
        <x:f t="shared" si="35"/>
        <x:v/>
      </x:c>
    </x:row>
    <x:row r="261" spans="2:21">
      <x:c r="B261" s="46" t="s">
        <x:v>1087</x:v>
      </x:c>
      <x:c r="C261" s="60" t="s">
        <x:v>21</x:v>
      </x:c>
      <x:c r="D261" s="80" t="s">
        <x:v>818</x:v>
      </x:c>
      <x:c r="E261" s="80" t="s">
        <x:v>818</x:v>
      </x:c>
      <x:c r="F261" s="80" t="s">
        <x:v>818</x:v>
      </x:c>
      <x:c r="G261" s="80" t="s">
        <x:v>818</x:v>
      </x:c>
      <x:c r="H261" s="80" t="s">
        <x:v>818</x:v>
      </x:c>
      <x:c r="I261" s="80" t="s">
        <x:v>818</x:v>
      </x:c>
      <x:c r="U261" s="189" t="str">
        <x:f t="shared" si="35"/>
        <x:v/>
      </x:c>
    </x:row>
    <x:row r="262" spans="2:21">
      <x:c r="B262" s="46" t="s">
        <x:v>568</x:v>
      </x:c>
      <x:c r="C262" s="60" t="s">
        <x:v>1354</x:v>
      </x:c>
      <x:c r="D262" s="80">
        <x:v>15997</x:v>
      </x:c>
      <x:c r="E262" s="80">
        <x:v>14281</x:v>
      </x:c>
      <x:c r="F262" s="80">
        <x:v>8617</x:v>
      </x:c>
      <x:c r="G262" s="80">
        <x:v>9467</x:v>
      </x:c>
      <x:c r="H262" s="80">
        <x:v>6153</x:v>
      </x:c>
      <x:c r="I262" s="80" t="s">
        <x:v>818</x:v>
      </x:c>
      <x:c r="U262" s="189">
        <x:f t="shared" si="35"/>
        <x:v>1</x:v>
      </x:c>
    </x:row>
    <x:row r="263" spans="2:21">
      <x:c r="B263" s="61" t="s">
        <x:v>8</x:v>
      </x:c>
      <x:c r="C263" s="60" t="s">
        <x:v>798</x:v>
      </x:c>
      <x:c r="D263" s="80"/>
      <x:c r="E263" s="80"/>
      <x:c r="F263" s="80"/>
      <x:c r="G263" s="80"/>
      <x:c r="H263" s="80"/>
      <x:c r="I263" s="80"/>
      <x:c r="U263" s="188">
        <x:v>1</x:v>
      </x:c>
    </x:row>
    <x:row r="264" spans="2:21">
      <x:c r="B264" s="46" t="s">
        <x:v>54</x:v>
      </x:c>
      <x:c r="C264" s="60" t="s">
        <x:v>22</x:v>
      </x:c>
      <x:c r="D264" s="80" t="s">
        <x:v>818</x:v>
      </x:c>
      <x:c r="E264" s="80" t="s">
        <x:v>818</x:v>
      </x:c>
      <x:c r="F264" s="80" t="s">
        <x:v>818</x:v>
      </x:c>
      <x:c r="G264" s="80" t="s">
        <x:v>818</x:v>
      </x:c>
      <x:c r="H264" s="80" t="s">
        <x:v>818</x:v>
      </x:c>
      <x:c r="I264" s="80" t="s">
        <x:v>818</x:v>
      </x:c>
      <x:c r="U264" s="189" t="str">
        <x:f t="shared" ref="U264:U267" si="36">IF(COUNT(D264:I264)&lt;&gt;0,1,"")</x:f>
        <x:v/>
      </x:c>
    </x:row>
    <x:row r="265" spans="2:21">
      <x:c r="B265" s="46" t="s">
        <x:v>955</x:v>
      </x:c>
      <x:c r="C265" s="60" t="s">
        <x:v>2350</x:v>
      </x:c>
      <x:c r="D265" s="80" t="s">
        <x:v>818</x:v>
      </x:c>
      <x:c r="E265" s="80" t="s">
        <x:v>818</x:v>
      </x:c>
      <x:c r="F265" s="80" t="s">
        <x:v>818</x:v>
      </x:c>
      <x:c r="G265" s="80" t="s">
        <x:v>818</x:v>
      </x:c>
      <x:c r="H265" s="80" t="s">
        <x:v>818</x:v>
      </x:c>
      <x:c r="I265" s="80" t="s">
        <x:v>818</x:v>
      </x:c>
      <x:c r="U265" s="189" t="str">
        <x:f t="shared" si="36"/>
        <x:v/>
      </x:c>
    </x:row>
    <x:row r="266" spans="2:21">
      <x:c r="B266" s="46" t="s">
        <x:v>75</x:v>
      </x:c>
      <x:c r="C266" s="60" t="s">
        <x:v>1361</x:v>
      </x:c>
      <x:c r="D266" s="80" t="s">
        <x:v>818</x:v>
      </x:c>
      <x:c r="E266" s="80" t="s">
        <x:v>818</x:v>
      </x:c>
      <x:c r="F266" s="80" t="s">
        <x:v>818</x:v>
      </x:c>
      <x:c r="G266" s="80" t="s">
        <x:v>818</x:v>
      </x:c>
      <x:c r="H266" s="80" t="s">
        <x:v>818</x:v>
      </x:c>
      <x:c r="I266" s="80" t="s">
        <x:v>818</x:v>
      </x:c>
      <x:c r="U266" s="189" t="str">
        <x:f t="shared" si="36"/>
        <x:v/>
      </x:c>
    </x:row>
    <x:row r="267" spans="2:21">
      <x:c r="B267" s="46" t="s">
        <x:v>949</x:v>
      </x:c>
      <x:c r="C267" s="60" t="s">
        <x:v>1356</x:v>
      </x:c>
      <x:c r="D267" s="80" t="s">
        <x:v>818</x:v>
      </x:c>
      <x:c r="E267" s="80" t="s">
        <x:v>818</x:v>
      </x:c>
      <x:c r="F267" s="80" t="s">
        <x:v>818</x:v>
      </x:c>
      <x:c r="G267" s="80" t="s">
        <x:v>818</x:v>
      </x:c>
      <x:c r="H267" s="80" t="s">
        <x:v>818</x:v>
      </x:c>
      <x:c r="I267" s="80" t="s">
        <x:v>818</x:v>
      </x:c>
      <x:c r="U267" s="189" t="str">
        <x:f t="shared" si="36"/>
        <x:v/>
      </x:c>
    </x:row>
    <x:row r="268" spans="2:21">
      <x:c r="B268" s="61" t="s">
        <x:v>431</x:v>
      </x:c>
      <x:c r="C268" s="60" t="s">
        <x:v>798</x:v>
      </x:c>
      <x:c r="D268" s="80"/>
      <x:c r="E268" s="80"/>
      <x:c r="F268" s="80"/>
      <x:c r="G268" s="80"/>
      <x:c r="H268" s="80"/>
      <x:c r="I268" s="80"/>
      <x:c r="U268" s="188">
        <x:v>1</x:v>
      </x:c>
    </x:row>
    <x:row r="269" spans="2:21">
      <x:c r="B269" s="46" t="s">
        <x:v>287</x:v>
      </x:c>
      <x:c r="C269" s="60" t="s">
        <x:v>320</x:v>
      </x:c>
      <x:c r="D269" s="44">
        <x:v>2.2000000000000002</x:v>
      </x:c>
      <x:c r="E269" s="44">
        <x:v>2.6000000000000001</x:v>
      </x:c>
      <x:c r="F269" s="44">
        <x:v>5.2999999999999998</x:v>
      </x:c>
      <x:c r="G269" s="44">
        <x:v>5</x:v>
      </x:c>
      <x:c r="H269" s="44">
        <x:v>5.5</x:v>
      </x:c>
      <x:c r="I269" s="44" t="s">
        <x:v>818</x:v>
      </x:c>
      <x:c r="U269" s="189">
        <x:f t="shared" ref="U269:U272" si="37">IF(COUNT(D269:I269)&lt;&gt;0,1,"")</x:f>
        <x:v>1</x:v>
      </x:c>
    </x:row>
    <x:row r="270" spans="2:21">
      <x:c r="B270" s="46" t="s">
        <x:v>293</x:v>
      </x:c>
      <x:c r="C270" s="60" t="s">
        <x:v>331</x:v>
      </x:c>
      <x:c r="D270" s="44">
        <x:v>2.2000000000000002</x:v>
      </x:c>
      <x:c r="E270" s="44">
        <x:v>2.6000000000000001</x:v>
      </x:c>
      <x:c r="F270" s="44">
        <x:v>5.2999999999999998</x:v>
      </x:c>
      <x:c r="G270" s="44">
        <x:v>5</x:v>
      </x:c>
      <x:c r="H270" s="44">
        <x:v>5.5</x:v>
      </x:c>
      <x:c r="I270" s="44" t="s">
        <x:v>818</x:v>
      </x:c>
      <x:c r="U270" s="189">
        <x:f t="shared" si="37"/>
        <x:v>1</x:v>
      </x:c>
    </x:row>
    <x:row r="271" spans="2:21">
      <x:c r="B271" s="46" t="s">
        <x:v>967</x:v>
      </x:c>
      <x:c r="C271" s="60" t="s">
        <x:v>980</x:v>
      </x:c>
      <x:c r="D271" s="44" t="s">
        <x:v>818</x:v>
      </x:c>
      <x:c r="E271" s="44" t="s">
        <x:v>818</x:v>
      </x:c>
      <x:c r="F271" s="44" t="s">
        <x:v>818</x:v>
      </x:c>
      <x:c r="G271" s="44">
        <x:v>5</x:v>
      </x:c>
      <x:c r="H271" s="44">
        <x:v>4</x:v>
      </x:c>
      <x:c r="I271" s="44" t="s">
        <x:v>818</x:v>
      </x:c>
      <x:c r="U271" s="189">
        <x:f t="shared" si="37"/>
        <x:v>1</x:v>
      </x:c>
    </x:row>
    <x:row r="272" spans="2:21">
      <x:c r="B272" s="46" t="s">
        <x:v>956</x:v>
      </x:c>
      <x:c r="C272" s="60" t="s">
        <x:v>958</x:v>
      </x:c>
      <x:c r="D272" s="44" t="s">
        <x:v>818</x:v>
      </x:c>
      <x:c r="E272" s="44" t="s">
        <x:v>818</x:v>
      </x:c>
      <x:c r="F272" s="44" t="s">
        <x:v>818</x:v>
      </x:c>
      <x:c r="G272" s="44">
        <x:v>5</x:v>
      </x:c>
      <x:c r="H272" s="44">
        <x:v>4</x:v>
      </x:c>
      <x:c r="I272" s="44" t="s">
        <x:v>818</x:v>
      </x:c>
      <x:c r="U272" s="189">
        <x:f t="shared" si="37"/>
        <x:v>1</x:v>
      </x:c>
    </x:row>
    <x:row r="273" spans="2:21">
      <x:c r="B273" s="61" t="s">
        <x:v>1090</x:v>
      </x:c>
      <x:c r="C273" s="60" t="s">
        <x:v>798</x:v>
      </x:c>
      <x:c r="D273" s="80"/>
      <x:c r="E273" s="80"/>
      <x:c r="F273" s="80"/>
      <x:c r="G273" s="80"/>
      <x:c r="H273" s="80"/>
      <x:c r="I273" s="80"/>
      <x:c r="U273" s="188">
        <x:v>1</x:v>
      </x:c>
    </x:row>
    <x:row r="274" spans="2:21">
      <x:c r="B274" s="46" t="s">
        <x:v>562</x:v>
      </x:c>
      <x:c r="C274" s="60" t="s">
        <x:v>1357</x:v>
      </x:c>
      <x:c r="D274" s="80">
        <x:v>3645</x:v>
      </x:c>
      <x:c r="E274" s="80">
        <x:v>3612</x:v>
      </x:c>
      <x:c r="F274" s="80">
        <x:v>1881</x:v>
      </x:c>
      <x:c r="G274" s="80">
        <x:v>1891</x:v>
      </x:c>
      <x:c r="H274" s="80">
        <x:v>1257</x:v>
      </x:c>
      <x:c r="I274" s="80" t="s">
        <x:v>818</x:v>
      </x:c>
      <x:c r="U274" s="189">
        <x:f t="shared" ref="U274:U279" si="38">IF(COUNT(D274:I274)&lt;&gt;0,1,"")</x:f>
        <x:v>1</x:v>
      </x:c>
    </x:row>
    <x:row r="275" spans="2:21">
      <x:c r="B275" s="46" t="s">
        <x:v>570</x:v>
      </x:c>
      <x:c r="C275" s="60" t="s">
        <x:v>1358</x:v>
      </x:c>
      <x:c r="D275" s="80">
        <x:v>3612</x:v>
      </x:c>
      <x:c r="E275" s="80">
        <x:v>3573</x:v>
      </x:c>
      <x:c r="F275" s="80">
        <x:v>1914</x:v>
      </x:c>
      <x:c r="G275" s="80">
        <x:v>1951</x:v>
      </x:c>
      <x:c r="H275" s="80">
        <x:v>1297</x:v>
      </x:c>
      <x:c r="I275" s="80" t="s">
        <x:v>818</x:v>
      </x:c>
      <x:c r="U275" s="189">
        <x:f t="shared" si="38"/>
        <x:v>1</x:v>
      </x:c>
    </x:row>
    <x:row r="276" spans="2:21">
      <x:c r="B276" s="46" t="s">
        <x:v>565</x:v>
      </x:c>
      <x:c r="C276" s="60" t="s">
        <x:v>1355</x:v>
      </x:c>
      <x:c r="D276" s="80">
        <x:v>3572</x:v>
      </x:c>
      <x:c r="E276" s="80">
        <x:v>3540</x:v>
      </x:c>
      <x:c r="F276" s="80">
        <x:v>1934</x:v>
      </x:c>
      <x:c r="G276" s="80">
        <x:v>1967</x:v>
      </x:c>
      <x:c r="H276" s="80">
        <x:v>1330</x:v>
      </x:c>
      <x:c r="I276" s="80" t="s">
        <x:v>818</x:v>
      </x:c>
      <x:c r="U276" s="189">
        <x:f t="shared" si="38"/>
        <x:v>1</x:v>
      </x:c>
    </x:row>
    <x:row r="277" spans="2:21">
      <x:c r="B277" s="46" t="s">
        <x:v>566</x:v>
      </x:c>
      <x:c r="C277" s="60" t="s">
        <x:v>1359</x:v>
      </x:c>
      <x:c r="D277" s="80">
        <x:v>3513</x:v>
      </x:c>
      <x:c r="E277" s="80">
        <x:v>3467</x:v>
      </x:c>
      <x:c r="F277" s="80">
        <x:v>1884</x:v>
      </x:c>
      <x:c r="G277" s="80">
        <x:v>1938</x:v>
      </x:c>
      <x:c r="H277" s="80">
        <x:v>1316</x:v>
      </x:c>
      <x:c r="I277" s="80" t="s">
        <x:v>818</x:v>
      </x:c>
      <x:c r="U277" s="189">
        <x:f t="shared" si="38"/>
        <x:v>1</x:v>
      </x:c>
    </x:row>
    <x:row r="278" spans="2:21">
      <x:c r="B278" s="46" t="s">
        <x:v>573</x:v>
      </x:c>
      <x:c r="C278" s="60" t="s">
        <x:v>1366</x:v>
      </x:c>
      <x:c r="D278" s="80">
        <x:v>3451</x:v>
      </x:c>
      <x:c r="E278" s="80">
        <x:v>3360</x:v>
      </x:c>
      <x:c r="F278" s="80">
        <x:v>1828</x:v>
      </x:c>
      <x:c r="G278" s="80">
        <x:v>1893</x:v>
      </x:c>
      <x:c r="H278" s="80">
        <x:v>1297</x:v>
      </x:c>
      <x:c r="I278" s="80" t="s">
        <x:v>818</x:v>
      </x:c>
      <x:c r="U278" s="189">
        <x:f t="shared" si="38"/>
        <x:v>1</x:v>
      </x:c>
    </x:row>
    <x:row r="279" spans="2:21">
      <x:c r="B279" s="46" t="s">
        <x:v>292</x:v>
      </x:c>
      <x:c r="C279" s="60" t="s">
        <x:v>751</x:v>
      </x:c>
      <x:c r="D279" s="80">
        <x:v>15607</x:v>
      </x:c>
      <x:c r="E279" s="80">
        <x:v>15056</x:v>
      </x:c>
      <x:c r="F279" s="80">
        <x:v>8330</x:v>
      </x:c>
      <x:c r="G279" s="80">
        <x:v>8806</x:v>
      </x:c>
      <x:c r="H279" s="80">
        <x:v>6178</x:v>
      </x:c>
      <x:c r="I279" s="80" t="s">
        <x:v>818</x:v>
      </x:c>
      <x:c r="U279" s="189">
        <x:f t="shared" si="38"/>
        <x:v>1</x:v>
      </x:c>
    </x:row>
    <x:row r="280" spans="2:21">
      <x:c r="B280" s="61" t="s">
        <x:v>577</x:v>
      </x:c>
      <x:c r="C280" s="60" t="s">
        <x:v>798</x:v>
      </x:c>
      <x:c r="D280" s="80"/>
      <x:c r="E280" s="80"/>
      <x:c r="F280" s="80"/>
      <x:c r="G280" s="80"/>
      <x:c r="H280" s="80"/>
      <x:c r="I280" s="80"/>
      <x:c r="U280" s="188">
        <x:v>1</x:v>
      </x:c>
    </x:row>
    <x:row r="281" spans="2:21">
      <x:c r="B281" s="46" t="s">
        <x:v>2315</x:v>
      </x:c>
      <x:c r="C281" s="60" t="s">
        <x:v>1821</x:v>
      </x:c>
      <x:c r="D281" s="80" t="s">
        <x:v>818</x:v>
      </x:c>
      <x:c r="E281" s="80" t="s">
        <x:v>818</x:v>
      </x:c>
      <x:c r="F281" s="80" t="s">
        <x:v>818</x:v>
      </x:c>
      <x:c r="G281" s="80" t="s">
        <x:v>818</x:v>
      </x:c>
      <x:c r="H281" s="80" t="s">
        <x:v>818</x:v>
      </x:c>
      <x:c r="I281" s="80" t="s">
        <x:v>818</x:v>
      </x:c>
      <x:c r="U281" s="189" t="str">
        <x:f t="shared" ref="U281:U288" si="39">IF(COUNT(D281:I281)&lt;&gt;0,1,"")</x:f>
        <x:v/>
      </x:c>
    </x:row>
    <x:row r="282" spans="2:21">
      <x:c r="B282" s="46" t="s">
        <x:v>1800</x:v>
      </x:c>
      <x:c r="C282" s="60" t="s">
        <x:v>1822</x:v>
      </x:c>
      <x:c r="D282" s="80" t="s">
        <x:v>818</x:v>
      </x:c>
      <x:c r="E282" s="80" t="s">
        <x:v>818</x:v>
      </x:c>
      <x:c r="F282" s="80" t="s">
        <x:v>818</x:v>
      </x:c>
      <x:c r="G282" s="80" t="s">
        <x:v>818</x:v>
      </x:c>
      <x:c r="H282" s="80" t="s">
        <x:v>818</x:v>
      </x:c>
      <x:c r="I282" s="80" t="s">
        <x:v>818</x:v>
      </x:c>
      <x:c r="U282" s="189" t="str">
        <x:f t="shared" si="39"/>
        <x:v/>
      </x:c>
    </x:row>
    <x:row r="283" spans="2:21">
      <x:c r="B283" s="46" t="s">
        <x:v>1489</x:v>
      </x:c>
      <x:c r="C283" s="60" t="s">
        <x:v>1824</x:v>
      </x:c>
      <x:c r="D283" s="80" t="s">
        <x:v>818</x:v>
      </x:c>
      <x:c r="E283" s="80" t="s">
        <x:v>818</x:v>
      </x:c>
      <x:c r="F283" s="80" t="s">
        <x:v>818</x:v>
      </x:c>
      <x:c r="G283" s="80" t="s">
        <x:v>818</x:v>
      </x:c>
      <x:c r="H283" s="80" t="s">
        <x:v>818</x:v>
      </x:c>
      <x:c r="I283" s="80" t="s">
        <x:v>818</x:v>
      </x:c>
      <x:c r="U283" s="189" t="str">
        <x:f t="shared" si="39"/>
        <x:v/>
      </x:c>
    </x:row>
    <x:row r="284" spans="2:21">
      <x:c r="B284" s="46" t="s">
        <x:v>1803</x:v>
      </x:c>
      <x:c r="C284" s="60" t="s">
        <x:v>1362</x:v>
      </x:c>
      <x:c r="D284" s="80" t="s">
        <x:v>818</x:v>
      </x:c>
      <x:c r="E284" s="80" t="s">
        <x:v>818</x:v>
      </x:c>
      <x:c r="F284" s="80" t="s">
        <x:v>818</x:v>
      </x:c>
      <x:c r="G284" s="80" t="s">
        <x:v>818</x:v>
      </x:c>
      <x:c r="H284" s="80" t="s">
        <x:v>818</x:v>
      </x:c>
      <x:c r="I284" s="80" t="s">
        <x:v>818</x:v>
      </x:c>
      <x:c r="U284" s="189" t="str">
        <x:f t="shared" si="39"/>
        <x:v/>
      </x:c>
    </x:row>
    <x:row r="285" spans="2:21">
      <x:c r="B285" s="46" t="s">
        <x:v>1480</x:v>
      </x:c>
      <x:c r="C285" s="60" t="s">
        <x:v>1827</x:v>
      </x:c>
      <x:c r="D285" s="80">
        <x:v>4011</x:v>
      </x:c>
      <x:c r="E285" s="80">
        <x:v>5395</x:v>
      </x:c>
      <x:c r="F285" s="80">
        <x:v>5002</x:v>
      </x:c>
      <x:c r="G285" s="80">
        <x:v>4584</x:v>
      </x:c>
      <x:c r="H285" s="80">
        <x:v>4651</x:v>
      </x:c>
      <x:c r="I285" s="80" t="s">
        <x:v>818</x:v>
      </x:c>
      <x:c r="U285" s="189">
        <x:f t="shared" si="39"/>
        <x:v>1</x:v>
      </x:c>
    </x:row>
    <x:row r="286" spans="2:21">
      <x:c r="B286" s="46" t="s">
        <x:v>1506</x:v>
      </x:c>
      <x:c r="C286" s="60" t="s">
        <x:v>1516</x:v>
      </x:c>
      <x:c r="D286" s="80">
        <x:v>-122</x:v>
      </x:c>
      <x:c r="E286" s="80">
        <x:v>-123</x:v>
      </x:c>
      <x:c r="F286" s="80">
        <x:v>-121</x:v>
      </x:c>
      <x:c r="G286" s="80">
        <x:v>-119</x:v>
      </x:c>
      <x:c r="H286" s="80">
        <x:v>-117</x:v>
      </x:c>
      <x:c r="I286" s="80" t="s">
        <x:v>818</x:v>
      </x:c>
      <x:c r="U286" s="189">
        <x:f t="shared" si="39"/>
        <x:v>1</x:v>
      </x:c>
    </x:row>
    <x:row r="287" spans="2:21">
      <x:c r="B287" s="46" t="s">
        <x:v>2314</x:v>
      </x:c>
      <x:c r="C287" s="60" t="s">
        <x:v>2366</x:v>
      </x:c>
      <x:c r="D287" s="80">
        <x:v>-1740</x:v>
      </x:c>
      <x:c r="E287" s="80">
        <x:v>-1601</x:v>
      </x:c>
      <x:c r="F287" s="80">
        <x:v>-1281</x:v>
      </x:c>
      <x:c r="G287" s="80">
        <x:v>-1262</x:v>
      </x:c>
      <x:c r="H287" s="80">
        <x:v>-1160</x:v>
      </x:c>
      <x:c r="I287" s="80" t="s">
        <x:v>818</x:v>
      </x:c>
      <x:c r="U287" s="189">
        <x:f t="shared" si="39"/>
        <x:v>1</x:v>
      </x:c>
    </x:row>
    <x:row r="288" spans="2:21">
      <x:c r="B288" s="46" t="s">
        <x:v>1812</x:v>
      </x:c>
      <x:c r="C288" s="60" t="s">
        <x:v>2356</x:v>
      </x:c>
      <x:c r="D288" s="80" t="s">
        <x:v>818</x:v>
      </x:c>
      <x:c r="E288" s="80" t="s">
        <x:v>818</x:v>
      </x:c>
      <x:c r="F288" s="80" t="s">
        <x:v>818</x:v>
      </x:c>
      <x:c r="G288" s="80" t="s">
        <x:v>818</x:v>
      </x:c>
      <x:c r="H288" s="80" t="s">
        <x:v>818</x:v>
      </x:c>
      <x:c r="I288" s="80" t="s">
        <x:v>818</x:v>
      </x:c>
      <x:c r="U288" s="189" t="str">
        <x:f t="shared" si="39"/>
        <x:v/>
      </x:c>
    </x:row>
    <x:row r="289" spans="2:21">
      <x:c r="B289" s="61" t="s">
        <x:v>84</x:v>
      </x:c>
      <x:c r="C289" s="60" t="s">
        <x:v>798</x:v>
      </x:c>
      <x:c r="D289" s="80"/>
      <x:c r="E289" s="80"/>
      <x:c r="F289" s="80"/>
      <x:c r="G289" s="80"/>
      <x:c r="H289" s="80"/>
      <x:c r="I289" s="80"/>
      <x:c r="U289" s="188">
        <x:v>1</x:v>
      </x:c>
    </x:row>
    <x:row r="290" spans="2:21">
      <x:c r="B290" s="46" t="s">
        <x:v>15</x:v>
      </x:c>
      <x:c r="C290" s="60" t="s">
        <x:v>1363</x:v>
      </x:c>
      <x:c r="D290" s="80" t="s">
        <x:v>818</x:v>
      </x:c>
      <x:c r="E290" s="80" t="s">
        <x:v>818</x:v>
      </x:c>
      <x:c r="F290" s="80" t="s">
        <x:v>818</x:v>
      </x:c>
      <x:c r="G290" s="80" t="s">
        <x:v>818</x:v>
      </x:c>
      <x:c r="H290" s="80" t="s">
        <x:v>818</x:v>
      </x:c>
      <x:c r="I290" s="80" t="s">
        <x:v>818</x:v>
      </x:c>
      <x:c r="U290" s="189" t="str">
        <x:f t="shared" ref="U290:U292" si="40">IF(COUNT(D290:I290)&lt;&gt;0,1,"")</x:f>
        <x:v/>
      </x:c>
    </x:row>
    <x:row r="291" spans="2:21">
      <x:c r="B291" s="46" t="s">
        <x:v>295</x:v>
      </x:c>
      <x:c r="C291" s="60" t="s">
        <x:v>1836</x:v>
      </x:c>
      <x:c r="D291" s="80" t="s">
        <x:v>818</x:v>
      </x:c>
      <x:c r="E291" s="80" t="s">
        <x:v>818</x:v>
      </x:c>
      <x:c r="F291" s="80" t="s">
        <x:v>818</x:v>
      </x:c>
      <x:c r="G291" s="80" t="s">
        <x:v>818</x:v>
      </x:c>
      <x:c r="H291" s="80" t="s">
        <x:v>818</x:v>
      </x:c>
      <x:c r="I291" s="80" t="s">
        <x:v>818</x:v>
      </x:c>
      <x:c r="U291" s="189" t="str">
        <x:f t="shared" si="40"/>
        <x:v/>
      </x:c>
    </x:row>
    <x:row r="292" spans="2:21">
      <x:c r="B292" s="46" t="s">
        <x:v>67</x:v>
      </x:c>
      <x:c r="C292" s="60" t="s">
        <x:v>1364</x:v>
      </x:c>
      <x:c r="D292" s="80">
        <x:v>2149</x:v>
      </x:c>
      <x:c r="E292" s="80">
        <x:v>3671</x:v>
      </x:c>
      <x:c r="F292" s="80">
        <x:v>3600</x:v>
      </x:c>
      <x:c r="G292" s="80">
        <x:v>3202</x:v>
      </x:c>
      <x:c r="H292" s="80">
        <x:v>3373</x:v>
      </x:c>
      <x:c r="I292" s="80" t="s">
        <x:v>818</x:v>
      </x:c>
      <x:c r="U292" s="189">
        <x:f t="shared" si="40"/>
        <x:v>1</x:v>
      </x:c>
    </x:row>
    <x:row r="293" spans="2:21">
      <x:c r="B293" s="61" t="s">
        <x:v>1804</x:v>
      </x:c>
      <x:c r="C293" s="60" t="s">
        <x:v>798</x:v>
      </x:c>
      <x:c r="D293" s="80"/>
      <x:c r="E293" s="80"/>
      <x:c r="F293" s="80"/>
      <x:c r="G293" s="80"/>
      <x:c r="H293" s="80"/>
      <x:c r="I293" s="80"/>
      <x:c r="U293" s="188">
        <x:v>1</x:v>
      </x:c>
    </x:row>
    <x:row r="294" spans="2:21">
      <x:c r="B294" s="46" t="s">
        <x:v>1321</x:v>
      </x:c>
      <x:c r="C294" s="60" t="s">
        <x:v>303</x:v>
      </x:c>
      <x:c r="D294" s="80" t="s">
        <x:v>818</x:v>
      </x:c>
      <x:c r="E294" s="80" t="s">
        <x:v>818</x:v>
      </x:c>
      <x:c r="F294" s="80" t="s">
        <x:v>818</x:v>
      </x:c>
      <x:c r="G294" s="80" t="s">
        <x:v>818</x:v>
      </x:c>
      <x:c r="H294" s="80" t="s">
        <x:v>818</x:v>
      </x:c>
      <x:c r="I294" s="80" t="s">
        <x:v>818</x:v>
      </x:c>
      <x:c r="U294" s="189" t="str">
        <x:f t="shared" ref="U294:U297" si="41">IF(COUNT(D294:I294)&lt;&gt;0,1,"")</x:f>
        <x:v/>
      </x:c>
    </x:row>
    <x:row r="295" spans="2:21">
      <x:c r="B295" s="46" t="s">
        <x:v>1320</x:v>
      </x:c>
      <x:c r="C295" s="60" t="s">
        <x:v>978</x:v>
      </x:c>
      <x:c r="D295" s="80" t="s">
        <x:v>818</x:v>
      </x:c>
      <x:c r="E295" s="80" t="s">
        <x:v>818</x:v>
      </x:c>
      <x:c r="F295" s="80" t="s">
        <x:v>818</x:v>
      </x:c>
      <x:c r="G295" s="80" t="s">
        <x:v>818</x:v>
      </x:c>
      <x:c r="H295" s="80" t="s">
        <x:v>818</x:v>
      </x:c>
      <x:c r="I295" s="80" t="s">
        <x:v>818</x:v>
      </x:c>
      <x:c r="U295" s="189" t="str">
        <x:f t="shared" si="41"/>
        <x:v/>
      </x:c>
    </x:row>
    <x:row r="296" spans="2:21">
      <x:c r="B296" s="46" t="s">
        <x:v>976</x:v>
      </x:c>
      <x:c r="C296" s="60" t="s">
        <x:v>962</x:v>
      </x:c>
      <x:c r="D296" s="80" t="s">
        <x:v>818</x:v>
      </x:c>
      <x:c r="E296" s="80" t="s">
        <x:v>818</x:v>
      </x:c>
      <x:c r="F296" s="80" t="s">
        <x:v>818</x:v>
      </x:c>
      <x:c r="G296" s="80" t="s">
        <x:v>818</x:v>
      </x:c>
      <x:c r="H296" s="80" t="s">
        <x:v>818</x:v>
      </x:c>
      <x:c r="I296" s="80" t="s">
        <x:v>818</x:v>
      </x:c>
      <x:c r="U296" s="189" t="str">
        <x:f t="shared" si="41"/>
        <x:v/>
      </x:c>
    </x:row>
    <x:row r="297" spans="2:21">
      <x:c r="B297" s="46" t="s">
        <x:v>24</x:v>
      </x:c>
      <x:c r="C297" s="60" t="s">
        <x:v>313</x:v>
      </x:c>
      <x:c r="D297" s="80" t="s">
        <x:v>818</x:v>
      </x:c>
      <x:c r="E297" s="80" t="s">
        <x:v>818</x:v>
      </x:c>
      <x:c r="F297" s="80" t="s">
        <x:v>818</x:v>
      </x:c>
      <x:c r="G297" s="80" t="s">
        <x:v>818</x:v>
      </x:c>
      <x:c r="H297" s="80" t="s">
        <x:v>818</x:v>
      </x:c>
      <x:c r="I297" s="80" t="s">
        <x:v>818</x:v>
      </x:c>
      <x:c r="U297" s="189" t="str">
        <x:f t="shared" si="41"/>
        <x:v/>
      </x:c>
    </x:row>
    <x:row r="298" spans="2:21">
      <x:c r="B298" s="46" t="s">
        <x:v>1500</x:v>
      </x:c>
      <x:c r="C298" s="60" t="s">
        <x:v>1501</x:v>
      </x:c>
      <x:c r="D298" s="23">
        <x:v>44196</x:v>
      </x:c>
      <x:c r="E298" s="23">
        <x:v>44561</x:v>
      </x:c>
      <x:c r="F298" s="23">
        <x:v>44926</x:v>
      </x:c>
      <x:c r="G298" s="23">
        <x:v>45291</x:v>
      </x:c>
      <x:c r="H298" s="23">
        <x:v>45657</x:v>
      </x:c>
      <x:c r="I298" s="23"/>
      <x:c r="U298" s="188">
        <x:v>1</x:v>
      </x:c>
    </x:row>
    <x:row r="299" spans="2:21">
      <x:c r="B299" s="46"/>
      <x:c r="C299" s="60" t="s">
        <x:v>798</x:v>
      </x:c>
      <x:c r="D299" s="80"/>
      <x:c r="E299" s="80"/>
      <x:c r="F299" s="80"/>
      <x:c r="G299" s="80"/>
      <x:c r="H299" s="80"/>
      <x:c r="I299" s="80"/>
      <x:c r="U299" s="188">
        <x:v>1</x:v>
      </x:c>
    </x:row>
    <x:row r="300" spans="2:21">
      <x:c r="B300" s="61" t="s">
        <x:v>2026</x:v>
      </x:c>
      <x:c r="C300" s="60" t="s">
        <x:v>798</x:v>
      </x:c>
      <x:c r="D300" s="80"/>
      <x:c r="E300" s="80"/>
      <x:c r="F300" s="80"/>
      <x:c r="G300" s="80"/>
      <x:c r="H300" s="80"/>
      <x:c r="I300" s="80"/>
      <x:c r="U300" s="188">
        <x:v>1</x:v>
      </x:c>
    </x:row>
    <x:row r="301" spans="2:21">
      <x:c r="B301" s="61" t="s">
        <x:v>560</x:v>
      </x:c>
      <x:c r="C301" s="60" t="s">
        <x:v>798</x:v>
      </x:c>
      <x:c r="D301" s="80">
        <x:v>10</x:v>
      </x:c>
      <x:c r="E301" s="80">
        <x:v>9</x:v>
      </x:c>
      <x:c r="F301" s="80">
        <x:v>7</x:v>
      </x:c>
      <x:c r="G301" s="80">
        <x:v>5</x:v>
      </x:c>
      <x:c r="H301" s="80">
        <x:v>4</x:v>
      </x:c>
      <x:c r="I301" s="80">
        <x:v>2</x:v>
      </x:c>
      <x:c r="U301" s="189">
        <x:f t="shared" ref="U301:U308" si="42">IF(COUNT(D301:I301)&lt;&gt;0,1,"")</x:f>
        <x:v>1</x:v>
      </x:c>
    </x:row>
    <x:row r="302" spans="2:21">
      <x:c r="B302" s="46" t="s">
        <x:v>1761</x:v>
      </x:c>
      <x:c r="C302" s="60" t="s">
        <x:v>1829</x:v>
      </x:c>
      <x:c r="D302" s="80">
        <x:v>9</x:v>
      </x:c>
      <x:c r="E302" s="80">
        <x:v>7</x:v>
      </x:c>
      <x:c r="F302" s="80">
        <x:v>5</x:v>
      </x:c>
      <x:c r="G302" s="80">
        <x:v>4</x:v>
      </x:c>
      <x:c r="H302" s="80">
        <x:v>2</x:v>
      </x:c>
      <x:c r="I302" s="80" t="s">
        <x:v>818</x:v>
      </x:c>
      <x:c r="U302" s="189">
        <x:f t="shared" si="42"/>
        <x:v>1</x:v>
      </x:c>
    </x:row>
    <x:row r="303" spans="2:21">
      <x:c r="B303" s="46" t="s">
        <x:v>1799</x:v>
      </x:c>
      <x:c r="C303" s="60" t="s">
        <x:v>1828</x:v>
      </x:c>
      <x:c r="D303" s="80">
        <x:v>103</x:v>
      </x:c>
      <x:c r="E303" s="80">
        <x:v>65</x:v>
      </x:c>
      <x:c r="F303" s="80">
        <x:v>85</x:v>
      </x:c>
      <x:c r="G303" s="80">
        <x:v>117</x:v>
      </x:c>
      <x:c r="H303" s="80">
        <x:v>106</x:v>
      </x:c>
      <x:c r="I303" s="80" t="s">
        <x:v>818</x:v>
      </x:c>
      <x:c r="U303" s="189">
        <x:f t="shared" si="42"/>
        <x:v>1</x:v>
      </x:c>
    </x:row>
    <x:row r="304" spans="2:21">
      <x:c r="B304" s="46" t="s">
        <x:v>312</x:v>
      </x:c>
      <x:c r="C304" s="60" t="s">
        <x:v>2345</x:v>
      </x:c>
      <x:c r="D304" s="80" t="s">
        <x:v>818</x:v>
      </x:c>
      <x:c r="E304" s="80" t="s">
        <x:v>818</x:v>
      </x:c>
      <x:c r="F304" s="80" t="s">
        <x:v>818</x:v>
      </x:c>
      <x:c r="G304" s="80" t="s">
        <x:v>818</x:v>
      </x:c>
      <x:c r="H304" s="80" t="s">
        <x:v>818</x:v>
      </x:c>
      <x:c r="I304" s="80" t="s">
        <x:v>818</x:v>
      </x:c>
      <x:c r="U304" s="189" t="str">
        <x:f t="shared" si="42"/>
        <x:v/>
      </x:c>
    </x:row>
    <x:row r="305" spans="2:21">
      <x:c r="B305" s="46" t="s">
        <x:v>1823</x:v>
      </x:c>
      <x:c r="C305" s="60" t="s">
        <x:v>2361</x:v>
      </x:c>
      <x:c r="D305" s="80">
        <x:v>33</x:v>
      </x:c>
      <x:c r="E305" s="80">
        <x:v>56</x:v>
      </x:c>
      <x:c r="F305" s="80">
        <x:v>-5</x:v>
      </x:c>
      <x:c r="G305" s="80">
        <x:v>-29</x:v>
      </x:c>
      <x:c r="H305" s="80">
        <x:v>-29</x:v>
      </x:c>
      <x:c r="I305" s="80" t="s">
        <x:v>818</x:v>
      </x:c>
      <x:c r="U305" s="189">
        <x:f t="shared" si="42"/>
        <x:v>1</x:v>
      </x:c>
    </x:row>
    <x:row r="306" spans="2:21">
      <x:c r="B306" s="46" t="s">
        <x:v>1327</x:v>
      </x:c>
      <x:c r="C306" s="60" t="s">
        <x:v>2360</x:v>
      </x:c>
      <x:c r="D306" s="80">
        <x:v>145</x:v>
      </x:c>
      <x:c r="E306" s="80">
        <x:v>127</x:v>
      </x:c>
      <x:c r="F306" s="80">
        <x:v>85</x:v>
      </x:c>
      <x:c r="G306" s="80">
        <x:v>92</x:v>
      </x:c>
      <x:c r="H306" s="80">
        <x:v>79</x:v>
      </x:c>
      <x:c r="I306" s="80" t="s">
        <x:v>818</x:v>
      </x:c>
      <x:c r="U306" s="189">
        <x:f t="shared" si="42"/>
        <x:v>1</x:v>
      </x:c>
    </x:row>
    <x:row r="307" spans="2:21">
      <x:c r="B307" s="46" t="s">
        <x:v>280</x:v>
      </x:c>
      <x:c r="C307" s="60" t="s">
        <x:v>754</x:v>
      </x:c>
      <x:c r="D307" s="80" t="s">
        <x:v>818</x:v>
      </x:c>
      <x:c r="E307" s="80" t="s">
        <x:v>818</x:v>
      </x:c>
      <x:c r="F307" s="80" t="s">
        <x:v>818</x:v>
      </x:c>
      <x:c r="G307" s="80" t="s">
        <x:v>818</x:v>
      </x:c>
      <x:c r="H307" s="80" t="s">
        <x:v>818</x:v>
      </x:c>
      <x:c r="I307" s="80" t="s">
        <x:v>818</x:v>
      </x:c>
      <x:c r="U307" s="189" t="str">
        <x:f t="shared" si="42"/>
        <x:v/>
      </x:c>
    </x:row>
    <x:row r="308" spans="2:21">
      <x:c r="B308" s="46" t="s">
        <x:v>961</x:v>
      </x:c>
      <x:c r="C308" s="60" t="s">
        <x:v>973</x:v>
      </x:c>
      <x:c r="D308" s="80" t="s">
        <x:v>818</x:v>
      </x:c>
      <x:c r="E308" s="80" t="s">
        <x:v>818</x:v>
      </x:c>
      <x:c r="F308" s="80" t="s">
        <x:v>818</x:v>
      </x:c>
      <x:c r="G308" s="80" t="s">
        <x:v>818</x:v>
      </x:c>
      <x:c r="H308" s="80" t="s">
        <x:v>818</x:v>
      </x:c>
      <x:c r="I308" s="80" t="s">
        <x:v>818</x:v>
      </x:c>
      <x:c r="U308" s="189" t="str">
        <x:f t="shared" si="42"/>
        <x:v/>
      </x:c>
    </x:row>
    <x:row r="309" spans="2:21">
      <x:c r="B309" s="61" t="s">
        <x:v>1780</x:v>
      </x:c>
      <x:c r="C309" s="60" t="s">
        <x:v>798</x:v>
      </x:c>
      <x:c r="D309" s="80"/>
      <x:c r="E309" s="80"/>
      <x:c r="F309" s="80"/>
      <x:c r="G309" s="80"/>
      <x:c r="H309" s="80"/>
      <x:c r="I309" s="80"/>
      <x:c r="U309" s="188">
        <x:v>1</x:v>
      </x:c>
    </x:row>
    <x:row r="310" spans="2:21">
      <x:c r="B310" s="46" t="s">
        <x:v>1799</x:v>
      </x:c>
      <x:c r="C310" s="60" t="s">
        <x:v>314</x:v>
      </x:c>
      <x:c r="D310" s="80">
        <x:v>103</x:v>
      </x:c>
      <x:c r="E310" s="80">
        <x:v>65</x:v>
      </x:c>
      <x:c r="F310" s="80">
        <x:v>85</x:v>
      </x:c>
      <x:c r="G310" s="80">
        <x:v>117</x:v>
      </x:c>
      <x:c r="H310" s="80">
        <x:v>106</x:v>
      </x:c>
      <x:c r="I310" s="80" t="s">
        <x:v>818</x:v>
      </x:c>
      <x:c r="U310" s="189">
        <x:f t="shared" ref="U310:U319" si="43">IF(COUNT(D310:I310)&lt;&gt;0,1,"")</x:f>
        <x:v>1</x:v>
      </x:c>
    </x:row>
    <x:row r="311" spans="2:21">
      <x:c r="B311" s="46" t="s">
        <x:v>317</x:v>
      </x:c>
      <x:c r="C311" s="60" t="s">
        <x:v>81</x:v>
      </x:c>
      <x:c r="D311" s="80">
        <x:v>56</x:v>
      </x:c>
      <x:c r="E311" s="80">
        <x:v>50</x:v>
      </x:c>
      <x:c r="F311" s="80">
        <x:v>43</x:v>
      </x:c>
      <x:c r="G311" s="80">
        <x:v>38</x:v>
      </x:c>
      <x:c r="H311" s="80">
        <x:v>33</x:v>
      </x:c>
      <x:c r="I311" s="80" t="s">
        <x:v>818</x:v>
      </x:c>
      <x:c r="U311" s="189">
        <x:f t="shared" si="43"/>
        <x:v>1</x:v>
      </x:c>
    </x:row>
    <x:row r="312" spans="2:21">
      <x:c r="B312" s="46" t="s">
        <x:v>23</x:v>
      </x:c>
      <x:c r="C312" s="60" t="s">
        <x:v>951</x:v>
      </x:c>
      <x:c r="D312" s="80">
        <x:v>135</x:v>
      </x:c>
      <x:c r="E312" s="80">
        <x:v>-141</x:v>
      </x:c>
      <x:c r="F312" s="80">
        <x:v>-780</x:v>
      </x:c>
      <x:c r="G312" s="80">
        <x:v>-19</x:v>
      </x:c>
      <x:c r="H312" s="80">
        <x:v>116</x:v>
      </x:c>
      <x:c r="I312" s="80" t="s">
        <x:v>818</x:v>
      </x:c>
      <x:c r="U312" s="189">
        <x:f t="shared" si="43"/>
        <x:v>1</x:v>
      </x:c>
    </x:row>
    <x:row r="313" spans="2:21">
      <x:c r="B313" s="46" t="s">
        <x:v>1448</x:v>
      </x:c>
      <x:c r="C313" s="60" t="s">
        <x:v>1831</x:v>
      </x:c>
      <x:c r="D313" s="80">
        <x:v>-369</x:v>
      </x:c>
      <x:c r="E313" s="80">
        <x:v>-370</x:v>
      </x:c>
      <x:c r="F313" s="80">
        <x:v>-387</x:v>
      </x:c>
      <x:c r="G313" s="80">
        <x:v>-277</x:v>
      </x:c>
      <x:c r="H313" s="80">
        <x:v>-235</x:v>
      </x:c>
      <x:c r="I313" s="80" t="s">
        <x:v>818</x:v>
      </x:c>
      <x:c r="U313" s="189">
        <x:f t="shared" si="43"/>
        <x:v>1</x:v>
      </x:c>
    </x:row>
    <x:row r="314" spans="2:21">
      <x:c r="B314" s="46" t="s">
        <x:v>2351</x:v>
      </x:c>
      <x:c r="C314" s="60" t="s">
        <x:v>1369</x:v>
      </x:c>
      <x:c r="D314" s="80" t="s">
        <x:v>818</x:v>
      </x:c>
      <x:c r="E314" s="80" t="s">
        <x:v>818</x:v>
      </x:c>
      <x:c r="F314" s="80" t="s">
        <x:v>818</x:v>
      </x:c>
      <x:c r="G314" s="80" t="s">
        <x:v>818</x:v>
      </x:c>
      <x:c r="H314" s="80" t="s">
        <x:v>818</x:v>
      </x:c>
      <x:c r="I314" s="80" t="s">
        <x:v>818</x:v>
      </x:c>
      <x:c r="U314" s="189" t="str">
        <x:f t="shared" si="43"/>
        <x:v/>
      </x:c>
    </x:row>
    <x:row r="315" spans="2:21">
      <x:c r="B315" s="46" t="s">
        <x:v>1844</x:v>
      </x:c>
      <x:c r="C315" s="60" t="s">
        <x:v>1837</x:v>
      </x:c>
      <x:c r="D315" s="80" t="s">
        <x:v>818</x:v>
      </x:c>
      <x:c r="E315" s="80" t="s">
        <x:v>818</x:v>
      </x:c>
      <x:c r="F315" s="80" t="s">
        <x:v>818</x:v>
      </x:c>
      <x:c r="G315" s="80" t="s">
        <x:v>818</x:v>
      </x:c>
      <x:c r="H315" s="80" t="s">
        <x:v>818</x:v>
      </x:c>
      <x:c r="I315" s="80" t="s">
        <x:v>818</x:v>
      </x:c>
      <x:c r="U315" s="189" t="str">
        <x:f t="shared" si="43"/>
        <x:v/>
      </x:c>
    </x:row>
    <x:row r="316" spans="2:21">
      <x:c r="B316" s="46" t="s">
        <x:v>330</x:v>
      </x:c>
      <x:c r="C316" s="60" t="s">
        <x:v>1367</x:v>
      </x:c>
      <x:c r="D316" s="80" t="s">
        <x:v>818</x:v>
      </x:c>
      <x:c r="E316" s="80" t="s">
        <x:v>818</x:v>
      </x:c>
      <x:c r="F316" s="80" t="s">
        <x:v>818</x:v>
      </x:c>
      <x:c r="G316" s="80" t="s">
        <x:v>818</x:v>
      </x:c>
      <x:c r="H316" s="80" t="s">
        <x:v>818</x:v>
      </x:c>
      <x:c r="I316" s="80" t="s">
        <x:v>818</x:v>
      </x:c>
      <x:c r="U316" s="189" t="str">
        <x:f t="shared" si="43"/>
        <x:v/>
      </x:c>
    </x:row>
    <x:row r="317" spans="2:21">
      <x:c r="B317" s="46" t="s">
        <x:v>318</x:v>
      </x:c>
      <x:c r="C317" s="60" t="s">
        <x:v>315</x:v>
      </x:c>
      <x:c r="D317" s="80" t="s">
        <x:v>818</x:v>
      </x:c>
      <x:c r="E317" s="80">
        <x:v>3</x:v>
      </x:c>
      <x:c r="F317" s="80" t="s">
        <x:v>818</x:v>
      </x:c>
      <x:c r="G317" s="80" t="s">
        <x:v>818</x:v>
      </x:c>
      <x:c r="H317" s="80" t="s">
        <x:v>818</x:v>
      </x:c>
      <x:c r="I317" s="80" t="s">
        <x:v>818</x:v>
      </x:c>
      <x:c r="U317" s="189">
        <x:f t="shared" si="43"/>
        <x:v>1</x:v>
      </x:c>
    </x:row>
    <x:row r="318" spans="2:21">
      <x:c r="B318" s="46" t="s">
        <x:v>1323</x:v>
      </x:c>
      <x:c r="C318" s="60" t="s">
        <x:v>746</x:v>
      </x:c>
      <x:c r="D318" s="80">
        <x:v>3791</x:v>
      </x:c>
      <x:c r="E318" s="80">
        <x:v>3404</x:v>
      </x:c>
      <x:c r="F318" s="80">
        <x:v>2369</x:v>
      </x:c>
      <x:c r="G318" s="80">
        <x:v>2233</x:v>
      </x:c>
      <x:c r="H318" s="80">
        <x:v>2257</x:v>
      </x:c>
      <x:c r="I318" s="80" t="s">
        <x:v>818</x:v>
      </x:c>
      <x:c r="U318" s="189">
        <x:f t="shared" si="43"/>
        <x:v>1</x:v>
      </x:c>
    </x:row>
    <x:row r="319" spans="2:21">
      <x:c r="B319" s="46" t="s">
        <x:v>1368</x:v>
      </x:c>
      <x:c r="C319" s="60" t="s">
        <x:v>770</x:v>
      </x:c>
      <x:c r="D319" s="80" t="s">
        <x:v>818</x:v>
      </x:c>
      <x:c r="E319" s="80" t="s">
        <x:v>818</x:v>
      </x:c>
      <x:c r="F319" s="80" t="s">
        <x:v>818</x:v>
      </x:c>
      <x:c r="G319" s="80" t="s">
        <x:v>818</x:v>
      </x:c>
      <x:c r="H319" s="80" t="s">
        <x:v>818</x:v>
      </x:c>
      <x:c r="I319" s="80" t="s">
        <x:v>818</x:v>
      </x:c>
      <x:c r="U319" s="189" t="str">
        <x:f t="shared" si="43"/>
        <x:v/>
      </x:c>
    </x:row>
    <x:row r="320" spans="2:21">
      <x:c r="B320" s="61" t="s">
        <x:v>1132</x:v>
      </x:c>
      <x:c r="C320" s="60" t="s">
        <x:v>798</x:v>
      </x:c>
      <x:c r="D320" s="80"/>
      <x:c r="E320" s="80"/>
      <x:c r="F320" s="80"/>
      <x:c r="G320" s="80"/>
      <x:c r="H320" s="80"/>
      <x:c r="I320" s="80"/>
      <x:c r="U320" s="188">
        <x:v>1</x:v>
      </x:c>
    </x:row>
    <x:row r="321" spans="2:21">
      <x:c r="B321" s="46" t="s">
        <x:v>1512</x:v>
      </x:c>
      <x:c r="C321" s="60" t="s">
        <x:v>2371</x:v>
      </x:c>
      <x:c r="D321" s="80">
        <x:v>3</x:v>
      </x:c>
      <x:c r="E321" s="80">
        <x:v>15</x:v>
      </x:c>
      <x:c r="F321" s="80">
        <x:v>8</x:v>
      </x:c>
      <x:c r="G321" s="80">
        <x:v>10</x:v>
      </x:c>
      <x:c r="H321" s="80">
        <x:v>10</x:v>
      </x:c>
      <x:c r="I321" s="80" t="s">
        <x:v>818</x:v>
      </x:c>
      <x:c r="U321" s="189">
        <x:f t="shared" ref="U321:U330" si="44">IF(COUNT(D321:I321)&lt;&gt;0,1,"")</x:f>
        <x:v>1</x:v>
      </x:c>
    </x:row>
    <x:row r="322" spans="2:21">
      <x:c r="B322" s="46" t="s">
        <x:v>1342</x:v>
      </x:c>
      <x:c r="C322" s="60" t="s">
        <x:v>758</x:v>
      </x:c>
      <x:c r="D322" s="80" t="s">
        <x:v>818</x:v>
      </x:c>
      <x:c r="E322" s="80" t="s">
        <x:v>818</x:v>
      </x:c>
      <x:c r="F322" s="80" t="s">
        <x:v>818</x:v>
      </x:c>
      <x:c r="G322" s="80" t="s">
        <x:v>818</x:v>
      </x:c>
      <x:c r="H322" s="80" t="s">
        <x:v>818</x:v>
      </x:c>
      <x:c r="I322" s="80" t="s">
        <x:v>818</x:v>
      </x:c>
      <x:c r="U322" s="189" t="str">
        <x:f t="shared" si="44"/>
        <x:v/>
      </x:c>
    </x:row>
    <x:row r="323" spans="2:21">
      <x:c r="B323" s="46" t="s">
        <x:v>2367</x:v>
      </x:c>
      <x:c r="C323" s="60" t="s">
        <x:v>950</x:v>
      </x:c>
      <x:c r="D323" s="80">
        <x:v>325</x:v>
      </x:c>
      <x:c r="E323" s="80">
        <x:v>313</x:v>
      </x:c>
      <x:c r="F323" s="80">
        <x:v>344</x:v>
      </x:c>
      <x:c r="G323" s="80">
        <x:v>233</x:v>
      </x:c>
      <x:c r="H323" s="80">
        <x:v>194</x:v>
      </x:c>
      <x:c r="I323" s="80" t="s">
        <x:v>818</x:v>
      </x:c>
      <x:c r="U323" s="189">
        <x:f t="shared" si="44"/>
        <x:v>1</x:v>
      </x:c>
    </x:row>
    <x:row r="324" spans="2:21">
      <x:c r="B324" s="46" t="s">
        <x:v>1847</x:v>
      </x:c>
      <x:c r="C324" s="60" t="s">
        <x:v>993</x:v>
      </x:c>
      <x:c r="D324" s="80">
        <x:v>56</x:v>
      </x:c>
      <x:c r="E324" s="80">
        <x:v>50</x:v>
      </x:c>
      <x:c r="F324" s="80">
        <x:v>43</x:v>
      </x:c>
      <x:c r="G324" s="80">
        <x:v>38</x:v>
      </x:c>
      <x:c r="H324" s="80">
        <x:v>33</x:v>
      </x:c>
      <x:c r="I324" s="80" t="s">
        <x:v>818</x:v>
      </x:c>
      <x:c r="U324" s="189">
        <x:f t="shared" si="44"/>
        <x:v>1</x:v>
      </x:c>
    </x:row>
    <x:row r="325" spans="2:21">
      <x:c r="B325" s="46" t="s">
        <x:v>2023</x:v>
      </x:c>
      <x:c r="C325" s="60" t="s">
        <x:v>771</x:v>
      </x:c>
      <x:c r="D325" s="80">
        <x:v>-369</x:v>
      </x:c>
      <x:c r="E325" s="80">
        <x:v>-369</x:v>
      </x:c>
      <x:c r="F325" s="80">
        <x:v>-385</x:v>
      </x:c>
      <x:c r="G325" s="80">
        <x:v>-274</x:v>
      </x:c>
      <x:c r="H325" s="80">
        <x:v>-233</x:v>
      </x:c>
      <x:c r="I325" s="80" t="s">
        <x:v>818</x:v>
      </x:c>
      <x:c r="U325" s="189">
        <x:f t="shared" si="44"/>
        <x:v>1</x:v>
      </x:c>
    </x:row>
    <x:row r="326" spans="2:21">
      <x:c r="B326" s="46" t="s">
        <x:v>1343</x:v>
      </x:c>
      <x:c r="C326" s="60" t="s">
        <x:v>1832</x:v>
      </x:c>
      <x:c r="D326" s="80" t="s">
        <x:v>818</x:v>
      </x:c>
      <x:c r="E326" s="80" t="s">
        <x:v>818</x:v>
      </x:c>
      <x:c r="F326" s="80" t="s">
        <x:v>818</x:v>
      </x:c>
      <x:c r="G326" s="80" t="s">
        <x:v>818</x:v>
      </x:c>
      <x:c r="H326" s="80" t="s">
        <x:v>818</x:v>
      </x:c>
      <x:c r="I326" s="80" t="s">
        <x:v>818</x:v>
      </x:c>
      <x:c r="U326" s="189" t="str">
        <x:f t="shared" si="44"/>
        <x:v/>
      </x:c>
    </x:row>
    <x:row r="327" spans="2:21">
      <x:c r="B327" s="46" t="s">
        <x:v>2370</x:v>
      </x:c>
      <x:c r="C327" s="60" t="s">
        <x:v>2341</x:v>
      </x:c>
      <x:c r="D327" s="80" t="s">
        <x:v>818</x:v>
      </x:c>
      <x:c r="E327" s="80" t="s">
        <x:v>818</x:v>
      </x:c>
      <x:c r="F327" s="80" t="s">
        <x:v>818</x:v>
      </x:c>
      <x:c r="G327" s="80" t="s">
        <x:v>818</x:v>
      </x:c>
      <x:c r="H327" s="80" t="s">
        <x:v>818</x:v>
      </x:c>
      <x:c r="I327" s="80" t="s">
        <x:v>818</x:v>
      </x:c>
      <x:c r="U327" s="189" t="str">
        <x:f t="shared" si="44"/>
        <x:v/>
      </x:c>
    </x:row>
    <x:row r="328" spans="2:21">
      <x:c r="B328" s="46" t="s">
        <x:v>1349</x:v>
      </x:c>
      <x:c r="C328" s="60" t="s">
        <x:v>1833</x:v>
      </x:c>
      <x:c r="D328" s="80" t="s">
        <x:v>818</x:v>
      </x:c>
      <x:c r="E328" s="80" t="s">
        <x:v>818</x:v>
      </x:c>
      <x:c r="F328" s="80" t="s">
        <x:v>818</x:v>
      </x:c>
      <x:c r="G328" s="80" t="s">
        <x:v>818</x:v>
      </x:c>
      <x:c r="H328" s="80" t="s">
        <x:v>818</x:v>
      </x:c>
      <x:c r="I328" s="80" t="s">
        <x:v>818</x:v>
      </x:c>
      <x:c r="U328" s="189" t="str">
        <x:f t="shared" si="44"/>
        <x:v/>
      </x:c>
    </x:row>
    <x:row r="329" spans="2:21">
      <x:c r="B329" s="46" t="s">
        <x:v>2352</x:v>
      </x:c>
      <x:c r="C329" s="60" t="s">
        <x:v>750</x:v>
      </x:c>
      <x:c r="D329" s="80" t="s">
        <x:v>818</x:v>
      </x:c>
      <x:c r="E329" s="80" t="s">
        <x:v>818</x:v>
      </x:c>
      <x:c r="F329" s="80" t="s">
        <x:v>818</x:v>
      </x:c>
      <x:c r="G329" s="80">
        <x:v>2</x:v>
      </x:c>
      <x:c r="H329" s="80">
        <x:v>2</x:v>
      </x:c>
      <x:c r="I329" s="80" t="s">
        <x:v>818</x:v>
      </x:c>
      <x:c r="U329" s="189">
        <x:f t="shared" si="44"/>
        <x:v>1</x:v>
      </x:c>
    </x:row>
    <x:row r="330" spans="2:21">
      <x:c r="B330" s="46" t="s">
        <x:v>1531</x:v>
      </x:c>
      <x:c r="C330" s="60" t="s">
        <x:v>1509</x:v>
      </x:c>
      <x:c r="D330" s="80">
        <x:v>15</x:v>
      </x:c>
      <x:c r="E330" s="80">
        <x:v>8</x:v>
      </x:c>
      <x:c r="F330" s="80">
        <x:v>10</x:v>
      </x:c>
      <x:c r="G330" s="80">
        <x:v>10</x:v>
      </x:c>
      <x:c r="H330" s="80">
        <x:v>6</x:v>
      </x:c>
      <x:c r="I330" s="80" t="s">
        <x:v>818</x:v>
      </x:c>
      <x:c r="U330" s="189">
        <x:f t="shared" si="44"/>
        <x:v>1</x:v>
      </x:c>
    </x:row>
    <x:row r="331" spans="2:21">
      <x:c r="B331" s="61" t="s">
        <x:v>69</x:v>
      </x:c>
      <x:c r="C331" s="60" t="s">
        <x:v>798</x:v>
      </x:c>
      <x:c r="D331" s="44"/>
      <x:c r="E331" s="44"/>
      <x:c r="F331" s="44"/>
      <x:c r="G331" s="44"/>
      <x:c r="H331" s="44"/>
      <x:c r="I331" s="44"/>
      <x:c r="U331" s="188">
        <x:v>1</x:v>
      </x:c>
    </x:row>
    <x:row r="332" spans="2:21">
      <x:c r="B332" s="46" t="s">
        <x:v>282</x:v>
      </x:c>
      <x:c r="C332" s="60" t="s">
        <x:v>1834</x:v>
      </x:c>
      <x:c r="D332" s="44">
        <x:v>2.7999999999999998</x:v>
      </x:c>
      <x:c r="E332" s="44">
        <x:v>1.8</x:v>
      </x:c>
      <x:c r="F332" s="44">
        <x:v>3.0499999999999998</x:v>
      </x:c>
      <x:c r="G332" s="44">
        <x:v>5.2999999999999998</x:v>
      </x:c>
      <x:c r="H332" s="44">
        <x:v>5</x:v>
      </x:c>
      <x:c r="I332" s="44" t="s">
        <x:v>818</x:v>
      </x:c>
      <x:c r="U332" s="189">
        <x:f t="shared" ref="U332:U337" si="45">IF(COUNT(D332:I332)&lt;&gt;0,1,"")</x:f>
        <x:v>1</x:v>
      </x:c>
    </x:row>
    <x:row r="333" spans="2:21">
      <x:c r="B333" s="46" t="s">
        <x:v>283</x:v>
      </x:c>
      <x:c r="C333" s="60" t="s">
        <x:v>1838</x:v>
      </x:c>
      <x:c r="D333" s="44">
        <x:v>2.7999999999999998</x:v>
      </x:c>
      <x:c r="E333" s="44">
        <x:v>1.8</x:v>
      </x:c>
      <x:c r="F333" s="44">
        <x:v>3.0499999999999998</x:v>
      </x:c>
      <x:c r="G333" s="44">
        <x:v>5.2999999999999998</x:v>
      </x:c>
      <x:c r="H333" s="44">
        <x:v>5</x:v>
      </x:c>
      <x:c r="I333" s="44" t="s">
        <x:v>818</x:v>
      </x:c>
      <x:c r="U333" s="189">
        <x:f t="shared" si="45"/>
        <x:v>1</x:v>
      </x:c>
    </x:row>
    <x:row r="334" spans="2:21">
      <x:c r="B334" s="46" t="s">
        <x:v>564</x:v>
      </x:c>
      <x:c r="C334" s="60" t="s">
        <x:v>761</x:v>
      </x:c>
      <x:c r="D334" s="44" t="s">
        <x:v>818</x:v>
      </x:c>
      <x:c r="E334" s="44" t="s">
        <x:v>818</x:v>
      </x:c>
      <x:c r="F334" s="44" t="s">
        <x:v>818</x:v>
      </x:c>
      <x:c r="G334" s="44" t="s">
        <x:v>818</x:v>
      </x:c>
      <x:c r="H334" s="44" t="s">
        <x:v>818</x:v>
      </x:c>
      <x:c r="I334" s="44" t="s">
        <x:v>818</x:v>
      </x:c>
      <x:c r="U334" s="189" t="str">
        <x:f t="shared" si="45"/>
        <x:v/>
      </x:c>
    </x:row>
    <x:row r="335" spans="2:21">
      <x:c r="B335" s="46" t="s">
        <x:v>559</x:v>
      </x:c>
      <x:c r="C335" s="60" t="s">
        <x:v>757</x:v>
      </x:c>
      <x:c r="D335" s="44" t="s">
        <x:v>818</x:v>
      </x:c>
      <x:c r="E335" s="44" t="s">
        <x:v>818</x:v>
      </x:c>
      <x:c r="F335" s="44" t="s">
        <x:v>818</x:v>
      </x:c>
      <x:c r="G335" s="44" t="s">
        <x:v>818</x:v>
      </x:c>
      <x:c r="H335" s="44" t="s">
        <x:v>818</x:v>
      </x:c>
      <x:c r="I335" s="44" t="s">
        <x:v>818</x:v>
      </x:c>
      <x:c r="U335" s="189" t="str">
        <x:f t="shared" si="45"/>
        <x:v/>
      </x:c>
    </x:row>
    <x:row r="336" spans="2:21">
      <x:c r="B336" s="46" t="s">
        <x:v>191</x:v>
      </x:c>
      <x:c r="C336" s="60" t="s">
        <x:v>1377</x:v>
      </x:c>
      <x:c r="D336" s="44" t="s">
        <x:v>818</x:v>
      </x:c>
      <x:c r="E336" s="44" t="s">
        <x:v>818</x:v>
      </x:c>
      <x:c r="F336" s="44" t="s">
        <x:v>818</x:v>
      </x:c>
      <x:c r="G336" s="44" t="s">
        <x:v>818</x:v>
      </x:c>
      <x:c r="H336" s="44" t="s">
        <x:v>818</x:v>
      </x:c>
      <x:c r="I336" s="44" t="s">
        <x:v>818</x:v>
      </x:c>
      <x:c r="U336" s="189" t="str">
        <x:f t="shared" si="45"/>
        <x:v/>
      </x:c>
    </x:row>
    <x:row r="337" spans="2:21">
      <x:c r="B337" s="46" t="s">
        <x:v>200</x:v>
      </x:c>
      <x:c r="C337" s="60" t="s">
        <x:v>1372</x:v>
      </x:c>
      <x:c r="D337" s="44" t="s">
        <x:v>818</x:v>
      </x:c>
      <x:c r="E337" s="44" t="s">
        <x:v>818</x:v>
      </x:c>
      <x:c r="F337" s="44" t="s">
        <x:v>818</x:v>
      </x:c>
      <x:c r="G337" s="44" t="s">
        <x:v>818</x:v>
      </x:c>
      <x:c r="H337" s="44" t="s">
        <x:v>818</x:v>
      </x:c>
      <x:c r="I337" s="44" t="s">
        <x:v>818</x:v>
      </x:c>
      <x:c r="U337" s="189" t="str">
        <x:f t="shared" si="45"/>
        <x:v/>
      </x:c>
    </x:row>
    <x:row r="338" spans="2:21">
      <x:c r="B338" s="61" t="s">
        <x:v>1786</x:v>
      </x:c>
      <x:c r="C338" s="60" t="s">
        <x:v>798</x:v>
      </x:c>
      <x:c r="D338" s="44"/>
      <x:c r="E338" s="44"/>
      <x:c r="F338" s="44"/>
      <x:c r="G338" s="44"/>
      <x:c r="H338" s="44"/>
      <x:c r="I338" s="44"/>
      <x:c r="U338" s="188">
        <x:v>1</x:v>
      </x:c>
    </x:row>
    <x:row r="339" spans="2:21">
      <x:c r="B339" s="46" t="s">
        <x:v>1777</x:v>
      </x:c>
      <x:c r="C339" s="60" t="s">
        <x:v>1373</x:v>
      </x:c>
      <x:c r="D339" s="44" t="s">
        <x:v>818</x:v>
      </x:c>
      <x:c r="E339" s="44" t="s">
        <x:v>818</x:v>
      </x:c>
      <x:c r="F339" s="44" t="s">
        <x:v>818</x:v>
      </x:c>
      <x:c r="G339" s="44" t="s">
        <x:v>818</x:v>
      </x:c>
      <x:c r="H339" s="44" t="s">
        <x:v>818</x:v>
      </x:c>
      <x:c r="I339" s="44" t="s">
        <x:v>818</x:v>
      </x:c>
      <x:c r="U339" s="189" t="str">
        <x:f t="shared" ref="U339:U342" si="46">IF(COUNT(D339:I339)&lt;&gt;0,1,"")</x:f>
        <x:v/>
      </x:c>
    </x:row>
    <x:row r="340" spans="2:21">
      <x:c r="B340" s="46" t="s">
        <x:v>1084</x:v>
      </x:c>
      <x:c r="C340" s="60" t="s">
        <x:v>1370</x:v>
      </x:c>
      <x:c r="D340" s="44">
        <x:v>100</x:v>
      </x:c>
      <x:c r="E340" s="44">
        <x:v>100</x:v>
      </x:c>
      <x:c r="F340" s="44">
        <x:v>100</x:v>
      </x:c>
      <x:c r="G340" s="44">
        <x:v>100</x:v>
      </x:c>
      <x:c r="H340" s="44">
        <x:v>100</x:v>
      </x:c>
      <x:c r="I340" s="44" t="s">
        <x:v>818</x:v>
      </x:c>
      <x:c r="U340" s="189">
        <x:f t="shared" si="46"/>
        <x:v>1</x:v>
      </x:c>
    </x:row>
    <x:row r="341" spans="2:21">
      <x:c r="B341" s="46" t="s">
        <x:v>1085</x:v>
      </x:c>
      <x:c r="C341" s="60" t="s">
        <x:v>1371</x:v>
      </x:c>
      <x:c r="D341" s="44" t="s">
        <x:v>818</x:v>
      </x:c>
      <x:c r="E341" s="44" t="s">
        <x:v>818</x:v>
      </x:c>
      <x:c r="F341" s="44" t="s">
        <x:v>818</x:v>
      </x:c>
      <x:c r="G341" s="44" t="s">
        <x:v>818</x:v>
      </x:c>
      <x:c r="H341" s="44" t="s">
        <x:v>818</x:v>
      </x:c>
      <x:c r="I341" s="44" t="s">
        <x:v>818</x:v>
      </x:c>
      <x:c r="U341" s="189" t="str">
        <x:f t="shared" si="46"/>
        <x:v/>
      </x:c>
    </x:row>
    <x:row r="342" spans="2:21">
      <x:c r="B342" s="46" t="s">
        <x:v>2308</x:v>
      </x:c>
      <x:c r="C342" s="60" t="s">
        <x:v>1378</x:v>
      </x:c>
      <x:c r="D342" s="80" t="s">
        <x:v>818</x:v>
      </x:c>
      <x:c r="E342" s="80" t="s">
        <x:v>818</x:v>
      </x:c>
      <x:c r="F342" s="80" t="s">
        <x:v>818</x:v>
      </x:c>
      <x:c r="G342" s="80" t="s">
        <x:v>818</x:v>
      </x:c>
      <x:c r="H342" s="80" t="s">
        <x:v>818</x:v>
      </x:c>
      <x:c r="I342" s="80" t="s">
        <x:v>818</x:v>
      </x:c>
      <x:c r="U342" s="189" t="str">
        <x:f t="shared" si="46"/>
        <x:v/>
      </x:c>
    </x:row>
    <x:row r="343" spans="2:21">
      <x:c r="B343" s="61" t="s">
        <x:v>1786</x:v>
      </x:c>
      <x:c r="C343" s="60" t="s">
        <x:v>798</x:v>
      </x:c>
      <x:c r="D343" s="80"/>
      <x:c r="E343" s="80"/>
      <x:c r="F343" s="80"/>
      <x:c r="G343" s="80"/>
      <x:c r="H343" s="80"/>
      <x:c r="I343" s="80"/>
      <x:c r="U343" s="188">
        <x:v>1</x:v>
      </x:c>
    </x:row>
    <x:row r="344" spans="2:21">
      <x:c r="B344" s="46" t="s">
        <x:v>2369</x:v>
      </x:c>
      <x:c r="C344" s="60" t="s">
        <x:v>1840</x:v>
      </x:c>
      <x:c r="D344" s="80" t="s">
        <x:v>818</x:v>
      </x:c>
      <x:c r="E344" s="80" t="s">
        <x:v>818</x:v>
      </x:c>
      <x:c r="F344" s="80" t="s">
        <x:v>818</x:v>
      </x:c>
      <x:c r="G344" s="80" t="s">
        <x:v>818</x:v>
      </x:c>
      <x:c r="H344" s="80" t="s">
        <x:v>818</x:v>
      </x:c>
      <x:c r="I344" s="80" t="s">
        <x:v>818</x:v>
      </x:c>
      <x:c r="U344" s="189" t="str">
        <x:f t="shared" ref="U344:U347" si="47">IF(COUNT(D344:I344)&lt;&gt;0,1,"")</x:f>
        <x:v/>
      </x:c>
    </x:row>
    <x:row r="345" spans="2:21">
      <x:c r="B345" s="46" t="s">
        <x:v>1835</x:v>
      </x:c>
      <x:c r="C345" s="60" t="s">
        <x:v>1841</x:v>
      </x:c>
      <x:c r="D345" s="80">
        <x:v>15</x:v>
      </x:c>
      <x:c r="E345" s="80">
        <x:v>8</x:v>
      </x:c>
      <x:c r="F345" s="80">
        <x:v>10</x:v>
      </x:c>
      <x:c r="G345" s="80">
        <x:v>10</x:v>
      </x:c>
      <x:c r="H345" s="80">
        <x:v>6</x:v>
      </x:c>
      <x:c r="I345" s="80" t="s">
        <x:v>818</x:v>
      </x:c>
      <x:c r="U345" s="189">
        <x:f t="shared" si="47"/>
        <x:v>1</x:v>
      </x:c>
    </x:row>
    <x:row r="346" spans="2:21">
      <x:c r="B346" s="46" t="s">
        <x:v>1820</x:v>
      </x:c>
      <x:c r="C346" s="60" t="s">
        <x:v>1842</x:v>
      </x:c>
      <x:c r="D346" s="80" t="s">
        <x:v>818</x:v>
      </x:c>
      <x:c r="E346" s="80" t="s">
        <x:v>818</x:v>
      </x:c>
      <x:c r="F346" s="80" t="s">
        <x:v>818</x:v>
      </x:c>
      <x:c r="G346" s="80" t="s">
        <x:v>818</x:v>
      </x:c>
      <x:c r="H346" s="80" t="s">
        <x:v>818</x:v>
      </x:c>
      <x:c r="I346" s="80" t="s">
        <x:v>818</x:v>
      </x:c>
      <x:c r="U346" s="189" t="str">
        <x:f t="shared" si="47"/>
        <x:v/>
      </x:c>
    </x:row>
    <x:row r="347" spans="2:21">
      <x:c r="B347" s="46" t="s">
        <x:v>1526</x:v>
      </x:c>
      <x:c r="C347" s="60" t="s">
        <x:v>1843</x:v>
      </x:c>
      <x:c r="D347" s="80" t="s">
        <x:v>818</x:v>
      </x:c>
      <x:c r="E347" s="80" t="s">
        <x:v>818</x:v>
      </x:c>
      <x:c r="F347" s="80" t="s">
        <x:v>818</x:v>
      </x:c>
      <x:c r="G347" s="80" t="s">
        <x:v>818</x:v>
      </x:c>
      <x:c r="H347" s="80" t="s">
        <x:v>818</x:v>
      </x:c>
      <x:c r="I347" s="80" t="s">
        <x:v>818</x:v>
      </x:c>
      <x:c r="U347" s="189" t="str">
        <x:f t="shared" si="47"/>
        <x:v/>
      </x:c>
    </x:row>
    <x:row r="348" spans="2:21">
      <x:c r="B348" s="61" t="s">
        <x:v>159</x:v>
      </x:c>
      <x:c r="C348" s="60" t="s">
        <x:v>798</x:v>
      </x:c>
      <x:c r="D348" s="80"/>
      <x:c r="E348" s="80"/>
      <x:c r="F348" s="80"/>
      <x:c r="G348" s="80"/>
      <x:c r="H348" s="80"/>
      <x:c r="I348" s="80"/>
      <x:c r="U348" s="188">
        <x:v>1</x:v>
      </x:c>
    </x:row>
    <x:row r="349" spans="2:21">
      <x:c r="B349" s="46" t="s">
        <x:v>286</x:v>
      </x:c>
      <x:c r="C349" s="60" t="s">
        <x:v>1518</x:v>
      </x:c>
      <x:c r="D349" s="80">
        <x:v>656</x:v>
      </x:c>
      <x:c r="E349" s="80">
        <x:v>464</x:v>
      </x:c>
      <x:c r="F349" s="80">
        <x:v>94</x:v>
      </x:c>
      <x:c r="G349" s="80">
        <x:v>73</x:v>
      </x:c>
      <x:c r="H349" s="80">
        <x:v>188</x:v>
      </x:c>
      <x:c r="I349" s="80" t="s">
        <x:v>818</x:v>
      </x:c>
      <x:c r="U349" s="189">
        <x:f t="shared" ref="U349:U353" si="48">IF(COUNT(D349:I349)&lt;&gt;0,1,"")</x:f>
        <x:v>1</x:v>
      </x:c>
    </x:row>
    <x:row r="350" spans="2:21">
      <x:c r="B350" s="46" t="s">
        <x:v>972</x:v>
      </x:c>
      <x:c r="C350" s="60" t="s">
        <x:v>1374</x:v>
      </x:c>
      <x:c r="D350" s="80">
        <x:v>30</x:v>
      </x:c>
      <x:c r="E350" s="80">
        <x:v>26</x:v>
      </x:c>
      <x:c r="F350" s="80">
        <x:v>-379</x:v>
      </x:c>
      <x:c r="G350" s="80">
        <x:v>-350</x:v>
      </x:c>
      <x:c r="H350" s="80">
        <x:v>-321</x:v>
      </x:c>
      <x:c r="I350" s="80" t="s">
        <x:v>818</x:v>
      </x:c>
      <x:c r="U350" s="189">
        <x:f t="shared" si="48"/>
        <x:v>1</x:v>
      </x:c>
    </x:row>
    <x:row r="351" spans="2:21">
      <x:c r="B351" s="46" t="s">
        <x:v>966</x:v>
      </x:c>
      <x:c r="C351" s="60" t="s">
        <x:v>1852</x:v>
      </x:c>
      <x:c r="D351" s="80" t="s">
        <x:v>818</x:v>
      </x:c>
      <x:c r="E351" s="80" t="s">
        <x:v>818</x:v>
      </x:c>
      <x:c r="F351" s="80" t="s">
        <x:v>818</x:v>
      </x:c>
      <x:c r="G351" s="80" t="s">
        <x:v>818</x:v>
      </x:c>
      <x:c r="H351" s="80" t="s">
        <x:v>818</x:v>
      </x:c>
      <x:c r="I351" s="80" t="s">
        <x:v>818</x:v>
      </x:c>
      <x:c r="U351" s="189" t="str">
        <x:f t="shared" si="48"/>
        <x:v/>
      </x:c>
    </x:row>
    <x:row r="352" spans="2:21">
      <x:c r="B352" s="46" t="s">
        <x:v>1087</x:v>
      </x:c>
      <x:c r="C352" s="60" t="s">
        <x:v>1375</x:v>
      </x:c>
      <x:c r="D352" s="80" t="s">
        <x:v>818</x:v>
      </x:c>
      <x:c r="E352" s="80" t="s">
        <x:v>818</x:v>
      </x:c>
      <x:c r="F352" s="80" t="s">
        <x:v>818</x:v>
      </x:c>
      <x:c r="G352" s="80" t="s">
        <x:v>818</x:v>
      </x:c>
      <x:c r="H352" s="80" t="s">
        <x:v>818</x:v>
      </x:c>
      <x:c r="I352" s="80" t="s">
        <x:v>818</x:v>
      </x:c>
      <x:c r="U352" s="189" t="str">
        <x:f t="shared" si="48"/>
        <x:v/>
      </x:c>
    </x:row>
    <x:row r="353" spans="2:21">
      <x:c r="B353" s="46" t="s">
        <x:v>568</x:v>
      </x:c>
      <x:c r="C353" s="60" t="s">
        <x:v>1376</x:v>
      </x:c>
      <x:c r="D353" s="80">
        <x:v>687</x:v>
      </x:c>
      <x:c r="E353" s="80">
        <x:v>490</x:v>
      </x:c>
      <x:c r="F353" s="80">
        <x:v>-285</x:v>
      </x:c>
      <x:c r="G353" s="80">
        <x:v>-276</x:v>
      </x:c>
      <x:c r="H353" s="80">
        <x:v>-133</x:v>
      </x:c>
      <x:c r="I353" s="80" t="s">
        <x:v>818</x:v>
      </x:c>
      <x:c r="U353" s="189">
        <x:f t="shared" si="48"/>
        <x:v>1</x:v>
      </x:c>
    </x:row>
    <x:row r="354" spans="2:21">
      <x:c r="B354" s="61" t="s">
        <x:v>431</x:v>
      </x:c>
      <x:c r="C354" s="60" t="s">
        <x:v>798</x:v>
      </x:c>
      <x:c r="D354" s="44"/>
      <x:c r="E354" s="44"/>
      <x:c r="F354" s="44"/>
      <x:c r="G354" s="44"/>
      <x:c r="H354" s="44"/>
      <x:c r="I354" s="44"/>
      <x:c r="U354" s="188">
        <x:v>1</x:v>
      </x:c>
    </x:row>
    <x:row r="355" spans="2:21">
      <x:c r="B355" s="46" t="s">
        <x:v>287</x:v>
      </x:c>
      <x:c r="C355" s="60" t="s">
        <x:v>322</x:v>
      </x:c>
      <x:c r="D355" s="44">
        <x:v>1.8</x:v>
      </x:c>
      <x:c r="E355" s="44">
        <x:v>2.2999999999999998</x:v>
      </x:c>
      <x:c r="F355" s="44">
        <x:v>5.2999999999999998</x:v>
      </x:c>
      <x:c r="G355" s="44">
        <x:v>5</x:v>
      </x:c>
      <x:c r="H355" s="44">
        <x:v>5.2999999999999998</x:v>
      </x:c>
      <x:c r="I355" s="44" t="s">
        <x:v>818</x:v>
      </x:c>
      <x:c r="U355" s="189">
        <x:f t="shared" ref="U355:U358" si="49">IF(COUNT(D355:I355)&lt;&gt;0,1,"")</x:f>
        <x:v>1</x:v>
      </x:c>
    </x:row>
    <x:row r="356" spans="2:21">
      <x:c r="B356" s="46" t="s">
        <x:v>293</x:v>
      </x:c>
      <x:c r="C356" s="60" t="s">
        <x:v>321</x:v>
      </x:c>
      <x:c r="D356" s="44">
        <x:v>1.8</x:v>
      </x:c>
      <x:c r="E356" s="44">
        <x:v>2.2999999999999998</x:v>
      </x:c>
      <x:c r="F356" s="44">
        <x:v>5.2999999999999998</x:v>
      </x:c>
      <x:c r="G356" s="44">
        <x:v>5</x:v>
      </x:c>
      <x:c r="H356" s="44">
        <x:v>5.2999999999999998</x:v>
      </x:c>
      <x:c r="I356" s="44" t="s">
        <x:v>818</x:v>
      </x:c>
      <x:c r="U356" s="189">
        <x:f t="shared" si="49"/>
        <x:v>1</x:v>
      </x:c>
    </x:row>
    <x:row r="357" spans="2:21">
      <x:c r="B357" s="46" t="s">
        <x:v>967</x:v>
      </x:c>
      <x:c r="C357" s="60" t="s">
        <x:v>323</x:v>
      </x:c>
      <x:c r="D357" s="44" t="s">
        <x:v>818</x:v>
      </x:c>
      <x:c r="E357" s="44" t="s">
        <x:v>818</x:v>
      </x:c>
      <x:c r="F357" s="44" t="s">
        <x:v>818</x:v>
      </x:c>
      <x:c r="G357" s="44" t="s">
        <x:v>818</x:v>
      </x:c>
      <x:c r="H357" s="44" t="s">
        <x:v>818</x:v>
      </x:c>
      <x:c r="I357" s="44" t="s">
        <x:v>818</x:v>
      </x:c>
      <x:c r="U357" s="189" t="str">
        <x:f t="shared" si="49"/>
        <x:v/>
      </x:c>
    </x:row>
    <x:row r="358" spans="2:21">
      <x:c r="B358" s="46" t="s">
        <x:v>956</x:v>
      </x:c>
      <x:c r="C358" s="60" t="s">
        <x:v>310</x:v>
      </x:c>
      <x:c r="D358" s="80" t="s">
        <x:v>818</x:v>
      </x:c>
      <x:c r="E358" s="80" t="s">
        <x:v>818</x:v>
      </x:c>
      <x:c r="F358" s="80" t="s">
        <x:v>818</x:v>
      </x:c>
      <x:c r="G358" s="80" t="s">
        <x:v>818</x:v>
      </x:c>
      <x:c r="H358" s="80" t="s">
        <x:v>818</x:v>
      </x:c>
      <x:c r="I358" s="80" t="s">
        <x:v>818</x:v>
      </x:c>
      <x:c r="U358" s="189" t="str">
        <x:f t="shared" si="49"/>
        <x:v/>
      </x:c>
    </x:row>
    <x:row r="359" spans="2:21">
      <x:c r="B359" s="61" t="s">
        <x:v>1090</x:v>
      </x:c>
      <x:c r="C359" s="60" t="s">
        <x:v>798</x:v>
      </x:c>
      <x:c r="D359" s="80"/>
      <x:c r="E359" s="80"/>
      <x:c r="F359" s="80"/>
      <x:c r="G359" s="80"/>
      <x:c r="H359" s="80"/>
      <x:c r="I359" s="80"/>
      <x:c r="U359" s="188">
        <x:v>1</x:v>
      </x:c>
    </x:row>
    <x:row r="360" spans="2:21">
      <x:c r="B360" s="46" t="s">
        <x:v>12</x:v>
      </x:c>
      <x:c r="C360" s="60" t="s">
        <x:v>1861</x:v>
      </x:c>
      <x:c r="D360" s="80">
        <x:v>364</x:v>
      </x:c>
      <x:c r="E360" s="80">
        <x:v>377</x:v>
      </x:c>
      <x:c r="F360" s="80">
        <x:v>326</x:v>
      </x:c>
      <x:c r="G360" s="80">
        <x:v>217</x:v>
      </x:c>
      <x:c r="H360" s="80">
        <x:v>230</x:v>
      </x:c>
      <x:c r="I360" s="80" t="s">
        <x:v>818</x:v>
      </x:c>
      <x:c r="U360" s="189">
        <x:f t="shared" ref="U360:U365" si="50">IF(COUNT(D360:I360)&lt;&gt;0,1,"")</x:f>
        <x:v>1</x:v>
      </x:c>
    </x:row>
    <x:row r="361" spans="2:21">
      <x:c r="B361" s="46" t="s">
        <x:v>13</x:v>
      </x:c>
      <x:c r="C361" s="60" t="s">
        <x:v>1858</x:v>
      </x:c>
      <x:c r="D361" s="80">
        <x:v>377</x:v>
      </x:c>
      <x:c r="E361" s="80">
        <x:v>380</x:v>
      </x:c>
      <x:c r="F361" s="80">
        <x:v>253</x:v>
      </x:c>
      <x:c r="G361" s="80">
        <x:v>215</x:v>
      </x:c>
      <x:c r="H361" s="80">
        <x:v>237</x:v>
      </x:c>
      <x:c r="I361" s="80" t="s">
        <x:v>818</x:v>
      </x:c>
      <x:c r="U361" s="189">
        <x:f t="shared" si="50"/>
        <x:v>1</x:v>
      </x:c>
    </x:row>
    <x:row r="362" spans="2:21">
      <x:c r="B362" s="46" t="s">
        <x:v>769</x:v>
      </x:c>
      <x:c r="C362" s="60" t="s">
        <x:v>1869</x:v>
      </x:c>
      <x:c r="D362" s="80">
        <x:v>380</x:v>
      </x:c>
      <x:c r="E362" s="80">
        <x:v>363</x:v>
      </x:c>
      <x:c r="F362" s="80">
        <x:v>238</x:v>
      </x:c>
      <x:c r="G362" s="80">
        <x:v>213</x:v>
      </x:c>
      <x:c r="H362" s="80">
        <x:v>249</x:v>
      </x:c>
      <x:c r="I362" s="80" t="s">
        <x:v>818</x:v>
      </x:c>
      <x:c r="U362" s="189">
        <x:f t="shared" si="50"/>
        <x:v>1</x:v>
      </x:c>
    </x:row>
    <x:row r="363" spans="2:21">
      <x:c r="B363" s="46" t="s">
        <x:v>753</x:v>
      </x:c>
      <x:c r="C363" s="60" t="s">
        <x:v>1879</x:v>
      </x:c>
      <x:c r="D363" s="80">
        <x:v>363</x:v>
      </x:c>
      <x:c r="E363" s="80">
        <x:v>339</x:v>
      </x:c>
      <x:c r="F363" s="80">
        <x:v>229</x:v>
      </x:c>
      <x:c r="G363" s="80">
        <x:v>208</x:v>
      </x:c>
      <x:c r="H363" s="80">
        <x:v>253</x:v>
      </x:c>
      <x:c r="I363" s="80" t="s">
        <x:v>818</x:v>
      </x:c>
      <x:c r="U363" s="189">
        <x:f t="shared" si="50"/>
        <x:v>1</x:v>
      </x:c>
    </x:row>
    <x:row r="364" spans="2:21">
      <x:c r="B364" s="46" t="s">
        <x:v>759</x:v>
      </x:c>
      <x:c r="C364" s="60" t="s">
        <x:v>1872</x:v>
      </x:c>
      <x:c r="D364" s="80">
        <x:v>339</x:v>
      </x:c>
      <x:c r="E364" s="80">
        <x:v>316</x:v>
      </x:c>
      <x:c r="F364" s="80">
        <x:v>220</x:v>
      </x:c>
      <x:c r="G364" s="80">
        <x:v>233</x:v>
      </x:c>
      <x:c r="H364" s="80">
        <x:v>246</x:v>
      </x:c>
      <x:c r="I364" s="80" t="s">
        <x:v>818</x:v>
      </x:c>
      <x:c r="U364" s="189">
        <x:f t="shared" si="50"/>
        <x:v>1</x:v>
      </x:c>
    </x:row>
    <x:row r="365" spans="2:21">
      <x:c r="B365" s="46" t="s">
        <x:v>329</x:v>
      </x:c>
      <x:c r="C365" s="60" t="s">
        <x:v>1381</x:v>
      </x:c>
      <x:c r="D365" s="80">
        <x:v>1296</x:v>
      </x:c>
      <x:c r="E365" s="80">
        <x:v>1156</x:v>
      </x:c>
      <x:c r="F365" s="80">
        <x:v>1043</x:v>
      </x:c>
      <x:c r="G365" s="80">
        <x:v>1085</x:v>
      </x:c>
      <x:c r="H365" s="80">
        <x:v>1090</x:v>
      </x:c>
      <x:c r="I365" s="80" t="s">
        <x:v>818</x:v>
      </x:c>
      <x:c r="U365" s="189">
        <x:f t="shared" si="50"/>
        <x:v>1</x:v>
      </x:c>
    </x:row>
    <x:row r="366" spans="2:21">
      <x:c r="B366" s="61" t="s">
        <x:v>577</x:v>
      </x:c>
      <x:c r="C366" s="60" t="s">
        <x:v>798</x:v>
      </x:c>
      <x:c r="D366" s="80"/>
      <x:c r="E366" s="80"/>
      <x:c r="F366" s="80"/>
      <x:c r="G366" s="80"/>
      <x:c r="H366" s="80"/>
      <x:c r="I366" s="80"/>
      <x:c r="U366" s="188">
        <x:v>1</x:v>
      </x:c>
    </x:row>
    <x:row r="367" spans="2:21">
      <x:c r="B367" s="46" t="s">
        <x:v>2355</x:v>
      </x:c>
      <x:c r="C367" s="60" t="s">
        <x:v>1873</x:v>
      </x:c>
      <x:c r="D367" s="80" t="s">
        <x:v>818</x:v>
      </x:c>
      <x:c r="E367" s="80" t="s">
        <x:v>818</x:v>
      </x:c>
      <x:c r="F367" s="80" t="s">
        <x:v>818</x:v>
      </x:c>
      <x:c r="G367" s="80" t="s">
        <x:v>818</x:v>
      </x:c>
      <x:c r="H367" s="80" t="s">
        <x:v>818</x:v>
      </x:c>
      <x:c r="I367" s="80" t="s">
        <x:v>818</x:v>
      </x:c>
      <x:c r="U367" s="189" t="str">
        <x:f t="shared" ref="U367:U374" si="51">IF(COUNT(D367:I367)&lt;&gt;0,1,"")</x:f>
        <x:v/>
      </x:c>
    </x:row>
    <x:row r="368" spans="2:21">
      <x:c r="B368" s="46" t="s">
        <x:v>1850</x:v>
      </x:c>
      <x:c r="C368" s="60" t="s">
        <x:v>1863</x:v>
      </x:c>
      <x:c r="D368" s="80" t="s">
        <x:v>818</x:v>
      </x:c>
      <x:c r="E368" s="80" t="s">
        <x:v>818</x:v>
      </x:c>
      <x:c r="F368" s="80" t="s">
        <x:v>818</x:v>
      </x:c>
      <x:c r="G368" s="80" t="s">
        <x:v>818</x:v>
      </x:c>
      <x:c r="H368" s="80" t="s">
        <x:v>818</x:v>
      </x:c>
      <x:c r="I368" s="80" t="s">
        <x:v>818</x:v>
      </x:c>
      <x:c r="U368" s="189" t="str">
        <x:f t="shared" si="51"/>
        <x:v/>
      </x:c>
    </x:row>
    <x:row r="369" spans="2:21">
      <x:c r="B369" s="46" t="s">
        <x:v>1534</x:v>
      </x:c>
      <x:c r="C369" s="60" t="s">
        <x:v>1862</x:v>
      </x:c>
      <x:c r="D369" s="80" t="s">
        <x:v>818</x:v>
      </x:c>
      <x:c r="E369" s="80" t="s">
        <x:v>818</x:v>
      </x:c>
      <x:c r="F369" s="80" t="s">
        <x:v>818</x:v>
      </x:c>
      <x:c r="G369" s="80" t="s">
        <x:v>818</x:v>
      </x:c>
      <x:c r="H369" s="80" t="s">
        <x:v>818</x:v>
      </x:c>
      <x:c r="I369" s="80" t="s">
        <x:v>818</x:v>
      </x:c>
      <x:c r="U369" s="189" t="str">
        <x:f t="shared" si="51"/>
        <x:v/>
      </x:c>
    </x:row>
    <x:row r="370" spans="2:21">
      <x:c r="B370" s="46" t="s">
        <x:v>1825</x:v>
      </x:c>
      <x:c r="C370" s="60" t="s">
        <x:v>1881</x:v>
      </x:c>
      <x:c r="D370" s="80" t="s">
        <x:v>818</x:v>
      </x:c>
      <x:c r="E370" s="80" t="s">
        <x:v>818</x:v>
      </x:c>
      <x:c r="F370" s="80" t="s">
        <x:v>818</x:v>
      </x:c>
      <x:c r="G370" s="80" t="s">
        <x:v>818</x:v>
      </x:c>
      <x:c r="H370" s="80" t="s">
        <x:v>818</x:v>
      </x:c>
      <x:c r="I370" s="80" t="s">
        <x:v>818</x:v>
      </x:c>
      <x:c r="U370" s="189" t="str">
        <x:f t="shared" si="51"/>
        <x:v/>
      </x:c>
    </x:row>
    <x:row r="371" spans="2:21">
      <x:c r="B371" s="46" t="s">
        <x:v>1480</x:v>
      </x:c>
      <x:c r="C371" s="60" t="s">
        <x:v>2346</x:v>
      </x:c>
      <x:c r="D371" s="80" t="s">
        <x:v>818</x:v>
      </x:c>
      <x:c r="E371" s="80" t="s">
        <x:v>818</x:v>
      </x:c>
      <x:c r="F371" s="80" t="s">
        <x:v>818</x:v>
      </x:c>
      <x:c r="G371" s="80" t="s">
        <x:v>818</x:v>
      </x:c>
      <x:c r="H371" s="80" t="s">
        <x:v>818</x:v>
      </x:c>
      <x:c r="I371" s="80" t="s">
        <x:v>818</x:v>
      </x:c>
      <x:c r="U371" s="189" t="str">
        <x:f t="shared" si="51"/>
        <x:v/>
      </x:c>
    </x:row>
    <x:row r="372" spans="2:21">
      <x:c r="B372" s="46" t="s">
        <x:v>1506</x:v>
      </x:c>
      <x:c r="C372" s="60" t="s">
        <x:v>2062</x:v>
      </x:c>
      <x:c r="D372" s="80">
        <x:v>-346</x:v>
      </x:c>
      <x:c r="E372" s="80">
        <x:v>-364</x:v>
      </x:c>
      <x:c r="F372" s="80">
        <x:v>-307</x:v>
      </x:c>
      <x:c r="G372" s="80">
        <x:v>-202</x:v>
      </x:c>
      <x:c r="H372" s="80">
        <x:v>-218</x:v>
      </x:c>
      <x:c r="I372" s="80" t="s">
        <x:v>818</x:v>
      </x:c>
      <x:c r="U372" s="189">
        <x:f t="shared" si="51"/>
        <x:v>1</x:v>
      </x:c>
    </x:row>
    <x:row r="373" spans="2:21">
      <x:c r="B373" s="46" t="s">
        <x:v>2314</x:v>
      </x:c>
      <x:c r="C373" s="60" t="s">
        <x:v>1510</x:v>
      </x:c>
      <x:c r="D373" s="80">
        <x:v>-3430</x:v>
      </x:c>
      <x:c r="E373" s="80">
        <x:v>-3031</x:v>
      </x:c>
      <x:c r="F373" s="80">
        <x:v>-2052</x:v>
      </x:c>
      <x:c r="G373" s="80">
        <x:v>-2022</x:v>
      </x:c>
      <x:c r="H373" s="80">
        <x:v>-2033</x:v>
      </x:c>
      <x:c r="I373" s="80" t="s">
        <x:v>818</x:v>
      </x:c>
      <x:c r="U373" s="189">
        <x:f t="shared" si="51"/>
        <x:v>1</x:v>
      </x:c>
    </x:row>
    <x:row r="374" spans="2:21">
      <x:c r="B374" s="46" t="s">
        <x:v>1826</x:v>
      </x:c>
      <x:c r="C374" s="60" t="s">
        <x:v>1520</x:v>
      </x:c>
      <x:c r="D374" s="80" t="s">
        <x:v>818</x:v>
      </x:c>
      <x:c r="E374" s="80" t="s">
        <x:v>818</x:v>
      </x:c>
      <x:c r="F374" s="80" t="s">
        <x:v>818</x:v>
      </x:c>
      <x:c r="G374" s="80" t="s">
        <x:v>818</x:v>
      </x:c>
      <x:c r="H374" s="80" t="s">
        <x:v>818</x:v>
      </x:c>
      <x:c r="I374" s="80" t="s">
        <x:v>818</x:v>
      </x:c>
      <x:c r="U374" s="189" t="str">
        <x:f t="shared" si="51"/>
        <x:v/>
      </x:c>
    </x:row>
    <x:row r="375" spans="2:21">
      <x:c r="B375" s="61" t="s">
        <x:v>84</x:v>
      </x:c>
      <x:c r="C375" s="60" t="s">
        <x:v>798</x:v>
      </x:c>
      <x:c r="D375" s="80"/>
      <x:c r="E375" s="80"/>
      <x:c r="F375" s="80"/>
      <x:c r="G375" s="80"/>
      <x:c r="H375" s="80"/>
      <x:c r="I375" s="80"/>
      <x:c r="U375" s="188">
        <x:v>1</x:v>
      </x:c>
    </x:row>
    <x:row r="376" spans="2:21">
      <x:c r="B376" s="46" t="s">
        <x:v>768</x:v>
      </x:c>
      <x:c r="C376" s="60" t="s">
        <x:v>1877</x:v>
      </x:c>
      <x:c r="D376" s="80" t="s">
        <x:v>818</x:v>
      </x:c>
      <x:c r="E376" s="80" t="s">
        <x:v>818</x:v>
      </x:c>
      <x:c r="F376" s="80" t="s">
        <x:v>818</x:v>
      </x:c>
      <x:c r="G376" s="80" t="s">
        <x:v>818</x:v>
      </x:c>
      <x:c r="H376" s="80" t="s">
        <x:v>818</x:v>
      </x:c>
      <x:c r="I376" s="80" t="s">
        <x:v>818</x:v>
      </x:c>
      <x:c r="U376" s="189" t="str">
        <x:f t="shared" ref="U376:U378" si="52">IF(COUNT(D376:I376)&lt;&gt;0,1,"")</x:f>
        <x:v/>
      </x:c>
    </x:row>
    <x:row r="377" spans="2:21">
      <x:c r="B377" s="46" t="s">
        <x:v>324</x:v>
      </x:c>
      <x:c r="C377" s="60" t="s">
        <x:v>2357</x:v>
      </x:c>
      <x:c r="D377" s="80" t="s">
        <x:v>818</x:v>
      </x:c>
      <x:c r="E377" s="80" t="s">
        <x:v>818</x:v>
      </x:c>
      <x:c r="F377" s="80" t="s">
        <x:v>818</x:v>
      </x:c>
      <x:c r="G377" s="80" t="s">
        <x:v>818</x:v>
      </x:c>
      <x:c r="H377" s="80" t="s">
        <x:v>818</x:v>
      </x:c>
      <x:c r="I377" s="80" t="s">
        <x:v>818</x:v>
      </x:c>
      <x:c r="U377" s="189" t="str">
        <x:f t="shared" si="52"/>
        <x:v/>
      </x:c>
    </x:row>
    <x:row r="378" spans="2:21">
      <x:c r="B378" s="46" t="s">
        <x:v>195</x:v>
      </x:c>
      <x:c r="C378" s="60" t="s">
        <x:v>1878</x:v>
      </x:c>
      <x:c r="D378" s="80">
        <x:v>-3776</x:v>
      </x:c>
      <x:c r="E378" s="80">
        <x:v>-3395</x:v>
      </x:c>
      <x:c r="F378" s="80">
        <x:v>-2359</x:v>
      </x:c>
      <x:c r="G378" s="80">
        <x:v>-2224</x:v>
      </x:c>
      <x:c r="H378" s="80">
        <x:v>-2251</x:v>
      </x:c>
      <x:c r="I378" s="80" t="s">
        <x:v>818</x:v>
      </x:c>
      <x:c r="U378" s="189">
        <x:f t="shared" si="52"/>
        <x:v>1</x:v>
      </x:c>
    </x:row>
    <x:row r="379" spans="2:21">
      <x:c r="B379" s="61" t="s">
        <x:v>1335</x:v>
      </x:c>
      <x:c r="C379" s="60" t="s">
        <x:v>798</x:v>
      </x:c>
      <x:c r="D379" s="80"/>
      <x:c r="E379" s="80"/>
      <x:c r="F379" s="80"/>
      <x:c r="G379" s="80"/>
      <x:c r="H379" s="80"/>
      <x:c r="I379" s="80"/>
      <x:c r="U379" s="188">
        <x:v>1</x:v>
      </x:c>
    </x:row>
    <x:row r="380" spans="2:21">
      <x:c r="B380" s="46" t="s">
        <x:v>219</x:v>
      </x:c>
      <x:c r="C380" s="60" t="s">
        <x:v>78</x:v>
      </x:c>
      <x:c r="D380" s="80" t="s">
        <x:v>818</x:v>
      </x:c>
      <x:c r="E380" s="80" t="s">
        <x:v>818</x:v>
      </x:c>
      <x:c r="F380" s="80" t="s">
        <x:v>818</x:v>
      </x:c>
      <x:c r="G380" s="80" t="s">
        <x:v>818</x:v>
      </x:c>
      <x:c r="H380" s="80" t="s">
        <x:v>818</x:v>
      </x:c>
      <x:c r="I380" s="80" t="s">
        <x:v>818</x:v>
      </x:c>
      <x:c r="U380" s="189" t="str">
        <x:f t="shared" ref="U380:U383" si="53">IF(COUNT(D380:I380)&lt;&gt;0,1,"")</x:f>
        <x:v/>
      </x:c>
    </x:row>
    <x:row r="381" spans="2:21">
      <x:c r="B381" s="46" t="s">
        <x:v>1380</x:v>
      </x:c>
      <x:c r="C381" s="60" t="s">
        <x:v>1382</x:v>
      </x:c>
      <x:c r="D381" s="80" t="s">
        <x:v>818</x:v>
      </x:c>
      <x:c r="E381" s="80" t="s">
        <x:v>818</x:v>
      </x:c>
      <x:c r="F381" s="80" t="s">
        <x:v>818</x:v>
      </x:c>
      <x:c r="G381" s="80" t="s">
        <x:v>818</x:v>
      </x:c>
      <x:c r="H381" s="80" t="s">
        <x:v>818</x:v>
      </x:c>
      <x:c r="I381" s="80" t="s">
        <x:v>818</x:v>
      </x:c>
      <x:c r="U381" s="189" t="str">
        <x:f t="shared" si="53"/>
        <x:v/>
      </x:c>
    </x:row>
    <x:row r="382" spans="2:21">
      <x:c r="B382" s="46" t="s">
        <x:v>217</x:v>
      </x:c>
      <x:c r="C382" s="60" t="s">
        <x:v>79</x:v>
      </x:c>
      <x:c r="D382" s="80" t="s">
        <x:v>818</x:v>
      </x:c>
      <x:c r="E382" s="80" t="s">
        <x:v>818</x:v>
      </x:c>
      <x:c r="F382" s="80" t="s">
        <x:v>818</x:v>
      </x:c>
      <x:c r="G382" s="80" t="s">
        <x:v>818</x:v>
      </x:c>
      <x:c r="H382" s="80" t="s">
        <x:v>818</x:v>
      </x:c>
      <x:c r="I382" s="80" t="s">
        <x:v>818</x:v>
      </x:c>
      <x:c r="U382" s="189" t="str">
        <x:f t="shared" si="53"/>
        <x:v/>
      </x:c>
    </x:row>
    <x:row r="383" spans="2:21">
      <x:c r="B383" s="46" t="s">
        <x:v>1379</x:v>
      </x:c>
      <x:c r="C383" s="60" t="s">
        <x:v>1385</x:v>
      </x:c>
      <x:c r="D383" s="80" t="s">
        <x:v>818</x:v>
      </x:c>
      <x:c r="E383" s="80" t="s">
        <x:v>818</x:v>
      </x:c>
      <x:c r="F383" s="80" t="s">
        <x:v>818</x:v>
      </x:c>
      <x:c r="G383" s="80" t="s">
        <x:v>818</x:v>
      </x:c>
      <x:c r="H383" s="80" t="s">
        <x:v>818</x:v>
      </x:c>
      <x:c r="I383" s="80" t="s">
        <x:v>818</x:v>
      </x:c>
      <x:c r="U383" s="189" t="str">
        <x:f t="shared" si="53"/>
        <x:v/>
      </x:c>
    </x:row>
    <x:row r="384" spans="2:21">
      <x:c r="B384" s="61" t="s">
        <x:v>957</x:v>
      </x:c>
      <x:c r="C384" s="60" t="s">
        <x:v>798</x:v>
      </x:c>
      <x:c r="D384" s="44"/>
      <x:c r="E384" s="44"/>
      <x:c r="F384" s="44"/>
      <x:c r="G384" s="44"/>
      <x:c r="H384" s="44"/>
      <x:c r="I384" s="44"/>
      <x:c r="U384" s="188">
        <x:v>1</x:v>
      </x:c>
    </x:row>
    <x:row r="385" spans="2:21">
      <x:c r="B385" s="46" t="s">
        <x:v>1002</x:v>
      </x:c>
      <x:c r="C385" s="60" t="s">
        <x:v>325</x:v>
      </x:c>
      <x:c r="D385" s="44" t="s">
        <x:v>818</x:v>
      </x:c>
      <x:c r="E385" s="44" t="s">
        <x:v>818</x:v>
      </x:c>
      <x:c r="F385" s="44" t="s">
        <x:v>818</x:v>
      </x:c>
      <x:c r="G385" s="44" t="s">
        <x:v>818</x:v>
      </x:c>
      <x:c r="H385" s="44">
        <x:v>6.4699999999999998</x:v>
      </x:c>
      <x:c r="I385" s="44" t="s">
        <x:v>818</x:v>
      </x:c>
      <x:c r="U385" s="189">
        <x:f t="shared" ref="U385:U386" si="54">IF(COUNT(D385:I385)&lt;&gt;0,1,"")</x:f>
        <x:v>1</x:v>
      </x:c>
    </x:row>
    <x:row r="386" spans="2:21">
      <x:c r="B386" s="46" t="s">
        <x:v>988</x:v>
      </x:c>
      <x:c r="C386" s="60" t="s">
        <x:v>304</x:v>
      </x:c>
      <x:c r="D386" s="80" t="s">
        <x:v>818</x:v>
      </x:c>
      <x:c r="E386" s="80" t="s">
        <x:v>818</x:v>
      </x:c>
      <x:c r="F386" s="80" t="s">
        <x:v>818</x:v>
      </x:c>
      <x:c r="G386" s="80" t="s">
        <x:v>818</x:v>
      </x:c>
      <x:c r="H386" s="80">
        <x:v>4.5</x:v>
      </x:c>
      <x:c r="I386" s="80" t="s">
        <x:v>818</x:v>
      </x:c>
      <x:c r="U386" s="189">
        <x:f t="shared" si="54"/>
        <x:v>1</x:v>
      </x:c>
    </x:row>
    <x:row r="387" spans="2:21">
      <x:c r="B387" s="46" t="s">
        <x:v>1500</x:v>
      </x:c>
      <x:c r="C387" s="60" t="s">
        <x:v>1501</x:v>
      </x:c>
      <x:c r="D387" s="23">
        <x:v>44196</x:v>
      </x:c>
      <x:c r="E387" s="23">
        <x:v>44561</x:v>
      </x:c>
      <x:c r="F387" s="23">
        <x:v>44926</x:v>
      </x:c>
      <x:c r="G387" s="23">
        <x:v>45291</x:v>
      </x:c>
      <x:c r="H387" s="23">
        <x:v>45657</x:v>
      </x:c>
      <x:c r="I387" s="23"/>
      <x:c r="U387" s="188">
        <x:v>1</x:v>
      </x:c>
    </x:row>
    <x:row r="388" spans="2:21">
      <x:c r="B388" s="46"/>
      <x:c r="C388" s="60" t="s">
        <x:v>798</x:v>
      </x:c>
      <x:c r="D388" s="80"/>
      <x:c r="E388" s="80"/>
      <x:c r="F388" s="80"/>
      <x:c r="G388" s="80"/>
      <x:c r="H388" s="80"/>
      <x:c r="I388" s="80"/>
      <x:c r="U388" s="188">
        <x:v>1</x:v>
      </x:c>
    </x:row>
    <x:row r="389" spans="2:21">
      <x:c r="B389" s="61" t="s">
        <x:v>1521</x:v>
      </x:c>
      <x:c r="C389" s="60" t="s">
        <x:v>798</x:v>
      </x:c>
      <x:c r="D389" s="80"/>
      <x:c r="E389" s="80"/>
      <x:c r="F389" s="80"/>
      <x:c r="G389" s="80"/>
      <x:c r="H389" s="80"/>
      <x:c r="I389" s="80"/>
      <x:c r="U389" s="188">
        <x:v>1</x:v>
      </x:c>
    </x:row>
    <x:row r="390" spans="2:21">
      <x:c r="B390" s="61" t="s">
        <x:v>560</x:v>
      </x:c>
      <x:c r="C390" s="60" t="s">
        <x:v>798</x:v>
      </x:c>
      <x:c r="D390" s="80"/>
      <x:c r="E390" s="80"/>
      <x:c r="F390" s="80"/>
      <x:c r="G390" s="80"/>
      <x:c r="H390" s="80"/>
      <x:c r="I390" s="80"/>
      <x:c r="U390" s="188">
        <x:v>1</x:v>
      </x:c>
    </x:row>
    <x:row r="391" spans="2:21">
      <x:c r="B391" s="46" t="s">
        <x:v>1761</x:v>
      </x:c>
      <x:c r="C391" s="60" t="s">
        <x:v>1386</x:v>
      </x:c>
      <x:c r="D391" s="80">
        <x:v>328</x:v>
      </x:c>
      <x:c r="E391" s="80">
        <x:v>300</x:v>
      </x:c>
      <x:c r="F391" s="80">
        <x:v>237</x:v>
      </x:c>
      <x:c r="G391" s="80">
        <x:v>177</x:v>
      </x:c>
      <x:c r="H391" s="80">
        <x:v>170</x:v>
      </x:c>
      <x:c r="I391" s="80" t="s">
        <x:v>818</x:v>
      </x:c>
      <x:c r="U391" s="189">
        <x:f t="shared" ref="U391:U397" si="55">IF(COUNT(D391:I391)&lt;&gt;0,1,"")</x:f>
        <x:v>1</x:v>
      </x:c>
    </x:row>
    <x:row r="392" spans="2:21">
      <x:c r="B392" s="46" t="s">
        <x:v>1799</x:v>
      </x:c>
      <x:c r="C392" s="60" t="s">
        <x:v>764</x:v>
      </x:c>
      <x:c r="D392" s="80">
        <x:v>541</x:v>
      </x:c>
      <x:c r="E392" s="80">
        <x:v>424</x:v>
      </x:c>
      <x:c r="F392" s="80">
        <x:v>493</x:v>
      </x:c>
      <x:c r="G392" s="80">
        <x:v>1170</x:v>
      </x:c>
      <x:c r="H392" s="80">
        <x:v>1077</x:v>
      </x:c>
      <x:c r="I392" s="80" t="s">
        <x:v>818</x:v>
      </x:c>
      <x:c r="U392" s="189">
        <x:f t="shared" si="55"/>
        <x:v>1</x:v>
      </x:c>
    </x:row>
    <x:row r="393" spans="2:21">
      <x:c r="B393" s="46" t="s">
        <x:v>1383</x:v>
      </x:c>
      <x:c r="C393" s="60" t="s">
        <x:v>747</x:v>
      </x:c>
      <x:c r="D393" s="80">
        <x:v>-1229</x:v>
      </x:c>
      <x:c r="E393" s="80">
        <x:v>-1115</x:v>
      </x:c>
      <x:c r="F393" s="80">
        <x:v>-1016</x:v>
      </x:c>
      <x:c r="G393" s="80">
        <x:v>-1440</x:v>
      </x:c>
      <x:c r="H393" s="80">
        <x:v>-1546</x:v>
      </x:c>
      <x:c r="I393" s="80" t="s">
        <x:v>818</x:v>
      </x:c>
      <x:c r="U393" s="189">
        <x:f t="shared" si="55"/>
        <x:v>1</x:v>
      </x:c>
    </x:row>
    <x:row r="394" spans="2:21">
      <x:c r="B394" s="46" t="s">
        <x:v>1823</x:v>
      </x:c>
      <x:c r="C394" s="60" t="s">
        <x:v>998</x:v>
      </x:c>
      <x:c r="D394" s="80">
        <x:v>1417</x:v>
      </x:c>
      <x:c r="E394" s="80">
        <x:v>1509</x:v>
      </x:c>
      <x:c r="F394" s="80">
        <x:v>1122</x:v>
      </x:c>
      <x:c r="G394" s="80">
        <x:v>453</x:v>
      </x:c>
      <x:c r="H394" s="80">
        <x:v>952</x:v>
      </x:c>
      <x:c r="I394" s="80" t="s">
        <x:v>818</x:v>
      </x:c>
      <x:c r="U394" s="189">
        <x:f t="shared" si="55"/>
        <x:v>1</x:v>
      </x:c>
    </x:row>
    <x:row r="395" spans="2:21">
      <x:c r="B395" s="46" t="s">
        <x:v>1830</x:v>
      </x:c>
      <x:c r="C395" s="60" t="s">
        <x:v>1008</x:v>
      </x:c>
      <x:c r="D395" s="80">
        <x:v>1057</x:v>
      </x:c>
      <x:c r="E395" s="80">
        <x:v>1119</x:v>
      </x:c>
      <x:c r="F395" s="80">
        <x:v>836</x:v>
      </x:c>
      <x:c r="G395" s="80">
        <x:v>359</x:v>
      </x:c>
      <x:c r="H395" s="80">
        <x:v>652</x:v>
      </x:c>
      <x:c r="I395" s="80" t="s">
        <x:v>818</x:v>
      </x:c>
      <x:c r="U395" s="189">
        <x:f t="shared" si="55"/>
        <x:v>1</x:v>
      </x:c>
    </x:row>
    <x:row r="396" spans="2:21">
      <x:c r="B396" s="46" t="s">
        <x:v>280</x:v>
      </x:c>
      <x:c r="C396" s="60" t="s">
        <x:v>441</x:v>
      </x:c>
      <x:c r="D396" s="80" t="s">
        <x:v>818</x:v>
      </x:c>
      <x:c r="E396" s="80" t="s">
        <x:v>818</x:v>
      </x:c>
      <x:c r="F396" s="80" t="s">
        <x:v>818</x:v>
      </x:c>
      <x:c r="G396" s="80" t="s">
        <x:v>818</x:v>
      </x:c>
      <x:c r="H396" s="80" t="s">
        <x:v>818</x:v>
      </x:c>
      <x:c r="I396" s="80" t="s">
        <x:v>818</x:v>
      </x:c>
      <x:c r="U396" s="189" t="str">
        <x:f t="shared" si="55"/>
        <x:v/>
      </x:c>
    </x:row>
    <x:row r="397" spans="2:21">
      <x:c r="B397" s="46" t="s">
        <x:v>961</x:v>
      </x:c>
      <x:c r="C397" s="60" t="s">
        <x:v>51</x:v>
      </x:c>
      <x:c r="D397" s="80" t="s">
        <x:v>818</x:v>
      </x:c>
      <x:c r="E397" s="80" t="s">
        <x:v>818</x:v>
      </x:c>
      <x:c r="F397" s="80" t="s">
        <x:v>818</x:v>
      </x:c>
      <x:c r="G397" s="80" t="s">
        <x:v>818</x:v>
      </x:c>
      <x:c r="H397" s="80" t="s">
        <x:v>818</x:v>
      </x:c>
      <x:c r="I397" s="80" t="s">
        <x:v>818</x:v>
      </x:c>
      <x:c r="U397" s="189" t="str">
        <x:f t="shared" si="55"/>
        <x:v/>
      </x:c>
    </x:row>
    <x:row r="398" spans="2:21">
      <x:c r="B398" s="61" t="s">
        <x:v>1780</x:v>
      </x:c>
      <x:c r="C398" s="60" t="s">
        <x:v>798</x:v>
      </x:c>
      <x:c r="D398" s="80"/>
      <x:c r="E398" s="80"/>
      <x:c r="F398" s="80"/>
      <x:c r="G398" s="80"/>
      <x:c r="H398" s="80"/>
      <x:c r="I398" s="80"/>
      <x:c r="U398" s="188">
        <x:v>1</x:v>
      </x:c>
    </x:row>
    <x:row r="399" spans="2:21">
      <x:c r="B399" s="46" t="s">
        <x:v>1338</x:v>
      </x:c>
      <x:c r="C399" s="60" t="s">
        <x:v>755</x:v>
      </x:c>
      <x:c r="D399" s="80">
        <x:v>45947</x:v>
      </x:c>
      <x:c r="E399" s="80">
        <x:v>50447</x:v>
      </x:c>
      <x:c r="F399" s="80">
        <x:v>45097</x:v>
      </x:c>
      <x:c r="G399" s="80">
        <x:v>31261</x:v>
      </x:c>
      <x:c r="H399" s="80">
        <x:v>33479</x:v>
      </x:c>
      <x:c r="I399" s="80" t="s">
        <x:v>818</x:v>
      </x:c>
      <x:c r="U399" s="189">
        <x:f t="shared" ref="U399:U410" si="56">IF(COUNT(D399:I399)&lt;&gt;0,1,"")</x:f>
        <x:v>1</x:v>
      </x:c>
    </x:row>
    <x:row r="400" spans="2:21">
      <x:c r="B400" s="46" t="s">
        <x:v>1761</x:v>
      </x:c>
      <x:c r="C400" s="60" t="s">
        <x:v>989</x:v>
      </x:c>
      <x:c r="D400" s="80">
        <x:v>328</x:v>
      </x:c>
      <x:c r="E400" s="80">
        <x:v>300</x:v>
      </x:c>
      <x:c r="F400" s="80">
        <x:v>237</x:v>
      </x:c>
      <x:c r="G400" s="80">
        <x:v>177</x:v>
      </x:c>
      <x:c r="H400" s="80">
        <x:v>170</x:v>
      </x:c>
      <x:c r="I400" s="80" t="s">
        <x:v>818</x:v>
      </x:c>
      <x:c r="U400" s="189">
        <x:f t="shared" si="56"/>
        <x:v>1</x:v>
      </x:c>
    </x:row>
    <x:row r="401" spans="2:21">
      <x:c r="B401" s="46" t="s">
        <x:v>1799</x:v>
      </x:c>
      <x:c r="C401" s="60" t="s">
        <x:v>990</x:v>
      </x:c>
      <x:c r="D401" s="80">
        <x:v>541</x:v>
      </x:c>
      <x:c r="E401" s="80">
        <x:v>424</x:v>
      </x:c>
      <x:c r="F401" s="80">
        <x:v>493</x:v>
      </x:c>
      <x:c r="G401" s="80">
        <x:v>1170</x:v>
      </x:c>
      <x:c r="H401" s="80">
        <x:v>1077</x:v>
      </x:c>
      <x:c r="I401" s="80" t="s">
        <x:v>818</x:v>
      </x:c>
      <x:c r="U401" s="189">
        <x:f t="shared" si="56"/>
        <x:v>1</x:v>
      </x:c>
    </x:row>
    <x:row r="402" spans="2:21">
      <x:c r="B402" s="46" t="s">
        <x:v>317</x:v>
      </x:c>
      <x:c r="C402" s="60" t="s">
        <x:v>443</x:v>
      </x:c>
      <x:c r="D402" s="80">
        <x:v>18</x:v>
      </x:c>
      <x:c r="E402" s="80">
        <x:v>19</x:v>
      </x:c>
      <x:c r="F402" s="80">
        <x:v>14</x:v>
      </x:c>
      <x:c r="G402" s="80">
        <x:v>17</x:v>
      </x:c>
      <x:c r="H402" s="80">
        <x:v>17</x:v>
      </x:c>
      <x:c r="I402" s="80" t="s">
        <x:v>818</x:v>
      </x:c>
      <x:c r="U402" s="189">
        <x:f t="shared" si="56"/>
        <x:v>1</x:v>
      </x:c>
    </x:row>
    <x:row r="403" spans="2:21">
      <x:c r="B403" s="46" t="s">
        <x:v>23</x:v>
      </x:c>
      <x:c r="C403" s="60" t="s">
        <x:v>213</x:v>
      </x:c>
      <x:c r="D403" s="80">
        <x:v>2794</x:v>
      </x:c>
      <x:c r="E403" s="80">
        <x:v>-876</x:v>
      </x:c>
      <x:c r="F403" s="80">
        <x:v>-8819</x:v>
      </x:c>
      <x:c r="G403" s="80">
        <x:v>2077</x:v>
      </x:c>
      <x:c r="H403" s="80">
        <x:v>-1076</x:v>
      </x:c>
      <x:c r="I403" s="80" t="s">
        <x:v>818</x:v>
      </x:c>
      <x:c r="U403" s="189">
        <x:f t="shared" si="56"/>
        <x:v>1</x:v>
      </x:c>
    </x:row>
    <x:row r="404" spans="2:21">
      <x:c r="B404" s="46" t="s">
        <x:v>1448</x:v>
      </x:c>
      <x:c r="C404" s="60" t="s">
        <x:v>748</x:v>
      </x:c>
      <x:c r="D404" s="80">
        <x:v>-2299</x:v>
      </x:c>
      <x:c r="E404" s="80">
        <x:v>-2252</x:v>
      </x:c>
      <x:c r="F404" s="80">
        <x:v>-1990</x:v>
      </x:c>
      <x:c r="G404" s="80">
        <x:v>-2025</x:v>
      </x:c>
      <x:c r="H404" s="80">
        <x:v>-2057</x:v>
      </x:c>
      <x:c r="I404" s="80" t="s">
        <x:v>818</x:v>
      </x:c>
      <x:c r="U404" s="189">
        <x:f t="shared" si="56"/>
        <x:v>1</x:v>
      </x:c>
    </x:row>
    <x:row r="405" spans="2:21">
      <x:c r="B405" s="46" t="s">
        <x:v>2351</x:v>
      </x:c>
      <x:c r="C405" s="60" t="s">
        <x:v>311</x:v>
      </x:c>
      <x:c r="D405" s="80">
        <x:v>3085</x:v>
      </x:c>
      <x:c r="E405" s="80">
        <x:v>-2548</x:v>
      </x:c>
      <x:c r="F405" s="80">
        <x:v>-3463</x:v>
      </x:c>
      <x:c r="G405" s="80">
        <x:v>1021</x:v>
      </x:c>
      <x:c r="H405" s="80">
        <x:v>-1850</x:v>
      </x:c>
      <x:c r="I405" s="80" t="s">
        <x:v>818</x:v>
      </x:c>
      <x:c r="U405" s="189">
        <x:f t="shared" si="56"/>
        <x:v>1</x:v>
      </x:c>
    </x:row>
    <x:row r="406" spans="2:21">
      <x:c r="B406" s="46" t="s">
        <x:v>1844</x:v>
      </x:c>
      <x:c r="C406" s="60" t="s">
        <x:v>756</x:v>
      </x:c>
      <x:c r="D406" s="80" t="s">
        <x:v>818</x:v>
      </x:c>
      <x:c r="E406" s="80" t="s">
        <x:v>818</x:v>
      </x:c>
      <x:c r="F406" s="80" t="s">
        <x:v>818</x:v>
      </x:c>
      <x:c r="G406" s="80" t="s">
        <x:v>818</x:v>
      </x:c>
      <x:c r="H406" s="80" t="s">
        <x:v>818</x:v>
      </x:c>
      <x:c r="I406" s="80" t="s">
        <x:v>818</x:v>
      </x:c>
      <x:c r="U406" s="189" t="str">
        <x:f t="shared" si="56"/>
        <x:v/>
      </x:c>
    </x:row>
    <x:row r="407" spans="2:21">
      <x:c r="B407" s="46" t="s">
        <x:v>330</x:v>
      </x:c>
      <x:c r="C407" s="60" t="s">
        <x:v>302</x:v>
      </x:c>
      <x:c r="D407" s="80" t="s">
        <x:v>818</x:v>
      </x:c>
      <x:c r="E407" s="80" t="s">
        <x:v>818</x:v>
      </x:c>
      <x:c r="F407" s="80" t="s">
        <x:v>818</x:v>
      </x:c>
      <x:c r="G407" s="80" t="s">
        <x:v>818</x:v>
      </x:c>
      <x:c r="H407" s="80" t="s">
        <x:v>818</x:v>
      </x:c>
      <x:c r="I407" s="80" t="s">
        <x:v>818</x:v>
      </x:c>
      <x:c r="U407" s="189" t="str">
        <x:f t="shared" si="56"/>
        <x:v/>
      </x:c>
    </x:row>
    <x:row r="408" spans="2:21">
      <x:c r="B408" s="46" t="s">
        <x:v>318</x:v>
      </x:c>
      <x:c r="C408" s="60" t="s">
        <x:v>82</x:v>
      </x:c>
      <x:c r="D408" s="80">
        <x:v>34</x:v>
      </x:c>
      <x:c r="E408" s="80">
        <x:v>-417</x:v>
      </x:c>
      <x:c r="F408" s="80">
        <x:v>-307</x:v>
      </x:c>
      <x:c r="G408" s="80">
        <x:v>-218</x:v>
      </x:c>
      <x:c r="H408" s="80">
        <x:v>-1270</x:v>
      </x:c>
      <x:c r="I408" s="80" t="s">
        <x:v>818</x:v>
      </x:c>
      <x:c r="U408" s="189">
        <x:f t="shared" si="56"/>
        <x:v>1</x:v>
      </x:c>
    </x:row>
    <x:row r="409" spans="2:21">
      <x:c r="B409" s="46" t="s">
        <x:v>1819</x:v>
      </x:c>
      <x:c r="C409" s="60" t="s">
        <x:v>316</x:v>
      </x:c>
      <x:c r="D409" s="80">
        <x:v>50447</x:v>
      </x:c>
      <x:c r="E409" s="80">
        <x:v>45097</x:v>
      </x:c>
      <x:c r="F409" s="80">
        <x:v>31261</x:v>
      </x:c>
      <x:c r="G409" s="80">
        <x:v>33479</x:v>
      </x:c>
      <x:c r="H409" s="80">
        <x:v>28490</x:v>
      </x:c>
      <x:c r="I409" s="80" t="s">
        <x:v>818</x:v>
      </x:c>
      <x:c r="U409" s="189">
        <x:f t="shared" si="56"/>
        <x:v>1</x:v>
      </x:c>
    </x:row>
    <x:row r="410" spans="2:21">
      <x:c r="B410" s="46" t="s">
        <x:v>305</x:v>
      </x:c>
      <x:c r="C410" s="60" t="s">
        <x:v>985</x:v>
      </x:c>
      <x:c r="D410" s="80">
        <x:v>50019</x:v>
      </x:c>
      <x:c r="E410" s="80">
        <x:v>44628</x:v>
      </x:c>
      <x:c r="F410" s="80">
        <x:v>30961</x:v>
      </x:c>
      <x:c r="G410" s="80">
        <x:v>33128</x:v>
      </x:c>
      <x:c r="H410" s="80">
        <x:v>28187</x:v>
      </x:c>
      <x:c r="I410" s="80" t="s">
        <x:v>818</x:v>
      </x:c>
      <x:c r="U410" s="189">
        <x:f t="shared" si="56"/>
        <x:v>1</x:v>
      </x:c>
    </x:row>
    <x:row r="411" spans="2:21">
      <x:c r="B411" s="61" t="s">
        <x:v>1132</x:v>
      </x:c>
      <x:c r="C411" s="60" t="s">
        <x:v>798</x:v>
      </x:c>
      <x:c r="D411" s="80"/>
      <x:c r="E411" s="80"/>
      <x:c r="F411" s="80"/>
      <x:c r="G411" s="80"/>
      <x:c r="H411" s="80"/>
      <x:c r="I411" s="80"/>
      <x:c r="U411" s="188">
        <x:v>1</x:v>
      </x:c>
    </x:row>
    <x:row r="412" spans="2:21">
      <x:c r="B412" s="46" t="s">
        <x:v>1512</x:v>
      </x:c>
      <x:c r="C412" s="60" t="s">
        <x:v>1384</x:v>
      </x:c>
      <x:c r="D412" s="80">
        <x:v>38891</x:v>
      </x:c>
      <x:c r="E412" s="80">
        <x:v>42308</x:v>
      </x:c>
      <x:c r="F412" s="80">
        <x:v>39979</x:v>
      </x:c>
      <x:c r="G412" s="80">
        <x:v>28371</x:v>
      </x:c>
      <x:c r="H412" s="80">
        <x:v>29059</x:v>
      </x:c>
      <x:c r="I412" s="80" t="s">
        <x:v>818</x:v>
      </x:c>
      <x:c r="U412" s="189">
        <x:f t="shared" ref="U412:U421" si="57">IF(COUNT(D412:I412)&lt;&gt;0,1,"")</x:f>
        <x:v>1</x:v>
      </x:c>
    </x:row>
    <x:row r="413" spans="2:21">
      <x:c r="B413" s="46" t="s">
        <x:v>1342</x:v>
      </x:c>
      <x:c r="C413" s="60" t="s">
        <x:v>326</x:v>
      </x:c>
      <x:c r="D413" s="80">
        <x:v>2559</x:v>
      </x:c>
      <x:c r="E413" s="80">
        <x:v>1686</x:v>
      </x:c>
      <x:c r="F413" s="80">
        <x:v>-6737</x:v>
      </x:c>
      <x:c r="G413" s="80">
        <x:v>1391</x:v>
      </x:c>
      <x:c r="H413" s="80">
        <x:v>499</x:v>
      </x:c>
      <x:c r="I413" s="80" t="s">
        <x:v>818</x:v>
      </x:c>
      <x:c r="U413" s="189">
        <x:f t="shared" si="57"/>
        <x:v>1</x:v>
      </x:c>
    </x:row>
    <x:row r="414" spans="2:21">
      <x:c r="B414" s="46" t="s">
        <x:v>2367</x:v>
      </x:c>
      <x:c r="C414" s="60" t="s">
        <x:v>218</x:v>
      </x:c>
      <x:c r="D414" s="80">
        <x:v>166</x:v>
      </x:c>
      <x:c r="E414" s="80">
        <x:v>86</x:v>
      </x:c>
      <x:c r="F414" s="80">
        <x:v>103</x:v>
      </x:c>
      <x:c r="G414" s="80">
        <x:v>57</x:v>
      </x:c>
      <x:c r="H414" s="80">
        <x:v>67</x:v>
      </x:c>
      <x:c r="I414" s="80" t="s">
        <x:v>818</x:v>
      </x:c>
      <x:c r="U414" s="189">
        <x:f t="shared" si="57"/>
        <x:v>1</x:v>
      </x:c>
    </x:row>
    <x:row r="415" spans="2:21">
      <x:c r="B415" s="46" t="s">
        <x:v>1847</x:v>
      </x:c>
      <x:c r="C415" s="60" t="s">
        <x:v>215</x:v>
      </x:c>
      <x:c r="D415" s="80">
        <x:v>18</x:v>
      </x:c>
      <x:c r="E415" s="80">
        <x:v>19</x:v>
      </x:c>
      <x:c r="F415" s="80">
        <x:v>14</x:v>
      </x:c>
      <x:c r="G415" s="80">
        <x:v>17</x:v>
      </x:c>
      <x:c r="H415" s="80">
        <x:v>17</x:v>
      </x:c>
      <x:c r="I415" s="80" t="s">
        <x:v>818</x:v>
      </x:c>
      <x:c r="U415" s="189">
        <x:f t="shared" si="57"/>
        <x:v>1</x:v>
      </x:c>
    </x:row>
    <x:row r="416" spans="2:21">
      <x:c r="B416" s="46" t="s">
        <x:v>2023</x:v>
      </x:c>
      <x:c r="C416" s="60" t="s">
        <x:v>306</x:v>
      </x:c>
      <x:c r="D416" s="80">
        <x:v>-1908</x:v>
      </x:c>
      <x:c r="E416" s="80">
        <x:v>-1736</x:v>
      </x:c>
      <x:c r="F416" s="80">
        <x:v>-1572</x:v>
      </x:c>
      <x:c r="G416" s="80">
        <x:v>-1629</x:v>
      </x:c>
      <x:c r="H416" s="80">
        <x:v>-1635</x:v>
      </x:c>
      <x:c r="I416" s="80" t="s">
        <x:v>818</x:v>
      </x:c>
      <x:c r="U416" s="189">
        <x:f t="shared" si="57"/>
        <x:v>1</x:v>
      </x:c>
    </x:row>
    <x:row r="417" spans="2:21">
      <x:c r="B417" s="46" t="s">
        <x:v>1343</x:v>
      </x:c>
      <x:c r="C417" s="60" t="s">
        <x:v>763</x:v>
      </x:c>
      <x:c r="D417" s="80">
        <x:v>2479</x:v>
      </x:c>
      <x:c r="E417" s="80">
        <x:v>-1939</x:v>
      </x:c>
      <x:c r="F417" s="80">
        <x:v>-3154</x:v>
      </x:c>
      <x:c r="G417" s="80">
        <x:v>1058</x:v>
      </x:c>
      <x:c r="H417" s="80">
        <x:v>-1530</x:v>
      </x:c>
      <x:c r="I417" s="80" t="s">
        <x:v>818</x:v>
      </x:c>
      <x:c r="U417" s="189">
        <x:f t="shared" si="57"/>
        <x:v>1</x:v>
      </x:c>
    </x:row>
    <x:row r="418" spans="2:21">
      <x:c r="B418" s="46" t="s">
        <x:v>2370</x:v>
      </x:c>
      <x:c r="C418" s="60" t="s">
        <x:v>1390</x:v>
      </x:c>
      <x:c r="D418" s="80" t="s">
        <x:v>818</x:v>
      </x:c>
      <x:c r="E418" s="80" t="s">
        <x:v>818</x:v>
      </x:c>
      <x:c r="F418" s="80" t="s">
        <x:v>818</x:v>
      </x:c>
      <x:c r="G418" s="80" t="s">
        <x:v>818</x:v>
      </x:c>
      <x:c r="H418" s="80" t="s">
        <x:v>818</x:v>
      </x:c>
      <x:c r="I418" s="80" t="s">
        <x:v>818</x:v>
      </x:c>
      <x:c r="U418" s="189" t="str">
        <x:f t="shared" si="57"/>
        <x:v/>
      </x:c>
    </x:row>
    <x:row r="419" spans="2:21">
      <x:c r="B419" s="46" t="s">
        <x:v>1349</x:v>
      </x:c>
      <x:c r="C419" s="60" t="s">
        <x:v>760</x:v>
      </x:c>
      <x:c r="D419" s="80" t="s">
        <x:v>818</x:v>
      </x:c>
      <x:c r="E419" s="80" t="s">
        <x:v>818</x:v>
      </x:c>
      <x:c r="F419" s="80" t="s">
        <x:v>818</x:v>
      </x:c>
      <x:c r="G419" s="80" t="s">
        <x:v>818</x:v>
      </x:c>
      <x:c r="H419" s="80" t="s">
        <x:v>818</x:v>
      </x:c>
      <x:c r="I419" s="80" t="s">
        <x:v>818</x:v>
      </x:c>
      <x:c r="U419" s="189" t="str">
        <x:f t="shared" si="57"/>
        <x:v/>
      </x:c>
    </x:row>
    <x:row r="420" spans="2:21">
      <x:c r="B420" s="46" t="s">
        <x:v>2352</x:v>
      </x:c>
      <x:c r="C420" s="60" t="s">
        <x:v>1004</x:v>
      </x:c>
      <x:c r="D420" s="80">
        <x:v>104</x:v>
      </x:c>
      <x:c r="E420" s="80">
        <x:v>-445</x:v>
      </x:c>
      <x:c r="F420" s="80">
        <x:v>-263</x:v>
      </x:c>
      <x:c r="G420" s="80">
        <x:v>-205</x:v>
      </x:c>
      <x:c r="H420" s="80">
        <x:v>-1273</x:v>
      </x:c>
      <x:c r="I420" s="80" t="s">
        <x:v>818</x:v>
      </x:c>
      <x:c r="U420" s="189">
        <x:f t="shared" si="57"/>
        <x:v>1</x:v>
      </x:c>
    </x:row>
    <x:row r="421" spans="2:21">
      <x:c r="B421" s="46" t="s">
        <x:v>1531</x:v>
      </x:c>
      <x:c r="C421" s="60" t="s">
        <x:v>1864</x:v>
      </x:c>
      <x:c r="D421" s="44">
        <x:v>42308</x:v>
      </x:c>
      <x:c r="E421" s="44">
        <x:v>39979</x:v>
      </x:c>
      <x:c r="F421" s="44">
        <x:v>28371</x:v>
      </x:c>
      <x:c r="G421" s="44">
        <x:v>29059</x:v>
      </x:c>
      <x:c r="H421" s="44">
        <x:v>25205</x:v>
      </x:c>
      <x:c r="I421" s="44" t="s">
        <x:v>818</x:v>
      </x:c>
      <x:c r="U421" s="189">
        <x:f t="shared" si="57"/>
        <x:v>1</x:v>
      </x:c>
    </x:row>
    <x:row r="422" spans="2:21">
      <x:c r="B422" s="61" t="s">
        <x:v>69</x:v>
      </x:c>
      <x:c r="C422" s="60" t="s">
        <x:v>798</x:v>
      </x:c>
      <x:c r="D422" s="44"/>
      <x:c r="E422" s="44"/>
      <x:c r="F422" s="44"/>
      <x:c r="G422" s="44"/>
      <x:c r="H422" s="44"/>
      <x:c r="I422" s="44"/>
      <x:c r="U422" s="188">
        <x:v>1</x:v>
      </x:c>
    </x:row>
    <x:row r="423" spans="2:21">
      <x:c r="B423" s="46" t="s">
        <x:v>282</x:v>
      </x:c>
      <x:c r="C423" s="60" t="s">
        <x:v>772</x:v>
      </x:c>
      <x:c r="D423" s="44">
        <x:v>1.2</x:v>
      </x:c>
      <x:c r="E423" s="44">
        <x:v>0.87</x:v>
      </x:c>
      <x:c r="F423" s="44">
        <x:v>1.26</x:v>
      </x:c>
      <x:c r="G423" s="44">
        <x:v>3.7999999999999998</x:v>
      </x:c>
      <x:c r="H423" s="44">
        <x:v>3.3700000000000001</x:v>
      </x:c>
      <x:c r="I423" s="44" t="s">
        <x:v>818</x:v>
      </x:c>
      <x:c r="U423" s="189">
        <x:f t="shared" ref="U423:U428" si="58">IF(COUNT(D423:I423)&lt;&gt;0,1,"")</x:f>
        <x:v>1</x:v>
      </x:c>
    </x:row>
    <x:row r="424" spans="2:21">
      <x:c r="B424" s="46" t="s">
        <x:v>283</x:v>
      </x:c>
      <x:c r="C424" s="60" t="s">
        <x:v>743</x:v>
      </x:c>
      <x:c r="D424" s="44">
        <x:v>1.2</x:v>
      </x:c>
      <x:c r="E424" s="44">
        <x:v>0.87</x:v>
      </x:c>
      <x:c r="F424" s="44">
        <x:v>1.26</x:v>
      </x:c>
      <x:c r="G424" s="44">
        <x:v>3.7999999999999998</x:v>
      </x:c>
      <x:c r="H424" s="44">
        <x:v>3.3700000000000001</x:v>
      </x:c>
      <x:c r="I424" s="44" t="s">
        <x:v>818</x:v>
      </x:c>
      <x:c r="U424" s="189">
        <x:f t="shared" si="58"/>
        <x:v>1</x:v>
      </x:c>
    </x:row>
    <x:row r="425" spans="2:21">
      <x:c r="B425" s="46" t="s">
        <x:v>564</x:v>
      </x:c>
      <x:c r="C425" s="60" t="s">
        <x:v>986</x:v>
      </x:c>
      <x:c r="D425" s="44">
        <x:v>2.3199999999999998</x:v>
      </x:c>
      <x:c r="E425" s="44">
        <x:v>2.5899999999999999</x:v>
      </x:c>
      <x:c r="F425" s="44">
        <x:v>3.02</x:v>
      </x:c>
      <x:c r="G425" s="44">
        <x:v>4</x:v>
      </x:c>
      <x:c r="H425" s="44">
        <x:v>4.1799999999999997</x:v>
      </x:c>
      <x:c r="I425" s="44" t="s">
        <x:v>818</x:v>
      </x:c>
      <x:c r="U425" s="189">
        <x:f t="shared" si="58"/>
        <x:v>1</x:v>
      </x:c>
    </x:row>
    <x:row r="426" spans="2:21">
      <x:c r="B426" s="46" t="s">
        <x:v>559</x:v>
      </x:c>
      <x:c r="C426" s="60" t="s">
        <x:v>1000</x:v>
      </x:c>
      <x:c r="D426" s="44">
        <x:v>2.3199999999999998</x:v>
      </x:c>
      <x:c r="E426" s="44">
        <x:v>2.5899999999999999</x:v>
      </x:c>
      <x:c r="F426" s="44">
        <x:v>3.02</x:v>
      </x:c>
      <x:c r="G426" s="44">
        <x:v>4</x:v>
      </x:c>
      <x:c r="H426" s="44">
        <x:v>4.1799999999999997</x:v>
      </x:c>
      <x:c r="I426" s="44" t="s">
        <x:v>818</x:v>
      </x:c>
      <x:c r="U426" s="189">
        <x:f t="shared" si="58"/>
        <x:v>1</x:v>
      </x:c>
    </x:row>
    <x:row r="427" spans="2:21">
      <x:c r="B427" s="46" t="s">
        <x:v>191</x:v>
      </x:c>
      <x:c r="C427" s="60" t="s">
        <x:v>307</x:v>
      </x:c>
      <x:c r="D427" s="80">
        <x:v>3.3599999999999999</x:v>
      </x:c>
      <x:c r="E427" s="80">
        <x:v>2.8500000000000001</x:v>
      </x:c>
      <x:c r="F427" s="80">
        <x:v>2.9700000000000002</x:v>
      </x:c>
      <x:c r="G427" s="80">
        <x:v>4.4400000000000004</x:v>
      </x:c>
      <x:c r="H427" s="80">
        <x:v>4.8899999999999997</x:v>
      </x:c>
      <x:c r="I427" s="80" t="s">
        <x:v>818</x:v>
      </x:c>
      <x:c r="U427" s="189">
        <x:f t="shared" si="58"/>
        <x:v>1</x:v>
      </x:c>
    </x:row>
    <x:row r="428" spans="2:21">
      <x:c r="B428" s="46" t="s">
        <x:v>200</x:v>
      </x:c>
      <x:c r="C428" s="60" t="s">
        <x:v>309</x:v>
      </x:c>
      <x:c r="D428" s="44">
        <x:v>3.3599999999999999</x:v>
      </x:c>
      <x:c r="E428" s="44">
        <x:v>2.8500000000000001</x:v>
      </x:c>
      <x:c r="F428" s="44">
        <x:v>2.9700000000000002</x:v>
      </x:c>
      <x:c r="G428" s="44">
        <x:v>4.4400000000000004</x:v>
      </x:c>
      <x:c r="H428" s="44">
        <x:v>4.8899999999999997</x:v>
      </x:c>
      <x:c r="I428" s="44" t="s">
        <x:v>818</x:v>
      </x:c>
      <x:c r="U428" s="189">
        <x:f t="shared" si="58"/>
        <x:v>1</x:v>
      </x:c>
    </x:row>
    <x:row r="429" spans="2:21">
      <x:c r="B429" s="61" t="s">
        <x:v>1786</x:v>
      </x:c>
      <x:c r="C429" s="60" t="s">
        <x:v>798</x:v>
      </x:c>
      <x:c r="D429" s="44"/>
      <x:c r="E429" s="44"/>
      <x:c r="F429" s="44"/>
      <x:c r="G429" s="44"/>
      <x:c r="H429" s="44"/>
      <x:c r="I429" s="44"/>
      <x:c r="U429" s="188">
        <x:v>1</x:v>
      </x:c>
    </x:row>
    <x:row r="430" spans="2:21">
      <x:c r="B430" s="46" t="s">
        <x:v>1777</x:v>
      </x:c>
      <x:c r="C430" s="60" t="s">
        <x:v>749</x:v>
      </x:c>
      <x:c r="D430" s="44">
        <x:v>1.101</x:v>
      </x:c>
      <x:c r="E430" s="44">
        <x:v>1.2130000000000001</x:v>
      </x:c>
      <x:c r="F430" s="44">
        <x:v>0.871</x:v>
      </x:c>
      <x:c r="G430" s="44">
        <x:v>0.85299999999999998</x:v>
      </x:c>
      <x:c r="H430" s="44">
        <x:v>0.27000000000000002</x:v>
      </x:c>
      <x:c r="I430" s="44" t="s">
        <x:v>818</x:v>
      </x:c>
      <x:c r="U430" s="189">
        <x:f t="shared" ref="U430:U433" si="59">IF(COUNT(D430:I430)&lt;&gt;0,1,"")</x:f>
        <x:v>1</x:v>
      </x:c>
    </x:row>
    <x:row r="431" spans="2:21">
      <x:c r="B431" s="46" t="s">
        <x:v>1084</x:v>
      </x:c>
      <x:c r="C431" s="60" t="s">
        <x:v>762</x:v>
      </x:c>
      <x:c r="D431" s="44">
        <x:v>48.832000000000001</x:v>
      </x:c>
      <x:c r="E431" s="44">
        <x:v>50.363999999999997</x:v>
      </x:c>
      <x:c r="F431" s="44">
        <x:v>47.926000000000002</x:v>
      </x:c>
      <x:c r="G431" s="44">
        <x:v>51.027000000000001</x:v>
      </x:c>
      <x:c r="H431" s="44">
        <x:v>52.597000000000001</x:v>
      </x:c>
      <x:c r="I431" s="44" t="s">
        <x:v>818</x:v>
      </x:c>
      <x:c r="U431" s="189">
        <x:f t="shared" si="59"/>
        <x:v>1</x:v>
      </x:c>
    </x:row>
    <x:row r="432" spans="2:21">
      <x:c r="B432" s="46" t="s">
        <x:v>1085</x:v>
      </x:c>
      <x:c r="C432" s="60" t="s">
        <x:v>773</x:v>
      </x:c>
      <x:c r="D432" s="80">
        <x:v>0.70399999999999996</x:v>
      </x:c>
      <x:c r="E432" s="80">
        <x:v>0.435</x:v>
      </x:c>
      <x:c r="F432" s="80">
        <x:v>0.51100000000000001</x:v>
      </x:c>
      <x:c r="G432" s="80">
        <x:v>0.014000000000000001</x:v>
      </x:c>
      <x:c r="H432" s="80">
        <x:v>0.012</x:v>
      </x:c>
      <x:c r="I432" s="80" t="s">
        <x:v>818</x:v>
      </x:c>
      <x:c r="U432" s="189">
        <x:f t="shared" si="59"/>
        <x:v>1</x:v>
      </x:c>
    </x:row>
    <x:row r="433" spans="2:21">
      <x:c r="B433" s="46" t="s">
        <x:v>2308</x:v>
      </x:c>
      <x:c r="C433" s="60" t="s">
        <x:v>335</x:v>
      </x:c>
      <x:c r="D433" s="80">
        <x:v>49.351999999999997</x:v>
      </x:c>
      <x:c r="E433" s="80">
        <x:v>47.988</x:v>
      </x:c>
      <x:c r="F433" s="80">
        <x:v>50.692999999999998</x:v>
      </x:c>
      <x:c r="G433" s="80">
        <x:v>48.106000000000002</x:v>
      </x:c>
      <x:c r="H433" s="80">
        <x:v>47.122</x:v>
      </x:c>
      <x:c r="I433" s="80" t="s">
        <x:v>818</x:v>
      </x:c>
      <x:c r="U433" s="189">
        <x:f t="shared" si="59"/>
        <x:v>1</x:v>
      </x:c>
    </x:row>
    <x:row r="434" spans="2:21">
      <x:c r="B434" s="61" t="s">
        <x:v>1786</x:v>
      </x:c>
      <x:c r="C434" s="60" t="s">
        <x:v>798</x:v>
      </x:c>
      <x:c r="D434" s="44"/>
      <x:c r="E434" s="44"/>
      <x:c r="F434" s="44"/>
      <x:c r="G434" s="44"/>
      <x:c r="H434" s="44"/>
      <x:c r="I434" s="44"/>
      <x:c r="U434" s="188">
        <x:v>1</x:v>
      </x:c>
    </x:row>
    <x:row r="435" spans="2:21">
      <x:c r="B435" s="46" t="s">
        <x:v>2369</x:v>
      </x:c>
      <x:c r="C435" s="60" t="s">
        <x:v>1387</x:v>
      </x:c>
      <x:c r="D435" s="80">
        <x:v>466</x:v>
      </x:c>
      <x:c r="E435" s="80">
        <x:v>485</x:v>
      </x:c>
      <x:c r="F435" s="80">
        <x:v>247</x:v>
      </x:c>
      <x:c r="G435" s="80">
        <x:v>248</x:v>
      </x:c>
      <x:c r="H435" s="80">
        <x:v>68</x:v>
      </x:c>
      <x:c r="I435" s="80" t="s">
        <x:v>818</x:v>
      </x:c>
      <x:c r="U435" s="189">
        <x:f t="shared" ref="U435:U438" si="60">IF(COUNT(D435:I435)&lt;&gt;0,1,"")</x:f>
        <x:v>1</x:v>
      </x:c>
    </x:row>
    <x:row r="436" spans="2:21">
      <x:c r="B436" s="46" t="s">
        <x:v>1835</x:v>
      </x:c>
      <x:c r="C436" s="60" t="s">
        <x:v>1388</x:v>
      </x:c>
      <x:c r="D436" s="80">
        <x:v>20660</x:v>
      </x:c>
      <x:c r="E436" s="80">
        <x:v>20135</x:v>
      </x:c>
      <x:c r="F436" s="80">
        <x:v>13597</x:v>
      </x:c>
      <x:c r="G436" s="80">
        <x:v>14828</x:v>
      </x:c>
      <x:c r="H436" s="80">
        <x:v>13257</x:v>
      </x:c>
      <x:c r="I436" s="80" t="s">
        <x:v>818</x:v>
      </x:c>
      <x:c r="U436" s="189">
        <x:f t="shared" si="60"/>
        <x:v>1</x:v>
      </x:c>
    </x:row>
    <x:row r="437" spans="2:21">
      <x:c r="B437" s="46" t="s">
        <x:v>1820</x:v>
      </x:c>
      <x:c r="C437" s="60" t="s">
        <x:v>1389</x:v>
      </x:c>
      <x:c r="D437" s="80">
        <x:v>298</x:v>
      </x:c>
      <x:c r="E437" s="80">
        <x:v>174</x:v>
      </x:c>
      <x:c r="F437" s="80">
        <x:v>145</x:v>
      </x:c>
      <x:c r="G437" s="80">
        <x:v>4</x:v>
      </x:c>
      <x:c r="H437" s="80">
        <x:v>3</x:v>
      </x:c>
      <x:c r="I437" s="80" t="s">
        <x:v>818</x:v>
      </x:c>
      <x:c r="U437" s="189">
        <x:f t="shared" si="60"/>
        <x:v>1</x:v>
      </x:c>
    </x:row>
    <x:row r="438" spans="2:21">
      <x:c r="B438" s="46" t="s">
        <x:v>1526</x:v>
      </x:c>
      <x:c r="C438" s="60" t="s">
        <x:v>774</x:v>
      </x:c>
      <x:c r="D438" s="80">
        <x:v>20880</x:v>
      </x:c>
      <x:c r="E438" s="80">
        <x:v>19185</x:v>
      </x:c>
      <x:c r="F438" s="80">
        <x:v>14382</x:v>
      </x:c>
      <x:c r="G438" s="80">
        <x:v>13979</x:v>
      </x:c>
      <x:c r="H438" s="80">
        <x:v>11877</x:v>
      </x:c>
      <x:c r="I438" s="80" t="s">
        <x:v>818</x:v>
      </x:c>
      <x:c r="U438" s="189">
        <x:f t="shared" si="60"/>
        <x:v>1</x:v>
      </x:c>
    </x:row>
    <x:row r="439" spans="2:21">
      <x:c r="B439" s="61" t="s">
        <x:v>159</x:v>
      </x:c>
      <x:c r="C439" s="60" t="s">
        <x:v>798</x:v>
      </x:c>
      <x:c r="D439" s="44"/>
      <x:c r="E439" s="44"/>
      <x:c r="F439" s="44"/>
      <x:c r="G439" s="44"/>
      <x:c r="H439" s="44"/>
      <x:c r="I439" s="44"/>
      <x:c r="U439" s="188">
        <x:v>1</x:v>
      </x:c>
    </x:row>
    <x:row r="440" spans="2:21">
      <x:c r="B440" s="46" t="s">
        <x:v>286</x:v>
      </x:c>
      <x:c r="C440" s="60" t="s">
        <x:v>1865</x:v>
      </x:c>
      <x:c r="D440" s="80">
        <x:v>16310</x:v>
      </x:c>
      <x:c r="E440" s="80">
        <x:v>13412</x:v>
      </x:c>
      <x:c r="F440" s="80">
        <x:v>11219</x:v>
      </x:c>
      <x:c r="G440" s="80">
        <x:v>12937</x:v>
      </x:c>
      <x:c r="H440" s="80">
        <x:v>11950</x:v>
      </x:c>
      <x:c r="I440" s="80" t="s">
        <x:v>818</x:v>
      </x:c>
      <x:c r="U440" s="189">
        <x:f t="shared" ref="U440:U444" si="61">IF(COUNT(D440:I440)&lt;&gt;0,1,"")</x:f>
        <x:v>1</x:v>
      </x:c>
    </x:row>
    <x:row r="441" spans="2:21">
      <x:c r="B441" s="46" t="s">
        <x:v>972</x:v>
      </x:c>
      <x:c r="C441" s="60" t="s">
        <x:v>752</x:v>
      </x:c>
      <x:c r="D441" s="80">
        <x:v>325</x:v>
      </x:c>
      <x:c r="E441" s="80">
        <x:v>397</x:v>
      </x:c>
      <x:c r="F441" s="80">
        <x:v>330</x:v>
      </x:c>
      <x:c r="G441" s="80">
        <x:v>309</x:v>
      </x:c>
      <x:c r="H441" s="80">
        <x:v>342</x:v>
      </x:c>
      <x:c r="I441" s="80" t="s">
        <x:v>818</x:v>
      </x:c>
      <x:c r="U441" s="189">
        <x:f t="shared" si="61"/>
        <x:v>1</x:v>
      </x:c>
    </x:row>
    <x:row r="442" spans="2:21">
      <x:c r="B442" s="46" t="s">
        <x:v>966</x:v>
      </x:c>
      <x:c r="C442" s="60" t="s">
        <x:v>744</x:v>
      </x:c>
      <x:c r="D442" s="80" t="s">
        <x:v>818</x:v>
      </x:c>
      <x:c r="E442" s="80" t="s">
        <x:v>818</x:v>
      </x:c>
      <x:c r="F442" s="80" t="s">
        <x:v>818</x:v>
      </x:c>
      <x:c r="G442" s="80" t="s">
        <x:v>818</x:v>
      </x:c>
      <x:c r="H442" s="80" t="s">
        <x:v>818</x:v>
      </x:c>
      <x:c r="I442" s="80" t="s">
        <x:v>818</x:v>
      </x:c>
      <x:c r="U442" s="189" t="str">
        <x:f t="shared" si="61"/>
        <x:v/>
      </x:c>
    </x:row>
    <x:row r="443" spans="2:21">
      <x:c r="B443" s="46" t="s">
        <x:v>1087</x:v>
      </x:c>
      <x:c r="C443" s="60" t="s">
        <x:v>340</x:v>
      </x:c>
      <x:c r="D443" s="80" t="s">
        <x:v>818</x:v>
      </x:c>
      <x:c r="E443" s="80" t="s">
        <x:v>818</x:v>
      </x:c>
      <x:c r="F443" s="80" t="s">
        <x:v>818</x:v>
      </x:c>
      <x:c r="G443" s="80" t="s">
        <x:v>818</x:v>
      </x:c>
      <x:c r="H443" s="80" t="s">
        <x:v>818</x:v>
      </x:c>
      <x:c r="I443" s="80" t="s">
        <x:v>818</x:v>
      </x:c>
      <x:c r="U443" s="189" t="str">
        <x:f t="shared" si="61"/>
        <x:v/>
      </x:c>
    </x:row>
    <x:row r="444" spans="2:21">
      <x:c r="B444" s="46" t="s">
        <x:v>568</x:v>
      </x:c>
      <x:c r="C444" s="60" t="s">
        <x:v>765</x:v>
      </x:c>
      <x:c r="D444" s="80">
        <x:v>16635</x:v>
      </x:c>
      <x:c r="E444" s="80">
        <x:v>13809</x:v>
      </x:c>
      <x:c r="F444" s="80">
        <x:v>11549</x:v>
      </x:c>
      <x:c r="G444" s="80">
        <x:v>13245</x:v>
      </x:c>
      <x:c r="H444" s="80">
        <x:v>12293</x:v>
      </x:c>
      <x:c r="I444" s="80" t="s">
        <x:v>818</x:v>
      </x:c>
      <x:c r="U444" s="189">
        <x:f t="shared" si="61"/>
        <x:v>1</x:v>
      </x:c>
    </x:row>
    <x:row r="445" spans="2:21">
      <x:c r="B445" s="61" t="s">
        <x:v>8</x:v>
      </x:c>
      <x:c r="C445" s="60" t="s">
        <x:v>798</x:v>
      </x:c>
      <x:c r="D445" s="80"/>
      <x:c r="E445" s="80"/>
      <x:c r="F445" s="80"/>
      <x:c r="G445" s="80"/>
      <x:c r="H445" s="80"/>
      <x:c r="I445" s="80"/>
      <x:c r="U445" s="188">
        <x:v>1</x:v>
      </x:c>
    </x:row>
    <x:row r="446" spans="2:21">
      <x:c r="B446" s="46" t="s">
        <x:v>54</x:v>
      </x:c>
      <x:c r="C446" s="60" t="s">
        <x:v>351</x:v>
      </x:c>
      <x:c r="D446" s="80" t="s">
        <x:v>818</x:v>
      </x:c>
      <x:c r="E446" s="80" t="s">
        <x:v>818</x:v>
      </x:c>
      <x:c r="F446" s="80" t="s">
        <x:v>818</x:v>
      </x:c>
      <x:c r="G446" s="80" t="s">
        <x:v>818</x:v>
      </x:c>
      <x:c r="H446" s="80" t="s">
        <x:v>818</x:v>
      </x:c>
      <x:c r="I446" s="80" t="s">
        <x:v>818</x:v>
      </x:c>
      <x:c r="U446" s="189" t="str">
        <x:f t="shared" ref="U446:U449" si="62">IF(COUNT(D446:I446)&lt;&gt;0,1,"")</x:f>
        <x:v/>
      </x:c>
    </x:row>
    <x:row r="447" spans="2:21">
      <x:c r="B447" s="46" t="s">
        <x:v>955</x:v>
      </x:c>
      <x:c r="C447" s="60" t="s">
        <x:v>1853</x:v>
      </x:c>
      <x:c r="D447" s="80" t="s">
        <x:v>818</x:v>
      </x:c>
      <x:c r="E447" s="80" t="s">
        <x:v>818</x:v>
      </x:c>
      <x:c r="F447" s="80" t="s">
        <x:v>818</x:v>
      </x:c>
      <x:c r="G447" s="80" t="s">
        <x:v>818</x:v>
      </x:c>
      <x:c r="H447" s="80" t="s">
        <x:v>818</x:v>
      </x:c>
      <x:c r="I447" s="80" t="s">
        <x:v>818</x:v>
      </x:c>
      <x:c r="U447" s="189" t="str">
        <x:f t="shared" si="62"/>
        <x:v/>
      </x:c>
    </x:row>
    <x:row r="448" spans="2:21">
      <x:c r="B448" s="46" t="s">
        <x:v>75</x:v>
      </x:c>
      <x:c r="C448" s="60" t="s">
        <x:v>767</x:v>
      </x:c>
      <x:c r="D448" s="80" t="s">
        <x:v>818</x:v>
      </x:c>
      <x:c r="E448" s="80" t="s">
        <x:v>818</x:v>
      </x:c>
      <x:c r="F448" s="80" t="s">
        <x:v>818</x:v>
      </x:c>
      <x:c r="G448" s="80" t="s">
        <x:v>818</x:v>
      </x:c>
      <x:c r="H448" s="80" t="s">
        <x:v>818</x:v>
      </x:c>
      <x:c r="I448" s="80" t="s">
        <x:v>818</x:v>
      </x:c>
      <x:c r="U448" s="189" t="str">
        <x:f t="shared" si="62"/>
        <x:v/>
      </x:c>
    </x:row>
    <x:row r="449" spans="2:21">
      <x:c r="B449" s="46" t="s">
        <x:v>949</x:v>
      </x:c>
      <x:c r="C449" s="60" t="s">
        <x:v>789</x:v>
      </x:c>
      <x:c r="D449" s="44" t="s">
        <x:v>818</x:v>
      </x:c>
      <x:c r="E449" s="44" t="s">
        <x:v>818</x:v>
      </x:c>
      <x:c r="F449" s="44" t="s">
        <x:v>818</x:v>
      </x:c>
      <x:c r="G449" s="44" t="s">
        <x:v>818</x:v>
      </x:c>
      <x:c r="H449" s="44" t="s">
        <x:v>818</x:v>
      </x:c>
      <x:c r="I449" s="44" t="s">
        <x:v>818</x:v>
      </x:c>
      <x:c r="U449" s="189" t="str">
        <x:f t="shared" si="62"/>
        <x:v/>
      </x:c>
    </x:row>
    <x:row r="450" spans="2:21">
      <x:c r="B450" s="61" t="s">
        <x:v>431</x:v>
      </x:c>
      <x:c r="C450" s="60" t="s">
        <x:v>798</x:v>
      </x:c>
      <x:c r="D450" s="80"/>
      <x:c r="E450" s="80"/>
      <x:c r="F450" s="80"/>
      <x:c r="G450" s="80"/>
      <x:c r="H450" s="80"/>
      <x:c r="I450" s="80"/>
      <x:c r="U450" s="188">
        <x:v>1</x:v>
      </x:c>
    </x:row>
    <x:row r="451" spans="2:21">
      <x:c r="B451" s="46" t="s">
        <x:v>287</x:v>
      </x:c>
      <x:c r="C451" s="60" t="s">
        <x:v>1003</x:v>
      </x:c>
      <x:c r="D451" s="44">
        <x:v>0.87</x:v>
      </x:c>
      <x:c r="E451" s="44">
        <x:v>1.26</x:v>
      </x:c>
      <x:c r="F451" s="44">
        <x:v>3.7999999999999998</x:v>
      </x:c>
      <x:c r="G451" s="44">
        <x:v>3.3599999999999999</x:v>
      </x:c>
      <x:c r="H451" s="44">
        <x:v>3.6099999999999999</x:v>
      </x:c>
      <x:c r="I451" s="44" t="s">
        <x:v>818</x:v>
      </x:c>
      <x:c r="U451" s="189">
        <x:f t="shared" ref="U451:U454" si="63">IF(COUNT(D451:I451)&lt;&gt;0,1,"")</x:f>
        <x:v>1</x:v>
      </x:c>
    </x:row>
    <x:row r="452" spans="2:21">
      <x:c r="B452" s="46" t="s">
        <x:v>293</x:v>
      </x:c>
      <x:c r="C452" s="60" t="s">
        <x:v>991</x:v>
      </x:c>
      <x:c r="D452" s="44">
        <x:v>0.87</x:v>
      </x:c>
      <x:c r="E452" s="44">
        <x:v>1.26</x:v>
      </x:c>
      <x:c r="F452" s="44">
        <x:v>3.7999999999999998</x:v>
      </x:c>
      <x:c r="G452" s="44">
        <x:v>3.3599999999999999</x:v>
      </x:c>
      <x:c r="H452" s="44">
        <x:v>3.6099999999999999</x:v>
      </x:c>
      <x:c r="I452" s="44" t="s">
        <x:v>818</x:v>
      </x:c>
      <x:c r="U452" s="189">
        <x:f t="shared" si="63"/>
        <x:v>1</x:v>
      </x:c>
    </x:row>
    <x:row r="453" spans="2:21">
      <x:c r="B453" s="46" t="s">
        <x:v>967</x:v>
      </x:c>
      <x:c r="C453" s="60" t="s">
        <x:v>53</x:v>
      </x:c>
      <x:c r="D453" s="80">
        <x:v>2.5899999999999999</x:v>
      </x:c>
      <x:c r="E453" s="80">
        <x:v>3.02</x:v>
      </x:c>
      <x:c r="F453" s="80">
        <x:v>4</x:v>
      </x:c>
      <x:c r="G453" s="80">
        <x:v>4.1799999999999997</x:v>
      </x:c>
      <x:c r="H453" s="80">
        <x:v>4.04</x:v>
      </x:c>
      <x:c r="I453" s="80" t="s">
        <x:v>818</x:v>
      </x:c>
      <x:c r="U453" s="189">
        <x:f t="shared" si="63"/>
        <x:v>1</x:v>
      </x:c>
    </x:row>
    <x:row r="454" spans="2:21">
      <x:c r="B454" s="46" t="s">
        <x:v>956</x:v>
      </x:c>
      <x:c r="C454" s="60" t="s">
        <x:v>55</x:v>
      </x:c>
      <x:c r="D454" s="80">
        <x:v>2.5899999999999999</x:v>
      </x:c>
      <x:c r="E454" s="80">
        <x:v>3.02</x:v>
      </x:c>
      <x:c r="F454" s="80">
        <x:v>4</x:v>
      </x:c>
      <x:c r="G454" s="80">
        <x:v>4.1799999999999997</x:v>
      </x:c>
      <x:c r="H454" s="80">
        <x:v>4.04</x:v>
      </x:c>
      <x:c r="I454" s="80" t="s">
        <x:v>818</x:v>
      </x:c>
      <x:c r="U454" s="189">
        <x:f t="shared" si="63"/>
        <x:v>1</x:v>
      </x:c>
    </x:row>
    <x:row r="455" spans="2:21">
      <x:c r="B455" s="61" t="s">
        <x:v>1090</x:v>
      </x:c>
      <x:c r="C455" s="60" t="s">
        <x:v>798</x:v>
      </x:c>
      <x:c r="D455" s="80"/>
      <x:c r="E455" s="80"/>
      <x:c r="F455" s="80"/>
      <x:c r="G455" s="80"/>
      <x:c r="H455" s="80"/>
      <x:c r="I455" s="80"/>
      <x:c r="U455" s="188">
        <x:v>1</x:v>
      </x:c>
    </x:row>
    <x:row r="456" spans="2:21">
      <x:c r="B456" s="46" t="s">
        <x:v>12</x:v>
      </x:c>
      <x:c r="C456" s="60" t="s">
        <x:v>792</x:v>
      </x:c>
      <x:c r="D456" s="80">
        <x:v>2457</x:v>
      </x:c>
      <x:c r="E456" s="80">
        <x:v>2310</x:v>
      </x:c>
      <x:c r="F456" s="80">
        <x:v>2235</x:v>
      </x:c>
      <x:c r="G456" s="80">
        <x:v>2370</x:v>
      </x:c>
      <x:c r="H456" s="80">
        <x:v>2081</x:v>
      </x:c>
      <x:c r="I456" s="80" t="s">
        <x:v>818</x:v>
      </x:c>
      <x:c r="U456" s="189">
        <x:f t="shared" ref="U456:U461" si="64">IF(COUNT(D456:I456)&lt;&gt;0,1,"")</x:f>
        <x:v>1</x:v>
      </x:c>
    </x:row>
    <x:row r="457" spans="2:21">
      <x:c r="B457" s="46" t="s">
        <x:v>13</x:v>
      </x:c>
      <x:c r="C457" s="60" t="s">
        <x:v>785</x:v>
      </x:c>
      <x:c r="D457" s="80">
        <x:v>2478</x:v>
      </x:c>
      <x:c r="E457" s="80">
        <x:v>2269</x:v>
      </x:c>
      <x:c r="F457" s="80">
        <x:v>2192</x:v>
      </x:c>
      <x:c r="G457" s="80">
        <x:v>2336</x:v>
      </x:c>
      <x:c r="H457" s="80">
        <x:v>1984</x:v>
      </x:c>
      <x:c r="I457" s="80" t="s">
        <x:v>818</x:v>
      </x:c>
      <x:c r="U457" s="189">
        <x:f t="shared" si="64"/>
        <x:v>1</x:v>
      </x:c>
    </x:row>
    <x:row r="458" spans="2:21">
      <x:c r="B458" s="46" t="s">
        <x:v>769</x:v>
      </x:c>
      <x:c r="C458" s="60" t="s">
        <x:v>783</x:v>
      </x:c>
      <x:c r="D458" s="80">
        <x:v>2501</x:v>
      </x:c>
      <x:c r="E458" s="80">
        <x:v>2287</x:v>
      </x:c>
      <x:c r="F458" s="80">
        <x:v>2203</x:v>
      </x:c>
      <x:c r="G458" s="80">
        <x:v>2316</x:v>
      </x:c>
      <x:c r="H458" s="80">
        <x:v>1970</x:v>
      </x:c>
      <x:c r="I458" s="80" t="s">
        <x:v>818</x:v>
      </x:c>
      <x:c r="U458" s="189">
        <x:f t="shared" si="64"/>
        <x:v>1</x:v>
      </x:c>
    </x:row>
    <x:row r="459" spans="2:21">
      <x:c r="B459" s="46" t="s">
        <x:v>753</x:v>
      </x:c>
      <x:c r="C459" s="60" t="s">
        <x:v>781</x:v>
      </x:c>
      <x:c r="D459" s="80">
        <x:v>2528</x:v>
      </x:c>
      <x:c r="E459" s="80">
        <x:v>2307</x:v>
      </x:c>
      <x:c r="F459" s="80">
        <x:v>2194</x:v>
      </x:c>
      <x:c r="G459" s="80">
        <x:v>2287</x:v>
      </x:c>
      <x:c r="H459" s="80">
        <x:v>1927</x:v>
      </x:c>
      <x:c r="I459" s="80" t="s">
        <x:v>818</x:v>
      </x:c>
      <x:c r="U459" s="189">
        <x:f t="shared" si="64"/>
        <x:v>1</x:v>
      </x:c>
    </x:row>
    <x:row r="460" spans="2:21">
      <x:c r="B460" s="46" t="s">
        <x:v>759</x:v>
      </x:c>
      <x:c r="C460" s="60" t="s">
        <x:v>786</x:v>
      </x:c>
      <x:c r="D460" s="80">
        <x:v>2562</x:v>
      </x:c>
      <x:c r="E460" s="80">
        <x:v>2309</x:v>
      </x:c>
      <x:c r="F460" s="80">
        <x:v>2167</x:v>
      </x:c>
      <x:c r="G460" s="80">
        <x:v>2252</x:v>
      </x:c>
      <x:c r="H460" s="80">
        <x:v>1923</x:v>
      </x:c>
      <x:c r="I460" s="80" t="s">
        <x:v>818</x:v>
      </x:c>
      <x:c r="U460" s="189">
        <x:f t="shared" si="64"/>
        <x:v>1</x:v>
      </x:c>
    </x:row>
    <x:row r="461" spans="2:21">
      <x:c r="B461" s="46" t="s">
        <x:v>329</x:v>
      </x:c>
      <x:c r="C461" s="60" t="s">
        <x:v>345</x:v>
      </x:c>
      <x:c r="D461" s="80">
        <x:v>12472</x:v>
      </x:c>
      <x:c r="E461" s="80">
        <x:v>11062</x:v>
      </x:c>
      <x:c r="F461" s="80">
        <x:v>10424</x:v>
      </x:c>
      <x:c r="G461" s="80">
        <x:v>10785</x:v>
      </x:c>
      <x:c r="H461" s="80">
        <x:v>9065</x:v>
      </x:c>
      <x:c r="I461" s="80" t="s">
        <x:v>818</x:v>
      </x:c>
      <x:c r="U461" s="189">
        <x:f t="shared" si="64"/>
        <x:v>1</x:v>
      </x:c>
    </x:row>
    <x:row r="462" spans="2:21">
      <x:c r="B462" s="61" t="s">
        <x:v>577</x:v>
      </x:c>
      <x:c r="C462" s="60" t="s">
        <x:v>798</x:v>
      </x:c>
      <x:c r="D462" s="80"/>
      <x:c r="E462" s="80"/>
      <x:c r="F462" s="80"/>
      <x:c r="G462" s="80"/>
      <x:c r="H462" s="80"/>
      <x:c r="I462" s="80"/>
      <x:c r="U462" s="188">
        <x:v>1</x:v>
      </x:c>
    </x:row>
    <x:row r="463" spans="2:21">
      <x:c r="B463" s="46" t="s">
        <x:v>2355</x:v>
      </x:c>
      <x:c r="C463" s="60" t="s">
        <x:v>1391</x:v>
      </x:c>
      <x:c r="D463" s="80" t="s">
        <x:v>818</x:v>
      </x:c>
      <x:c r="E463" s="80" t="s">
        <x:v>818</x:v>
      </x:c>
      <x:c r="F463" s="80" t="s">
        <x:v>818</x:v>
      </x:c>
      <x:c r="G463" s="80" t="s">
        <x:v>818</x:v>
      </x:c>
      <x:c r="H463" s="80" t="s">
        <x:v>818</x:v>
      </x:c>
      <x:c r="I463" s="80" t="s">
        <x:v>818</x:v>
      </x:c>
      <x:c r="U463" s="189" t="str">
        <x:f t="shared" ref="U463:U470" si="65">IF(COUNT(D463:I463)&lt;&gt;0,1,"")</x:f>
        <x:v/>
      </x:c>
    </x:row>
    <x:row r="464" spans="2:21">
      <x:c r="B464" s="46" t="s">
        <x:v>1850</x:v>
      </x:c>
      <x:c r="C464" s="60" t="s">
        <x:v>1392</x:v>
      </x:c>
      <x:c r="D464" s="80" t="s">
        <x:v>818</x:v>
      </x:c>
      <x:c r="E464" s="80" t="s">
        <x:v>818</x:v>
      </x:c>
      <x:c r="F464" s="80" t="s">
        <x:v>818</x:v>
      </x:c>
      <x:c r="G464" s="80" t="s">
        <x:v>818</x:v>
      </x:c>
      <x:c r="H464" s="80" t="s">
        <x:v>818</x:v>
      </x:c>
      <x:c r="I464" s="80" t="s">
        <x:v>818</x:v>
      </x:c>
      <x:c r="U464" s="189" t="str">
        <x:f t="shared" si="65"/>
        <x:v/>
      </x:c>
    </x:row>
    <x:row r="465" spans="2:21">
      <x:c r="B465" s="46" t="s">
        <x:v>1534</x:v>
      </x:c>
      <x:c r="C465" s="60" t="s">
        <x:v>1394</x:v>
      </x:c>
      <x:c r="D465" s="80" t="s">
        <x:v>818</x:v>
      </x:c>
      <x:c r="E465" s="80" t="s">
        <x:v>818</x:v>
      </x:c>
      <x:c r="F465" s="80" t="s">
        <x:v>818</x:v>
      </x:c>
      <x:c r="G465" s="80" t="s">
        <x:v>818</x:v>
      </x:c>
      <x:c r="H465" s="80" t="s">
        <x:v>818</x:v>
      </x:c>
      <x:c r="I465" s="80" t="s">
        <x:v>818</x:v>
      </x:c>
      <x:c r="U465" s="189" t="str">
        <x:f t="shared" si="65"/>
        <x:v/>
      </x:c>
    </x:row>
    <x:row r="466" spans="2:21">
      <x:c r="B466" s="46" t="s">
        <x:v>1825</x:v>
      </x:c>
      <x:c r="C466" s="60" t="s">
        <x:v>787</x:v>
      </x:c>
      <x:c r="D466" s="80" t="s">
        <x:v>818</x:v>
      </x:c>
      <x:c r="E466" s="80" t="s">
        <x:v>818</x:v>
      </x:c>
      <x:c r="F466" s="80" t="s">
        <x:v>818</x:v>
      </x:c>
      <x:c r="G466" s="80" t="s">
        <x:v>818</x:v>
      </x:c>
      <x:c r="H466" s="80" t="s">
        <x:v>818</x:v>
      </x:c>
      <x:c r="I466" s="80" t="s">
        <x:v>818</x:v>
      </x:c>
      <x:c r="U466" s="189" t="str">
        <x:f t="shared" si="65"/>
        <x:v/>
      </x:c>
    </x:row>
    <x:row r="467" spans="2:21">
      <x:c r="B467" s="46" t="s">
        <x:v>1480</x:v>
      </x:c>
      <x:c r="C467" s="60" t="s">
        <x:v>1393</x:v>
      </x:c>
      <x:c r="D467" s="80">
        <x:v>3546</x:v>
      </x:c>
      <x:c r="E467" s="80">
        <x:v>4455</x:v>
      </x:c>
      <x:c r="F467" s="80">
        <x:v>3234</x:v>
      </x:c>
      <x:c r="G467" s="80">
        <x:v>2923</x:v>
      </x:c>
      <x:c r="H467" s="80">
        <x:v>2842</x:v>
      </x:c>
      <x:c r="I467" s="80" t="s">
        <x:v>818</x:v>
      </x:c>
      <x:c r="U467" s="189">
        <x:f t="shared" si="65"/>
        <x:v>1</x:v>
      </x:c>
    </x:row>
    <x:row r="468" spans="2:21">
      <x:c r="B468" s="46" t="s">
        <x:v>1506</x:v>
      </x:c>
      <x:c r="C468" s="60" t="s">
        <x:v>2349</x:v>
      </x:c>
      <x:c r="D468" s="80">
        <x:v>-342</x:v>
      </x:c>
      <x:c r="E468" s="80">
        <x:v>-359</x:v>
      </x:c>
      <x:c r="F468" s="80">
        <x:v>-347</x:v>
      </x:c>
      <x:c r="G468" s="80">
        <x:v>-366</x:v>
      </x:c>
      <x:c r="H468" s="80">
        <x:v>-362</x:v>
      </x:c>
      <x:c r="I468" s="80" t="s">
        <x:v>818</x:v>
      </x:c>
      <x:c r="U468" s="189">
        <x:f t="shared" si="65"/>
        <x:v>1</x:v>
      </x:c>
    </x:row>
    <x:row r="469" spans="2:21">
      <x:c r="B469" s="46" t="s">
        <x:v>2314</x:v>
      </x:c>
      <x:c r="C469" s="60" t="s">
        <x:v>1860</x:v>
      </x:c>
      <x:c r="D469" s="80">
        <x:v>-11344</x:v>
      </x:c>
      <x:c r="E469" s="80">
        <x:v>-9215</x:v>
      </x:c>
      <x:c r="F469" s="80">
        <x:v>-5777</x:v>
      </x:c>
      <x:c r="G469" s="80">
        <x:v>-6977</x:v>
      </x:c>
      <x:c r="H469" s="80">
        <x:v>-5766</x:v>
      </x:c>
      <x:c r="I469" s="80" t="s">
        <x:v>818</x:v>
      </x:c>
      <x:c r="U469" s="189">
        <x:f t="shared" si="65"/>
        <x:v>1</x:v>
      </x:c>
    </x:row>
    <x:row r="470" spans="2:21">
      <x:c r="B470" s="46" t="s">
        <x:v>1826</x:v>
      </x:c>
      <x:c r="C470" s="60" t="s">
        <x:v>1874</x:v>
      </x:c>
      <x:c r="D470" s="80" t="s">
        <x:v>818</x:v>
      </x:c>
      <x:c r="E470" s="80" t="s">
        <x:v>818</x:v>
      </x:c>
      <x:c r="F470" s="80" t="s">
        <x:v>818</x:v>
      </x:c>
      <x:c r="G470" s="80" t="s">
        <x:v>818</x:v>
      </x:c>
      <x:c r="H470" s="80" t="s">
        <x:v>818</x:v>
      </x:c>
      <x:c r="I470" s="80" t="s">
        <x:v>818</x:v>
      </x:c>
      <x:c r="U470" s="189" t="str">
        <x:f t="shared" si="65"/>
        <x:v/>
      </x:c>
    </x:row>
    <x:row r="471" spans="2:21">
      <x:c r="B471" s="61" t="s">
        <x:v>84</x:v>
      </x:c>
      <x:c r="C471" s="60" t="s">
        <x:v>798</x:v>
      </x:c>
      <x:c r="D471" s="80"/>
      <x:c r="E471" s="80"/>
      <x:c r="F471" s="80"/>
      <x:c r="G471" s="80"/>
      <x:c r="H471" s="80"/>
      <x:c r="I471" s="80"/>
      <x:c r="U471" s="188">
        <x:v>1</x:v>
      </x:c>
    </x:row>
    <x:row r="472" spans="2:21">
      <x:c r="B472" s="46" t="s">
        <x:v>768</x:v>
      </x:c>
      <x:c r="C472" s="60" t="s">
        <x:v>775</x:v>
      </x:c>
      <x:c r="D472" s="80" t="s">
        <x:v>818</x:v>
      </x:c>
      <x:c r="E472" s="80" t="s">
        <x:v>818</x:v>
      </x:c>
      <x:c r="F472" s="80" t="s">
        <x:v>818</x:v>
      </x:c>
      <x:c r="G472" s="80" t="s">
        <x:v>818</x:v>
      </x:c>
      <x:c r="H472" s="80" t="s">
        <x:v>818</x:v>
      </x:c>
      <x:c r="I472" s="80" t="s">
        <x:v>818</x:v>
      </x:c>
      <x:c r="U472" s="189" t="str">
        <x:f t="shared" ref="U472:U474" si="66">IF(COUNT(D472:I472)&lt;&gt;0,1,"")</x:f>
        <x:v/>
      </x:c>
    </x:row>
    <x:row r="473" spans="2:21">
      <x:c r="B473" s="46" t="s">
        <x:v>324</x:v>
      </x:c>
      <x:c r="C473" s="60" t="s">
        <x:v>1395</x:v>
      </x:c>
      <x:c r="D473" s="80" t="s">
        <x:v>818</x:v>
      </x:c>
      <x:c r="E473" s="80" t="s">
        <x:v>818</x:v>
      </x:c>
      <x:c r="F473" s="80" t="s">
        <x:v>818</x:v>
      </x:c>
      <x:c r="G473" s="80" t="s">
        <x:v>818</x:v>
      </x:c>
      <x:c r="H473" s="80" t="s">
        <x:v>818</x:v>
      </x:c>
      <x:c r="I473" s="80" t="s">
        <x:v>818</x:v>
      </x:c>
      <x:c r="U473" s="189" t="str">
        <x:f t="shared" si="66"/>
        <x:v/>
      </x:c>
    </x:row>
    <x:row r="474" spans="2:21">
      <x:c r="B474" s="46" t="s">
        <x:v>195</x:v>
      </x:c>
      <x:c r="C474" s="60" t="s">
        <x:v>784</x:v>
      </x:c>
      <x:c r="D474" s="80">
        <x:v>-8140</x:v>
      </x:c>
      <x:c r="E474" s="80">
        <x:v>-5118</x:v>
      </x:c>
      <x:c r="F474" s="80">
        <x:v>-2891</x:v>
      </x:c>
      <x:c r="G474" s="80">
        <x:v>-4420</x:v>
      </x:c>
      <x:c r="H474" s="80">
        <x:v>-3286</x:v>
      </x:c>
      <x:c r="I474" s="80" t="s">
        <x:v>818</x:v>
      </x:c>
      <x:c r="U474" s="189">
        <x:f t="shared" si="66"/>
        <x:v>1</x:v>
      </x:c>
    </x:row>
    <x:row r="475" spans="2:21">
      <x:c r="B475" s="61" t="s">
        <x:v>1804</x:v>
      </x:c>
      <x:c r="C475" s="60" t="s">
        <x:v>798</x:v>
      </x:c>
      <x:c r="D475" s="80"/>
      <x:c r="E475" s="80"/>
      <x:c r="F475" s="80"/>
      <x:c r="G475" s="80"/>
      <x:c r="H475" s="80"/>
      <x:c r="I475" s="80"/>
      <x:c r="U475" s="188">
        <x:v>1</x:v>
      </x:c>
    </x:row>
    <x:row r="476" spans="2:21">
      <x:c r="B476" s="46" t="s">
        <x:v>1365</x:v>
      </x:c>
      <x:c r="C476" s="60" t="s">
        <x:v>982</x:v>
      </x:c>
      <x:c r="D476" s="80">
        <x:v>300</x:v>
      </x:c>
      <x:c r="E476" s="80">
        <x:v>200</x:v>
      </x:c>
      <x:c r="F476" s="80">
        <x:v>200</x:v>
      </x:c>
      <x:c r="G476" s="80">
        <x:v>200</x:v>
      </x:c>
      <x:c r="H476" s="80">
        <x:v>100</x:v>
      </x:c>
      <x:c r="I476" s="80" t="s">
        <x:v>818</x:v>
      </x:c>
      <x:c r="U476" s="189">
        <x:f t="shared" ref="U476:U480" si="67">IF(COUNT(D476:I476)&lt;&gt;0,1,"")</x:f>
        <x:v>1</x:v>
      </x:c>
    </x:row>
    <x:row r="477" spans="2:21">
      <x:c r="B477" s="46" t="s">
        <x:v>766</x:v>
      </x:c>
      <x:c r="C477" s="60" t="s">
        <x:v>57</x:v>
      </x:c>
      <x:c r="D477" s="80" t="s">
        <x:v>818</x:v>
      </x:c>
      <x:c r="E477" s="80" t="s">
        <x:v>818</x:v>
      </x:c>
      <x:c r="F477" s="80" t="s">
        <x:v>818</x:v>
      </x:c>
      <x:c r="G477" s="80" t="s">
        <x:v>818</x:v>
      </x:c>
      <x:c r="H477" s="80" t="s">
        <x:v>818</x:v>
      </x:c>
      <x:c r="I477" s="80" t="s">
        <x:v>818</x:v>
      </x:c>
      <x:c r="U477" s="189" t="str">
        <x:f t="shared" si="67"/>
        <x:v/>
      </x:c>
    </x:row>
    <x:row r="478" spans="2:21">
      <x:c r="B478" s="46" t="s">
        <x:v>68</x:v>
      </x:c>
      <x:c r="C478" s="60" t="s">
        <x:v>61</x:v>
      </x:c>
      <x:c r="D478" s="80" t="s">
        <x:v>818</x:v>
      </x:c>
      <x:c r="E478" s="80" t="s">
        <x:v>818</x:v>
      </x:c>
      <x:c r="F478" s="80" t="s">
        <x:v>818</x:v>
      </x:c>
      <x:c r="G478" s="80" t="s">
        <x:v>818</x:v>
      </x:c>
      <x:c r="H478" s="80" t="s">
        <x:v>818</x:v>
      </x:c>
      <x:c r="I478" s="80" t="s">
        <x:v>818</x:v>
      </x:c>
      <x:c r="U478" s="189" t="str">
        <x:f t="shared" si="67"/>
        <x:v/>
      </x:c>
    </x:row>
    <x:row r="479" spans="2:21">
      <x:c r="B479" s="46" t="s">
        <x:v>745</x:v>
      </x:c>
      <x:c r="C479" s="60" t="s">
        <x:v>995</x:v>
      </x:c>
      <x:c r="D479" s="80" t="s">
        <x:v>818</x:v>
      </x:c>
      <x:c r="E479" s="80" t="s">
        <x:v>818</x:v>
      </x:c>
      <x:c r="F479" s="80" t="s">
        <x:v>818</x:v>
      </x:c>
      <x:c r="G479" s="80" t="s">
        <x:v>818</x:v>
      </x:c>
      <x:c r="H479" s="80" t="s">
        <x:v>818</x:v>
      </x:c>
      <x:c r="I479" s="80" t="s">
        <x:v>818</x:v>
      </x:c>
      <x:c r="U479" s="189" t="str">
        <x:f t="shared" si="67"/>
        <x:v/>
      </x:c>
    </x:row>
    <x:row r="480" spans="2:21">
      <x:c r="B480" s="46" t="s">
        <x:v>1500</x:v>
      </x:c>
      <x:c r="C480" s="60" t="s">
        <x:v>1501</x:v>
      </x:c>
      <x:c r="D480" s="23">
        <x:v>44196</x:v>
      </x:c>
      <x:c r="E480" s="23">
        <x:v>44561</x:v>
      </x:c>
      <x:c r="F480" s="23">
        <x:v>44926</x:v>
      </x:c>
      <x:c r="G480" s="23">
        <x:v>45291</x:v>
      </x:c>
      <x:c r="H480" s="23">
        <x:v>45657</x:v>
      </x:c>
      <x:c r="I480" s="23"/>
      <x:c r="U480" s="189">
        <x:f t="shared" si="67"/>
        <x:v>1</x:v>
      </x:c>
    </x:row>
    <x:row r="481" spans="2:21">
      <x:c r="B481" s="46"/>
      <x:c r="C481" s="60" t="s">
        <x:v>798</x:v>
      </x:c>
      <x:c r="D481" s="80"/>
      <x:c r="E481" s="80"/>
      <x:c r="F481" s="80"/>
      <x:c r="G481" s="80"/>
      <x:c r="H481" s="80"/>
      <x:c r="I481" s="80"/>
      <x:c r="U481" s="188">
        <x:v>1</x:v>
      </x:c>
    </x:row>
    <x:row r="482" spans="2:21">
      <x:c r="B482" s="61" t="s">
        <x:v>2067</x:v>
      </x:c>
      <x:c r="C482" s="60" t="s">
        <x:v>798</x:v>
      </x:c>
      <x:c r="D482" s="80"/>
      <x:c r="E482" s="80"/>
      <x:c r="F482" s="80"/>
      <x:c r="G482" s="80"/>
      <x:c r="H482" s="80"/>
      <x:c r="I482" s="80"/>
      <x:c r="U482" s="188">
        <x:v>1</x:v>
      </x:c>
    </x:row>
    <x:row r="483" spans="2:21">
      <x:c r="B483" s="61" t="s">
        <x:v>560</x:v>
      </x:c>
      <x:c r="C483" s="60" t="s">
        <x:v>798</x:v>
      </x:c>
      <x:c r="D483" s="80"/>
      <x:c r="E483" s="80"/>
      <x:c r="F483" s="80"/>
      <x:c r="G483" s="80"/>
      <x:c r="H483" s="80"/>
      <x:c r="I483" s="80"/>
      <x:c r="U483" s="188">
        <x:v>1</x:v>
      </x:c>
    </x:row>
    <x:row r="484" spans="2:21">
      <x:c r="B484" s="46" t="s">
        <x:v>1761</x:v>
      </x:c>
      <x:c r="C484" s="60" t="s">
        <x:v>1399</x:v>
      </x:c>
      <x:c r="D484" s="80">
        <x:v>4</x:v>
      </x:c>
      <x:c r="E484" s="80">
        <x:v>4</x:v>
      </x:c>
      <x:c r="F484" s="80">
        <x:v>3</x:v>
      </x:c>
      <x:c r="G484" s="80">
        <x:v>2</x:v>
      </x:c>
      <x:c r="H484" s="80">
        <x:v>2</x:v>
      </x:c>
      <x:c r="I484" s="80" t="s">
        <x:v>818</x:v>
      </x:c>
      <x:c r="U484" s="189">
        <x:f t="shared" ref="U484:U490" si="68">IF(COUNT(D484:I484)&lt;&gt;0,1,"")</x:f>
        <x:v>1</x:v>
      </x:c>
    </x:row>
    <x:row r="485" spans="2:21">
      <x:c r="B485" s="46" t="s">
        <x:v>1799</x:v>
      </x:c>
      <x:c r="C485" s="60" t="s">
        <x:v>1397</x:v>
      </x:c>
      <x:c r="D485" s="80">
        <x:v>35</x:v>
      </x:c>
      <x:c r="E485" s="80">
        <x:v>27</x:v>
      </x:c>
      <x:c r="F485" s="80">
        <x:v>24</x:v>
      </x:c>
      <x:c r="G485" s="80">
        <x:v>39</x:v>
      </x:c>
      <x:c r="H485" s="80">
        <x:v>41</x:v>
      </x:c>
      <x:c r="I485" s="80" t="s">
        <x:v>818</x:v>
      </x:c>
      <x:c r="U485" s="189">
        <x:f t="shared" si="68"/>
        <x:v>1</x:v>
      </x:c>
    </x:row>
    <x:row r="486" spans="2:21">
      <x:c r="B486" s="46" t="s">
        <x:v>312</x:v>
      </x:c>
      <x:c r="C486" s="60" t="s">
        <x:v>1880</x:v>
      </x:c>
      <x:c r="D486" s="80">
        <x:v>-4</x:v>
      </x:c>
      <x:c r="E486" s="80">
        <x:v>-3</x:v>
      </x:c>
      <x:c r="F486" s="80">
        <x:v>-2</x:v>
      </x:c>
      <x:c r="G486" s="80">
        <x:v>-2</x:v>
      </x:c>
      <x:c r="H486" s="80">
        <x:v>-1</x:v>
      </x:c>
      <x:c r="I486" s="80" t="s">
        <x:v>818</x:v>
      </x:c>
      <x:c r="U486" s="189">
        <x:f t="shared" si="68"/>
        <x:v>1</x:v>
      </x:c>
    </x:row>
    <x:row r="487" spans="2:21">
      <x:c r="B487" s="46" t="s">
        <x:v>1823</x:v>
      </x:c>
      <x:c r="C487" s="60" t="s">
        <x:v>1866</x:v>
      </x:c>
      <x:c r="D487" s="80">
        <x:v>21</x:v>
      </x:c>
      <x:c r="E487" s="80">
        <x:v>15</x:v>
      </x:c>
      <x:c r="F487" s="80">
        <x:v>4</x:v>
      </x:c>
      <x:c r="G487" s="80">
        <x:v>-3</x:v>
      </x:c>
      <x:c r="H487" s="80">
        <x:v>-1</x:v>
      </x:c>
      <x:c r="I487" s="80" t="s">
        <x:v>818</x:v>
      </x:c>
      <x:c r="U487" s="189">
        <x:f t="shared" si="68"/>
        <x:v>1</x:v>
      </x:c>
    </x:row>
    <x:row r="488" spans="2:21">
      <x:c r="B488" s="46" t="s">
        <x:v>1327</x:v>
      </x:c>
      <x:c r="C488" s="60" t="s">
        <x:v>1859</x:v>
      </x:c>
      <x:c r="D488" s="80">
        <x:v>57</x:v>
      </x:c>
      <x:c r="E488" s="80">
        <x:v>44</x:v>
      </x:c>
      <x:c r="F488" s="80">
        <x:v>30</x:v>
      </x:c>
      <x:c r="G488" s="80">
        <x:v>36</x:v>
      </x:c>
      <x:c r="H488" s="80">
        <x:v>41</x:v>
      </x:c>
      <x:c r="I488" s="80" t="s">
        <x:v>818</x:v>
      </x:c>
      <x:c r="U488" s="189">
        <x:f t="shared" si="68"/>
        <x:v>1</x:v>
      </x:c>
    </x:row>
    <x:row r="489" spans="2:21">
      <x:c r="B489" s="46" t="s">
        <x:v>280</x:v>
      </x:c>
      <x:c r="C489" s="60" t="s">
        <x:v>339</x:v>
      </x:c>
      <x:c r="D489" s="80" t="s">
        <x:v>818</x:v>
      </x:c>
      <x:c r="E489" s="80" t="s">
        <x:v>818</x:v>
      </x:c>
      <x:c r="F489" s="80" t="s">
        <x:v>818</x:v>
      </x:c>
      <x:c r="G489" s="80" t="s">
        <x:v>818</x:v>
      </x:c>
      <x:c r="H489" s="80" t="s">
        <x:v>818</x:v>
      </x:c>
      <x:c r="I489" s="80" t="s">
        <x:v>818</x:v>
      </x:c>
      <x:c r="U489" s="189" t="str">
        <x:f t="shared" si="68"/>
        <x:v/>
      </x:c>
    </x:row>
    <x:row r="490" spans="2:21">
      <x:c r="B490" s="46" t="s">
        <x:v>961</x:v>
      </x:c>
      <x:c r="C490" s="60" t="s">
        <x:v>85</x:v>
      </x:c>
      <x:c r="D490" s="80" t="s">
        <x:v>818</x:v>
      </x:c>
      <x:c r="E490" s="80" t="s">
        <x:v>818</x:v>
      </x:c>
      <x:c r="F490" s="80" t="s">
        <x:v>818</x:v>
      </x:c>
      <x:c r="G490" s="80" t="s">
        <x:v>818</x:v>
      </x:c>
      <x:c r="H490" s="80" t="s">
        <x:v>818</x:v>
      </x:c>
      <x:c r="I490" s="80" t="s">
        <x:v>818</x:v>
      </x:c>
      <x:c r="U490" s="189" t="str">
        <x:f t="shared" si="68"/>
        <x:v/>
      </x:c>
    </x:row>
    <x:row r="491" spans="2:21">
      <x:c r="B491" s="61" t="s">
        <x:v>1780</x:v>
      </x:c>
      <x:c r="C491" s="60" t="s">
        <x:v>798</x:v>
      </x:c>
      <x:c r="D491" s="80"/>
      <x:c r="E491" s="80"/>
      <x:c r="F491" s="80"/>
      <x:c r="G491" s="80"/>
      <x:c r="H491" s="80"/>
      <x:c r="I491" s="80"/>
      <x:c r="U491" s="188">
        <x:v>1</x:v>
      </x:c>
    </x:row>
    <x:row r="492" spans="2:21">
      <x:c r="B492" s="46" t="s">
        <x:v>1338</x:v>
      </x:c>
      <x:c r="C492" s="60" t="s">
        <x:v>1400</x:v>
      </x:c>
      <x:c r="D492" s="80">
        <x:v>830</x:v>
      </x:c>
      <x:c r="E492" s="80">
        <x:v>756</x:v>
      </x:c>
      <x:c r="F492" s="80">
        <x:v>638</x:v>
      </x:c>
      <x:c r="G492" s="80">
        <x:v>531</x:v>
      </x:c>
      <x:c r="H492" s="80">
        <x:v>586</x:v>
      </x:c>
      <x:c r="I492" s="80" t="s">
        <x:v>818</x:v>
      </x:c>
      <x:c r="U492" s="189">
        <x:f t="shared" ref="U492:U503" si="69">IF(COUNT(D492:I492)&lt;&gt;0,1,"")</x:f>
        <x:v>1</x:v>
      </x:c>
    </x:row>
    <x:row r="493" spans="2:21">
      <x:c r="B493" s="46" t="s">
        <x:v>1761</x:v>
      </x:c>
      <x:c r="C493" s="60" t="s">
        <x:v>352</x:v>
      </x:c>
      <x:c r="D493" s="80">
        <x:v>4</x:v>
      </x:c>
      <x:c r="E493" s="80">
        <x:v>4</x:v>
      </x:c>
      <x:c r="F493" s="80">
        <x:v>3</x:v>
      </x:c>
      <x:c r="G493" s="80">
        <x:v>2</x:v>
      </x:c>
      <x:c r="H493" s="80">
        <x:v>2</x:v>
      </x:c>
      <x:c r="I493" s="80" t="s">
        <x:v>818</x:v>
      </x:c>
      <x:c r="U493" s="189">
        <x:f t="shared" si="69"/>
        <x:v>1</x:v>
      </x:c>
    </x:row>
    <x:row r="494" spans="2:21">
      <x:c r="B494" s="46" t="s">
        <x:v>1799</x:v>
      </x:c>
      <x:c r="C494" s="60" t="s">
        <x:v>992</x:v>
      </x:c>
      <x:c r="D494" s="80">
        <x:v>35</x:v>
      </x:c>
      <x:c r="E494" s="80">
        <x:v>27</x:v>
      </x:c>
      <x:c r="F494" s="80">
        <x:v>24</x:v>
      </x:c>
      <x:c r="G494" s="80">
        <x:v>39</x:v>
      </x:c>
      <x:c r="H494" s="80">
        <x:v>41</x:v>
      </x:c>
      <x:c r="I494" s="80" t="s">
        <x:v>818</x:v>
      </x:c>
      <x:c r="U494" s="189">
        <x:f t="shared" si="69"/>
        <x:v>1</x:v>
      </x:c>
    </x:row>
    <x:row r="495" spans="2:21">
      <x:c r="B495" s="46" t="s">
        <x:v>317</x:v>
      </x:c>
      <x:c r="C495" s="60" t="s">
        <x:v>216</x:v>
      </x:c>
      <x:c r="D495" s="80" t="s">
        <x:v>818</x:v>
      </x:c>
      <x:c r="E495" s="80" t="s">
        <x:v>818</x:v>
      </x:c>
      <x:c r="F495" s="80" t="s">
        <x:v>818</x:v>
      </x:c>
      <x:c r="G495" s="80" t="s">
        <x:v>818</x:v>
      </x:c>
      <x:c r="H495" s="80" t="s">
        <x:v>818</x:v>
      </x:c>
      <x:c r="I495" s="80" t="s">
        <x:v>818</x:v>
      </x:c>
      <x:c r="U495" s="189" t="str">
        <x:f t="shared" si="69"/>
        <x:v/>
      </x:c>
    </x:row>
    <x:row r="496" spans="2:21">
      <x:c r="B496" s="46" t="s">
        <x:v>23</x:v>
      </x:c>
      <x:c r="C496" s="60" t="s">
        <x:v>86</x:v>
      </x:c>
      <x:c r="D496" s="80">
        <x:v>-2</x:v>
      </x:c>
      <x:c r="E496" s="80">
        <x:v>-78</x:v>
      </x:c>
      <x:c r="F496" s="80">
        <x:v>-87</x:v>
      </x:c>
      <x:c r="G496" s="80">
        <x:v>35</x:v>
      </x:c>
      <x:c r="H496" s="80" t="s">
        <x:v>818</x:v>
      </x:c>
      <x:c r="I496" s="80" t="s">
        <x:v>818</x:v>
      </x:c>
      <x:c r="U496" s="189">
        <x:f t="shared" si="69"/>
        <x:v>1</x:v>
      </x:c>
    </x:row>
    <x:row r="497" spans="2:21">
      <x:c r="B497" s="46" t="s">
        <x:v>1448</x:v>
      </x:c>
      <x:c r="C497" s="60" t="s">
        <x:v>1398</x:v>
      </x:c>
      <x:c r="D497" s="80">
        <x:v>-28</x:v>
      </x:c>
      <x:c r="E497" s="80">
        <x:v>-34</x:v>
      </x:c>
      <x:c r="F497" s="80">
        <x:v>-38</x:v>
      </x:c>
      <x:c r="G497" s="80">
        <x:v>-38</x:v>
      </x:c>
      <x:c r="H497" s="80">
        <x:v>-36</x:v>
      </x:c>
      <x:c r="I497" s="80" t="s">
        <x:v>818</x:v>
      </x:c>
      <x:c r="U497" s="189">
        <x:f t="shared" si="69"/>
        <x:v>1</x:v>
      </x:c>
    </x:row>
    <x:row r="498" spans="2:21">
      <x:c r="B498" s="46" t="s">
        <x:v>2351</x:v>
      </x:c>
      <x:c r="C498" s="60" t="s">
        <x:v>777</x:v>
      </x:c>
      <x:c r="D498" s="80">
        <x:v>-83</x:v>
      </x:c>
      <x:c r="E498" s="80">
        <x:v>-42</x:v>
      </x:c>
      <x:c r="F498" s="80">
        <x:v>-10</x:v>
      </x:c>
      <x:c r="G498" s="80">
        <x:v>22</x:v>
      </x:c>
      <x:c r="H498" s="80">
        <x:v>-85</x:v>
      </x:c>
      <x:c r="I498" s="80" t="s">
        <x:v>818</x:v>
      </x:c>
      <x:c r="U498" s="189">
        <x:f t="shared" si="69"/>
        <x:v>1</x:v>
      </x:c>
    </x:row>
    <x:row r="499" spans="2:21">
      <x:c r="B499" s="46" t="s">
        <x:v>1844</x:v>
      </x:c>
      <x:c r="C499" s="60" t="s">
        <x:v>1396</x:v>
      </x:c>
      <x:c r="D499" s="80" t="s">
        <x:v>818</x:v>
      </x:c>
      <x:c r="E499" s="80" t="s">
        <x:v>818</x:v>
      </x:c>
      <x:c r="F499" s="80" t="s">
        <x:v>818</x:v>
      </x:c>
      <x:c r="G499" s="80" t="s">
        <x:v>818</x:v>
      </x:c>
      <x:c r="H499" s="80" t="s">
        <x:v>818</x:v>
      </x:c>
      <x:c r="I499" s="80" t="s">
        <x:v>818</x:v>
      </x:c>
      <x:c r="U499" s="189" t="str">
        <x:f t="shared" si="69"/>
        <x:v/>
      </x:c>
    </x:row>
    <x:row r="500" spans="2:21">
      <x:c r="B500" s="46" t="s">
        <x:v>330</x:v>
      </x:c>
      <x:c r="C500" s="60" t="s">
        <x:v>788</x:v>
      </x:c>
      <x:c r="D500" s="80" t="s">
        <x:v>818</x:v>
      </x:c>
      <x:c r="E500" s="80" t="s">
        <x:v>818</x:v>
      </x:c>
      <x:c r="F500" s="80" t="s">
        <x:v>818</x:v>
      </x:c>
      <x:c r="G500" s="80" t="s">
        <x:v>818</x:v>
      </x:c>
      <x:c r="H500" s="80" t="s">
        <x:v>818</x:v>
      </x:c>
      <x:c r="I500" s="80" t="s">
        <x:v>818</x:v>
      </x:c>
      <x:c r="U500" s="189" t="str">
        <x:f t="shared" si="69"/>
        <x:v/>
      </x:c>
    </x:row>
    <x:row r="501" spans="2:21">
      <x:c r="B501" s="46" t="s">
        <x:v>318</x:v>
      </x:c>
      <x:c r="C501" s="60" t="s">
        <x:v>983</x:v>
      </x:c>
      <x:c r="D501" s="80">
        <x:v>-1</x:v>
      </x:c>
      <x:c r="E501" s="80">
        <x:v>5</x:v>
      </x:c>
      <x:c r="F501" s="80">
        <x:v>-1</x:v>
      </x:c>
      <x:c r="G501" s="80">
        <x:v>-4</x:v>
      </x:c>
      <x:c r="H501" s="80">
        <x:v>-1</x:v>
      </x:c>
      <x:c r="I501" s="80" t="s">
        <x:v>818</x:v>
      </x:c>
      <x:c r="U501" s="189">
        <x:f t="shared" si="69"/>
        <x:v>1</x:v>
      </x:c>
    </x:row>
    <x:row r="502" spans="2:21">
      <x:c r="B502" s="46" t="s">
        <x:v>1323</x:v>
      </x:c>
      <x:c r="C502" s="60" t="s">
        <x:v>334</x:v>
      </x:c>
      <x:c r="D502" s="80">
        <x:v>756</x:v>
      </x:c>
      <x:c r="E502" s="80">
        <x:v>638</x:v>
      </x:c>
      <x:c r="F502" s="80">
        <x:v>531</x:v>
      </x:c>
      <x:c r="G502" s="80">
        <x:v>586</x:v>
      </x:c>
      <x:c r="H502" s="80">
        <x:v>507</x:v>
      </x:c>
      <x:c r="I502" s="80" t="s">
        <x:v>818</x:v>
      </x:c>
      <x:c r="U502" s="189">
        <x:f t="shared" si="69"/>
        <x:v>1</x:v>
      </x:c>
    </x:row>
    <x:row r="503" spans="2:21">
      <x:c r="B503" s="46" t="s">
        <x:v>1368</x:v>
      </x:c>
      <x:c r="C503" s="60" t="s">
        <x:v>344</x:v>
      </x:c>
      <x:c r="D503" s="80" t="s">
        <x:v>818</x:v>
      </x:c>
      <x:c r="E503" s="80" t="s">
        <x:v>818</x:v>
      </x:c>
      <x:c r="F503" s="80" t="s">
        <x:v>818</x:v>
      </x:c>
      <x:c r="G503" s="80" t="s">
        <x:v>818</x:v>
      </x:c>
      <x:c r="H503" s="80" t="s">
        <x:v>818</x:v>
      </x:c>
      <x:c r="I503" s="80" t="s">
        <x:v>818</x:v>
      </x:c>
      <x:c r="U503" s="189" t="str">
        <x:f t="shared" si="69"/>
        <x:v/>
      </x:c>
    </x:row>
    <x:row r="504" spans="2:21">
      <x:c r="B504" s="61" t="s">
        <x:v>1132</x:v>
      </x:c>
      <x:c r="C504" s="60" t="s">
        <x:v>798</x:v>
      </x:c>
      <x:c r="D504" s="80"/>
      <x:c r="E504" s="80"/>
      <x:c r="F504" s="80"/>
      <x:c r="G504" s="80"/>
      <x:c r="H504" s="80"/>
      <x:c r="I504" s="80"/>
      <x:c r="U504" s="188">
        <x:v>1</x:v>
      </x:c>
    </x:row>
    <x:row r="505" spans="2:21">
      <x:c r="B505" s="46" t="s">
        <x:v>1512</x:v>
      </x:c>
      <x:c r="C505" s="60" t="s">
        <x:v>1867</x:v>
      </x:c>
      <x:c r="D505" s="80">
        <x:v>52</x:v>
      </x:c>
      <x:c r="E505" s="80">
        <x:v>40</x:v>
      </x:c>
      <x:c r="F505" s="80">
        <x:v>31</x:v>
      </x:c>
      <x:c r="G505" s="80">
        <x:v>29</x:v>
      </x:c>
      <x:c r="H505" s="80">
        <x:v>23</x:v>
      </x:c>
      <x:c r="I505" s="80" t="s">
        <x:v>818</x:v>
      </x:c>
      <x:c r="U505" s="189">
        <x:f t="shared" ref="U505:U514" si="70">IF(COUNT(D505:I505)&lt;&gt;0,1,"")</x:f>
        <x:v>1</x:v>
      </x:c>
    </x:row>
    <x:row r="506" spans="2:21">
      <x:c r="B506" s="46" t="s">
        <x:v>1342</x:v>
      </x:c>
      <x:c r="C506" s="60" t="s">
        <x:v>353</x:v>
      </x:c>
      <x:c r="D506" s="80">
        <x:v>2</x:v>
      </x:c>
      <x:c r="E506" s="80">
        <x:v>-14</x:v>
      </x:c>
      <x:c r="F506" s="80">
        <x:v>3</x:v>
      </x:c>
      <x:c r="G506" s="80">
        <x:v>3</x:v>
      </x:c>
      <x:c r="H506" s="80">
        <x:v>1</x:v>
      </x:c>
      <x:c r="I506" s="80" t="s">
        <x:v>818</x:v>
      </x:c>
      <x:c r="U506" s="189">
        <x:f t="shared" si="70"/>
        <x:v>1</x:v>
      </x:c>
    </x:row>
    <x:row r="507" spans="2:21">
      <x:c r="B507" s="46" t="s">
        <x:v>2367</x:v>
      </x:c>
      <x:c r="C507" s="60" t="s">
        <x:v>87</x:v>
      </x:c>
      <x:c r="D507" s="80" t="s">
        <x:v>818</x:v>
      </x:c>
      <x:c r="E507" s="80">
        <x:v>6</x:v>
      </x:c>
      <x:c r="F507" s="80" t="s">
        <x:v>818</x:v>
      </x:c>
      <x:c r="G507" s="80" t="s">
        <x:v>818</x:v>
      </x:c>
      <x:c r="H507" s="80" t="s">
        <x:v>818</x:v>
      </x:c>
      <x:c r="I507" s="80" t="s">
        <x:v>818</x:v>
      </x:c>
      <x:c r="U507" s="189">
        <x:f t="shared" si="70"/>
        <x:v>1</x:v>
      </x:c>
    </x:row>
    <x:row r="508" spans="2:21">
      <x:c r="B508" s="46" t="s">
        <x:v>1847</x:v>
      </x:c>
      <x:c r="C508" s="60" t="s">
        <x:v>88</x:v>
      </x:c>
      <x:c r="D508" s="80" t="s">
        <x:v>818</x:v>
      </x:c>
      <x:c r="E508" s="80" t="s">
        <x:v>818</x:v>
      </x:c>
      <x:c r="F508" s="80" t="s">
        <x:v>818</x:v>
      </x:c>
      <x:c r="G508" s="80" t="s">
        <x:v>818</x:v>
      </x:c>
      <x:c r="H508" s="80" t="s">
        <x:v>818</x:v>
      </x:c>
      <x:c r="I508" s="80" t="s">
        <x:v>818</x:v>
      </x:c>
      <x:c r="U508" s="189" t="str">
        <x:f t="shared" si="70"/>
        <x:v/>
      </x:c>
    </x:row>
    <x:row r="509" spans="2:21">
      <x:c r="B509" s="46" t="s">
        <x:v>2023</x:v>
      </x:c>
      <x:c r="C509" s="60" t="s">
        <x:v>354</x:v>
      </x:c>
      <x:c r="D509" s="80">
        <x:v>-4</x:v>
      </x:c>
      <x:c r="E509" s="80">
        <x:v>-6</x:v>
      </x:c>
      <x:c r="F509" s="80">
        <x:v>-6</x:v>
      </x:c>
      <x:c r="G509" s="80">
        <x:v>-7</x:v>
      </x:c>
      <x:c r="H509" s="80">
        <x:v>-4</x:v>
      </x:c>
      <x:c r="I509" s="80" t="s">
        <x:v>818</x:v>
      </x:c>
      <x:c r="U509" s="189">
        <x:f t="shared" si="70"/>
        <x:v>1</x:v>
      </x:c>
    </x:row>
    <x:row r="510" spans="2:21">
      <x:c r="B510" s="46" t="s">
        <x:v>1343</x:v>
      </x:c>
      <x:c r="C510" s="60" t="s">
        <x:v>1408</x:v>
      </x:c>
      <x:c r="D510" s="80">
        <x:v>-10</x:v>
      </x:c>
      <x:c r="E510" s="80">
        <x:v>6</x:v>
      </x:c>
      <x:c r="F510" s="80">
        <x:v>2</x:v>
      </x:c>
      <x:c r="G510" s="80">
        <x:v>3</x:v>
      </x:c>
      <x:c r="H510" s="80">
        <x:v>-5</x:v>
      </x:c>
      <x:c r="I510" s="80" t="s">
        <x:v>818</x:v>
      </x:c>
      <x:c r="U510" s="189">
        <x:f t="shared" si="70"/>
        <x:v>1</x:v>
      </x:c>
    </x:row>
    <x:row r="511" spans="2:21">
      <x:c r="B511" s="46" t="s">
        <x:v>2370</x:v>
      </x:c>
      <x:c r="C511" s="60" t="s">
        <x:v>1868</x:v>
      </x:c>
      <x:c r="D511" s="80" t="s">
        <x:v>818</x:v>
      </x:c>
      <x:c r="E511" s="80" t="s">
        <x:v>818</x:v>
      </x:c>
      <x:c r="F511" s="80" t="s">
        <x:v>818</x:v>
      </x:c>
      <x:c r="G511" s="80" t="s">
        <x:v>818</x:v>
      </x:c>
      <x:c r="H511" s="80" t="s">
        <x:v>818</x:v>
      </x:c>
      <x:c r="I511" s="80" t="s">
        <x:v>818</x:v>
      </x:c>
      <x:c r="U511" s="189" t="str">
        <x:f t="shared" si="70"/>
        <x:v/>
      </x:c>
    </x:row>
    <x:row r="512" spans="2:21">
      <x:c r="B512" s="46" t="s">
        <x:v>1349</x:v>
      </x:c>
      <x:c r="C512" s="60" t="s">
        <x:v>1403</x:v>
      </x:c>
      <x:c r="D512" s="80" t="s">
        <x:v>818</x:v>
      </x:c>
      <x:c r="E512" s="80" t="s">
        <x:v>818</x:v>
      </x:c>
      <x:c r="F512" s="80" t="s">
        <x:v>818</x:v>
      </x:c>
      <x:c r="G512" s="80" t="s">
        <x:v>818</x:v>
      </x:c>
      <x:c r="H512" s="80" t="s">
        <x:v>818</x:v>
      </x:c>
      <x:c r="I512" s="80" t="s">
        <x:v>818</x:v>
      </x:c>
      <x:c r="U512" s="189" t="str">
        <x:f t="shared" si="70"/>
        <x:v/>
      </x:c>
    </x:row>
    <x:row r="513" spans="2:21">
      <x:c r="B513" s="46" t="s">
        <x:v>2352</x:v>
      </x:c>
      <x:c r="C513" s="60" t="s">
        <x:v>336</x:v>
      </x:c>
      <x:c r="D513" s="80" t="s">
        <x:v>818</x:v>
      </x:c>
      <x:c r="E513" s="80" t="s">
        <x:v>818</x:v>
      </x:c>
      <x:c r="F513" s="80" t="s">
        <x:v>818</x:v>
      </x:c>
      <x:c r="G513" s="80">
        <x:v>-6</x:v>
      </x:c>
      <x:c r="H513" s="80" t="s">
        <x:v>818</x:v>
      </x:c>
      <x:c r="I513" s="80" t="s">
        <x:v>818</x:v>
      </x:c>
      <x:c r="U513" s="189">
        <x:f t="shared" si="70"/>
        <x:v>1</x:v>
      </x:c>
    </x:row>
    <x:row r="514" spans="2:21">
      <x:c r="B514" s="46" t="s">
        <x:v>1531</x:v>
      </x:c>
      <x:c r="C514" s="60" t="s">
        <x:v>2347</x:v>
      </x:c>
      <x:c r="D514" s="44">
        <x:v>40</x:v>
      </x:c>
      <x:c r="E514" s="44">
        <x:v>31</x:v>
      </x:c>
      <x:c r="F514" s="44">
        <x:v>29</x:v>
      </x:c>
      <x:c r="G514" s="44">
        <x:v>23</x:v>
      </x:c>
      <x:c r="H514" s="44">
        <x:v>14</x:v>
      </x:c>
      <x:c r="I514" s="44" t="s">
        <x:v>818</x:v>
      </x:c>
      <x:c r="U514" s="189">
        <x:f t="shared" si="70"/>
        <x:v>1</x:v>
      </x:c>
    </x:row>
    <x:row r="515" spans="2:21">
      <x:c r="B515" s="61" t="s">
        <x:v>69</x:v>
      </x:c>
      <x:c r="C515" s="60" t="s">
        <x:v>798</x:v>
      </x:c>
      <x:c r="D515" s="80"/>
      <x:c r="E515" s="80"/>
      <x:c r="F515" s="80"/>
      <x:c r="G515" s="80"/>
      <x:c r="H515" s="80"/>
      <x:c r="I515" s="80"/>
      <x:c r="U515" s="188">
        <x:v>1</x:v>
      </x:c>
    </x:row>
    <x:row r="516" spans="2:21">
      <x:c r="B516" s="46" t="s">
        <x:v>282</x:v>
      </x:c>
      <x:c r="C516" s="60" t="s">
        <x:v>1407</x:v>
      </x:c>
      <x:c r="D516" s="44">
        <x:v>5.0800000000000001</x:v>
      </x:c>
      <x:c r="E516" s="44">
        <x:v>4.5499999999999998</x:v>
      </x:c>
      <x:c r="F516" s="44">
        <x:v>5.3499999999999996</x:v>
      </x:c>
      <x:c r="G516" s="44">
        <x:v>7.25</x:v>
      </x:c>
      <x:c r="H516" s="44">
        <x:v>7.6600000000000001</x:v>
      </x:c>
      <x:c r="I516" s="44" t="s">
        <x:v>818</x:v>
      </x:c>
      <x:c r="U516" s="189">
        <x:f t="shared" ref="U516:U521" si="71">IF(COUNT(D516:I516)&lt;&gt;0,1,"")</x:f>
        <x:v>1</x:v>
      </x:c>
    </x:row>
    <x:row r="517" spans="2:21">
      <x:c r="B517" s="46" t="s">
        <x:v>283</x:v>
      </x:c>
      <x:c r="C517" s="60" t="s">
        <x:v>1406</x:v>
      </x:c>
      <x:c r="D517" s="44">
        <x:v>5.0800000000000001</x:v>
      </x:c>
      <x:c r="E517" s="44">
        <x:v>4.5499999999999998</x:v>
      </x:c>
      <x:c r="F517" s="44">
        <x:v>5.3499999999999996</x:v>
      </x:c>
      <x:c r="G517" s="44">
        <x:v>7.25</x:v>
      </x:c>
      <x:c r="H517" s="44">
        <x:v>7.6600000000000001</x:v>
      </x:c>
      <x:c r="I517" s="44" t="s">
        <x:v>818</x:v>
      </x:c>
      <x:c r="U517" s="189">
        <x:f t="shared" si="71"/>
        <x:v>1</x:v>
      </x:c>
    </x:row>
    <x:row r="518" spans="2:21">
      <x:c r="B518" s="46" t="s">
        <x:v>564</x:v>
      </x:c>
      <x:c r="C518" s="60" t="s">
        <x:v>350</x:v>
      </x:c>
      <x:c r="D518" s="44" t="s">
        <x:v>818</x:v>
      </x:c>
      <x:c r="E518" s="44" t="s">
        <x:v>818</x:v>
      </x:c>
      <x:c r="F518" s="44" t="s">
        <x:v>818</x:v>
      </x:c>
      <x:c r="G518" s="44" t="s">
        <x:v>818</x:v>
      </x:c>
      <x:c r="H518" s="44" t="s">
        <x:v>818</x:v>
      </x:c>
      <x:c r="I518" s="44" t="s">
        <x:v>818</x:v>
      </x:c>
      <x:c r="U518" s="189" t="str">
        <x:f t="shared" si="71"/>
        <x:v/>
      </x:c>
    </x:row>
    <x:row r="519" spans="2:21">
      <x:c r="B519" s="46" t="s">
        <x:v>559</x:v>
      </x:c>
      <x:c r="C519" s="60" t="s">
        <x:v>337</x:v>
      </x:c>
      <x:c r="D519" s="44" t="s">
        <x:v>818</x:v>
      </x:c>
      <x:c r="E519" s="44" t="s">
        <x:v>818</x:v>
      </x:c>
      <x:c r="F519" s="44" t="s">
        <x:v>818</x:v>
      </x:c>
      <x:c r="G519" s="44" t="s">
        <x:v>818</x:v>
      </x:c>
      <x:c r="H519" s="44" t="s">
        <x:v>818</x:v>
      </x:c>
      <x:c r="I519" s="44" t="s">
        <x:v>818</x:v>
      </x:c>
      <x:c r="U519" s="189" t="str">
        <x:f t="shared" si="71"/>
        <x:v/>
      </x:c>
    </x:row>
    <x:row r="520" spans="2:21">
      <x:c r="B520" s="46" t="s">
        <x:v>191</x:v>
      </x:c>
      <x:c r="C520" s="60" t="s">
        <x:v>782</x:v>
      </x:c>
      <x:c r="D520" s="80">
        <x:v>7.7300000000000004</x:v>
      </x:c>
      <x:c r="E520" s="80">
        <x:v>6.6200000000000001</x:v>
      </x:c>
      <x:c r="F520" s="80">
        <x:v>6.6399999999999997</x:v>
      </x:c>
      <x:c r="G520" s="80">
        <x:v>8.0500000000000007</x:v>
      </x:c>
      <x:c r="H520" s="80">
        <x:v>8.1199999999999992</x:v>
      </x:c>
      <x:c r="I520" s="80" t="s">
        <x:v>818</x:v>
      </x:c>
      <x:c r="U520" s="189">
        <x:f t="shared" si="71"/>
        <x:v>1</x:v>
      </x:c>
    </x:row>
    <x:row r="521" spans="2:21">
      <x:c r="B521" s="46" t="s">
        <x:v>200</x:v>
      </x:c>
      <x:c r="C521" s="60" t="s">
        <x:v>780</x:v>
      </x:c>
      <x:c r="D521" s="44">
        <x:v>7.7300000000000004</x:v>
      </x:c>
      <x:c r="E521" s="44">
        <x:v>6.6200000000000001</x:v>
      </x:c>
      <x:c r="F521" s="44">
        <x:v>6.6399999999999997</x:v>
      </x:c>
      <x:c r="G521" s="44">
        <x:v>8.0500000000000007</x:v>
      </x:c>
      <x:c r="H521" s="44">
        <x:v>8.1199999999999992</x:v>
      </x:c>
      <x:c r="I521" s="44" t="s">
        <x:v>818</x:v>
      </x:c>
      <x:c r="U521" s="189">
        <x:f t="shared" si="71"/>
        <x:v>1</x:v>
      </x:c>
    </x:row>
    <x:row r="522" spans="2:21">
      <x:c r="B522" s="61" t="s">
        <x:v>1786</x:v>
      </x:c>
      <x:c r="C522" s="60" t="s">
        <x:v>798</x:v>
      </x:c>
      <x:c r="D522" s="80"/>
      <x:c r="E522" s="80"/>
      <x:c r="F522" s="80"/>
      <x:c r="G522" s="80"/>
      <x:c r="H522" s="80"/>
      <x:c r="I522" s="80"/>
      <x:c r="U522" s="188">
        <x:v>1</x:v>
      </x:c>
    </x:row>
    <x:row r="523" spans="2:21">
      <x:c r="B523" s="46" t="s">
        <x:v>1777</x:v>
      </x:c>
      <x:c r="C523" s="60" t="s">
        <x:v>778</x:v>
      </x:c>
      <x:c r="D523" s="44" t="s">
        <x:v>818</x:v>
      </x:c>
      <x:c r="E523" s="44" t="s">
        <x:v>818</x:v>
      </x:c>
      <x:c r="F523" s="44" t="s">
        <x:v>818</x:v>
      </x:c>
      <x:c r="G523" s="44" t="s">
        <x:v>818</x:v>
      </x:c>
      <x:c r="H523" s="44" t="s">
        <x:v>818</x:v>
      </x:c>
      <x:c r="I523" s="44" t="s">
        <x:v>818</x:v>
      </x:c>
      <x:c r="U523" s="189" t="str">
        <x:f t="shared" ref="U523:U526" si="72">IF(COUNT(D523:I523)&lt;&gt;0,1,"")</x:f>
        <x:v/>
      </x:c>
    </x:row>
    <x:row r="524" spans="2:21">
      <x:c r="B524" s="46" t="s">
        <x:v>1084</x:v>
      </x:c>
      <x:c r="C524" s="60" t="s">
        <x:v>791</x:v>
      </x:c>
      <x:c r="D524" s="44">
        <x:v>100</x:v>
      </x:c>
      <x:c r="E524" s="44">
        <x:v>100</x:v>
      </x:c>
      <x:c r="F524" s="44">
        <x:v>100</x:v>
      </x:c>
      <x:c r="G524" s="44">
        <x:v>100</x:v>
      </x:c>
      <x:c r="H524" s="44">
        <x:v>100</x:v>
      </x:c>
      <x:c r="I524" s="44" t="s">
        <x:v>818</x:v>
      </x:c>
      <x:c r="U524" s="189">
        <x:f t="shared" si="72"/>
        <x:v>1</x:v>
      </x:c>
    </x:row>
    <x:row r="525" spans="2:21">
      <x:c r="B525" s="46" t="s">
        <x:v>1085</x:v>
      </x:c>
      <x:c r="C525" s="60" t="s">
        <x:v>776</x:v>
      </x:c>
      <x:c r="D525" s="80" t="s">
        <x:v>818</x:v>
      </x:c>
      <x:c r="E525" s="80" t="s">
        <x:v>818</x:v>
      </x:c>
      <x:c r="F525" s="80" t="s">
        <x:v>818</x:v>
      </x:c>
      <x:c r="G525" s="80" t="s">
        <x:v>818</x:v>
      </x:c>
      <x:c r="H525" s="80" t="s">
        <x:v>818</x:v>
      </x:c>
      <x:c r="I525" s="80" t="s">
        <x:v>818</x:v>
      </x:c>
      <x:c r="U525" s="189" t="str">
        <x:f t="shared" si="72"/>
        <x:v/>
      </x:c>
    </x:row>
    <x:row r="526" spans="2:21">
      <x:c r="B526" s="46" t="s">
        <x:v>2308</x:v>
      </x:c>
      <x:c r="C526" s="60" t="s">
        <x:v>790</x:v>
      </x:c>
      <x:c r="D526" s="80" t="s">
        <x:v>818</x:v>
      </x:c>
      <x:c r="E526" s="80" t="s">
        <x:v>818</x:v>
      </x:c>
      <x:c r="F526" s="80" t="s">
        <x:v>818</x:v>
      </x:c>
      <x:c r="G526" s="80" t="s">
        <x:v>818</x:v>
      </x:c>
      <x:c r="H526" s="80" t="s">
        <x:v>818</x:v>
      </x:c>
      <x:c r="I526" s="80" t="s">
        <x:v>818</x:v>
      </x:c>
      <x:c r="U526" s="189" t="str">
        <x:f t="shared" si="72"/>
        <x:v/>
      </x:c>
    </x:row>
    <x:row r="527" spans="2:21">
      <x:c r="B527" s="61" t="s">
        <x:v>1786</x:v>
      </x:c>
      <x:c r="C527" s="60" t="s">
        <x:v>798</x:v>
      </x:c>
      <x:c r="D527" s="80"/>
      <x:c r="E527" s="80"/>
      <x:c r="F527" s="80"/>
      <x:c r="G527" s="80"/>
      <x:c r="H527" s="80"/>
      <x:c r="I527" s="80"/>
      <x:c r="U527" s="188">
        <x:v>1</x:v>
      </x:c>
    </x:row>
    <x:row r="528" spans="2:21">
      <x:c r="B528" s="46" t="s">
        <x:v>2369</x:v>
      </x:c>
      <x:c r="C528" s="60" t="s">
        <x:v>1401</x:v>
      </x:c>
      <x:c r="D528" s="80" t="s">
        <x:v>818</x:v>
      </x:c>
      <x:c r="E528" s="80" t="s">
        <x:v>818</x:v>
      </x:c>
      <x:c r="F528" s="80" t="s">
        <x:v>818</x:v>
      </x:c>
      <x:c r="G528" s="80" t="s">
        <x:v>818</x:v>
      </x:c>
      <x:c r="H528" s="80" t="s">
        <x:v>818</x:v>
      </x:c>
      <x:c r="I528" s="80" t="s">
        <x:v>818</x:v>
      </x:c>
      <x:c r="U528" s="189" t="str">
        <x:f t="shared" ref="U528:U531" si="73">IF(COUNT(D528:I528)&lt;&gt;0,1,"")</x:f>
        <x:v/>
      </x:c>
    </x:row>
    <x:row r="529" spans="2:21">
      <x:c r="B529" s="46" t="s">
        <x:v>1835</x:v>
      </x:c>
      <x:c r="C529" s="60" t="s">
        <x:v>1402</x:v>
      </x:c>
      <x:c r="D529" s="80">
        <x:v>40</x:v>
      </x:c>
      <x:c r="E529" s="80">
        <x:v>31</x:v>
      </x:c>
      <x:c r="F529" s="80">
        <x:v>29</x:v>
      </x:c>
      <x:c r="G529" s="80">
        <x:v>23</x:v>
      </x:c>
      <x:c r="H529" s="80">
        <x:v>14</x:v>
      </x:c>
      <x:c r="I529" s="80" t="s">
        <x:v>818</x:v>
      </x:c>
      <x:c r="U529" s="189">
        <x:f t="shared" si="73"/>
        <x:v>1</x:v>
      </x:c>
    </x:row>
    <x:row r="530" spans="2:21">
      <x:c r="B530" s="46" t="s">
        <x:v>1820</x:v>
      </x:c>
      <x:c r="C530" s="60" t="s">
        <x:v>1409</x:v>
      </x:c>
      <x:c r="D530" s="80" t="s">
        <x:v>818</x:v>
      </x:c>
      <x:c r="E530" s="80" t="s">
        <x:v>818</x:v>
      </x:c>
      <x:c r="F530" s="80" t="s">
        <x:v>818</x:v>
      </x:c>
      <x:c r="G530" s="80" t="s">
        <x:v>818</x:v>
      </x:c>
      <x:c r="H530" s="80" t="s">
        <x:v>818</x:v>
      </x:c>
      <x:c r="I530" s="80" t="s">
        <x:v>818</x:v>
      </x:c>
      <x:c r="U530" s="189" t="str">
        <x:f t="shared" si="73"/>
        <x:v/>
      </x:c>
    </x:row>
    <x:row r="531" spans="2:21">
      <x:c r="B531" s="46" t="s">
        <x:v>1526</x:v>
      </x:c>
      <x:c r="C531" s="60" t="s">
        <x:v>1404</x:v>
      </x:c>
      <x:c r="D531" s="80" t="s">
        <x:v>818</x:v>
      </x:c>
      <x:c r="E531" s="80" t="s">
        <x:v>818</x:v>
      </x:c>
      <x:c r="F531" s="80" t="s">
        <x:v>818</x:v>
      </x:c>
      <x:c r="G531" s="80" t="s">
        <x:v>818</x:v>
      </x:c>
      <x:c r="H531" s="80" t="s">
        <x:v>818</x:v>
      </x:c>
      <x:c r="I531" s="80" t="s">
        <x:v>818</x:v>
      </x:c>
      <x:c r="U531" s="189" t="str">
        <x:f t="shared" si="73"/>
        <x:v/>
      </x:c>
    </x:row>
    <x:row r="532" spans="2:21">
      <x:c r="B532" s="61" t="s">
        <x:v>159</x:v>
      </x:c>
      <x:c r="C532" s="60" t="s">
        <x:v>798</x:v>
      </x:c>
      <x:c r="D532" s="80"/>
      <x:c r="E532" s="80"/>
      <x:c r="F532" s="80"/>
      <x:c r="G532" s="80"/>
      <x:c r="H532" s="80"/>
      <x:c r="I532" s="80"/>
      <x:c r="U532" s="188">
        <x:v>1</x:v>
      </x:c>
    </x:row>
    <x:row r="533" spans="2:21">
      <x:c r="B533" s="46" t="s">
        <x:v>286</x:v>
      </x:c>
      <x:c r="C533" s="60" t="s">
        <x:v>2362</x:v>
      </x:c>
      <x:c r="D533" s="80">
        <x:v>263</x:v>
      </x:c>
      <x:c r="E533" s="80">
        <x:v>183</x:v>
      </x:c>
      <x:c r="F533" s="80">
        <x:v>86</x:v>
      </x:c>
      <x:c r="G533" s="80">
        <x:v>123</x:v>
      </x:c>
      <x:c r="H533" s="80">
        <x:v>125</x:v>
      </x:c>
      <x:c r="I533" s="80" t="s">
        <x:v>818</x:v>
      </x:c>
      <x:c r="U533" s="189">
        <x:f t="shared" ref="U533:U537" si="74">IF(COUNT(D533:I533)&lt;&gt;0,1,"")</x:f>
        <x:v>1</x:v>
      </x:c>
    </x:row>
    <x:row r="534" spans="2:21">
      <x:c r="B534" s="46" t="s">
        <x:v>972</x:v>
      </x:c>
      <x:c r="C534" s="60" t="s">
        <x:v>779</x:v>
      </x:c>
      <x:c r="D534" s="80">
        <x:v>-4</x:v>
      </x:c>
      <x:c r="E534" s="80">
        <x:v>-4</x:v>
      </x:c>
      <x:c r="F534" s="80" t="s">
        <x:v>818</x:v>
      </x:c>
      <x:c r="G534" s="80">
        <x:v>-1</x:v>
      </x:c>
      <x:c r="H534" s="80">
        <x:v>-1</x:v>
      </x:c>
      <x:c r="I534" s="80" t="s">
        <x:v>818</x:v>
      </x:c>
      <x:c r="U534" s="189">
        <x:f t="shared" si="74"/>
        <x:v>1</x:v>
      </x:c>
    </x:row>
    <x:row r="535" spans="2:21">
      <x:c r="B535" s="46" t="s">
        <x:v>966</x:v>
      </x:c>
      <x:c r="C535" s="60" t="s">
        <x:v>1405</x:v>
      </x:c>
      <x:c r="D535" s="80" t="s">
        <x:v>818</x:v>
      </x:c>
      <x:c r="E535" s="80" t="s">
        <x:v>818</x:v>
      </x:c>
      <x:c r="F535" s="80" t="s">
        <x:v>818</x:v>
      </x:c>
      <x:c r="G535" s="80" t="s">
        <x:v>818</x:v>
      </x:c>
      <x:c r="H535" s="80" t="s">
        <x:v>818</x:v>
      </x:c>
      <x:c r="I535" s="80" t="s">
        <x:v>818</x:v>
      </x:c>
      <x:c r="U535" s="189" t="str">
        <x:f t="shared" si="74"/>
        <x:v/>
      </x:c>
    </x:row>
    <x:row r="536" spans="2:21">
      <x:c r="B536" s="46" t="s">
        <x:v>1087</x:v>
      </x:c>
      <x:c r="C536" s="60" t="s">
        <x:v>1014</x:v>
      </x:c>
      <x:c r="D536" s="80" t="s">
        <x:v>818</x:v>
      </x:c>
      <x:c r="E536" s="80" t="s">
        <x:v>818</x:v>
      </x:c>
      <x:c r="F536" s="80" t="s">
        <x:v>818</x:v>
      </x:c>
      <x:c r="G536" s="80" t="s">
        <x:v>818</x:v>
      </x:c>
      <x:c r="H536" s="80" t="s">
        <x:v>818</x:v>
      </x:c>
      <x:c r="I536" s="80" t="s">
        <x:v>818</x:v>
      </x:c>
      <x:c r="U536" s="189" t="str">
        <x:f t="shared" si="74"/>
        <x:v/>
      </x:c>
    </x:row>
    <x:row r="537" spans="2:21">
      <x:c r="B537" s="46" t="s">
        <x:v>568</x:v>
      </x:c>
      <x:c r="C537" s="60" t="s">
        <x:v>1012</x:v>
      </x:c>
      <x:c r="D537" s="80">
        <x:v>259</x:v>
      </x:c>
      <x:c r="E537" s="80">
        <x:v>179</x:v>
      </x:c>
      <x:c r="F537" s="80">
        <x:v>86</x:v>
      </x:c>
      <x:c r="G537" s="80">
        <x:v>122</x:v>
      </x:c>
      <x:c r="H537" s="80">
        <x:v>124</x:v>
      </x:c>
      <x:c r="I537" s="80" t="s">
        <x:v>818</x:v>
      </x:c>
      <x:c r="U537" s="189">
        <x:f t="shared" si="74"/>
        <x:v>1</x:v>
      </x:c>
    </x:row>
    <x:row r="538" spans="2:21">
      <x:c r="B538" s="61" t="s">
        <x:v>8</x:v>
      </x:c>
      <x:c r="C538" s="60" t="s">
        <x:v>798</x:v>
      </x:c>
      <x:c r="D538" s="80"/>
      <x:c r="E538" s="80"/>
      <x:c r="F538" s="80"/>
      <x:c r="G538" s="80"/>
      <x:c r="H538" s="80"/>
      <x:c r="I538" s="80"/>
      <x:c r="U538" s="188">
        <x:v>1</x:v>
      </x:c>
    </x:row>
    <x:row r="539" spans="2:21">
      <x:c r="B539" s="46" t="s">
        <x:v>54</x:v>
      </x:c>
      <x:c r="C539" s="60" t="s">
        <x:v>1016</x:v>
      </x:c>
      <x:c r="D539" s="80" t="s">
        <x:v>818</x:v>
      </x:c>
      <x:c r="E539" s="80" t="s">
        <x:v>818</x:v>
      </x:c>
      <x:c r="F539" s="80" t="s">
        <x:v>818</x:v>
      </x:c>
      <x:c r="G539" s="80" t="s">
        <x:v>818</x:v>
      </x:c>
      <x:c r="H539" s="80" t="s">
        <x:v>818</x:v>
      </x:c>
      <x:c r="I539" s="80" t="s">
        <x:v>818</x:v>
      </x:c>
      <x:c r="U539" s="189" t="str">
        <x:f t="shared" ref="U539:U542" si="75">IF(COUNT(D539:I539)&lt;&gt;0,1,"")</x:f>
        <x:v/>
      </x:c>
    </x:row>
    <x:row r="540" spans="2:21">
      <x:c r="B540" s="46" t="s">
        <x:v>955</x:v>
      </x:c>
      <x:c r="C540" s="60" t="s">
        <x:v>1876</x:v>
      </x:c>
      <x:c r="D540" s="80" t="s">
        <x:v>818</x:v>
      </x:c>
      <x:c r="E540" s="80" t="s">
        <x:v>818</x:v>
      </x:c>
      <x:c r="F540" s="80" t="s">
        <x:v>818</x:v>
      </x:c>
      <x:c r="G540" s="80" t="s">
        <x:v>818</x:v>
      </x:c>
      <x:c r="H540" s="80" t="s">
        <x:v>818</x:v>
      </x:c>
      <x:c r="I540" s="80" t="s">
        <x:v>818</x:v>
      </x:c>
      <x:c r="U540" s="189" t="str">
        <x:f t="shared" si="75"/>
        <x:v/>
      </x:c>
    </x:row>
    <x:row r="541" spans="2:21">
      <x:c r="B541" s="46" t="s">
        <x:v>75</x:v>
      </x:c>
      <x:c r="C541" s="60" t="s">
        <x:v>1413</x:v>
      </x:c>
      <x:c r="D541" s="80" t="s">
        <x:v>818</x:v>
      </x:c>
      <x:c r="E541" s="80" t="s">
        <x:v>818</x:v>
      </x:c>
      <x:c r="F541" s="80" t="s">
        <x:v>818</x:v>
      </x:c>
      <x:c r="G541" s="80" t="s">
        <x:v>818</x:v>
      </x:c>
      <x:c r="H541" s="80" t="s">
        <x:v>818</x:v>
      </x:c>
      <x:c r="I541" s="80" t="s">
        <x:v>818</x:v>
      </x:c>
      <x:c r="U541" s="189" t="str">
        <x:f t="shared" si="75"/>
        <x:v/>
      </x:c>
    </x:row>
    <x:row r="542" spans="2:21">
      <x:c r="B542" s="46" t="s">
        <x:v>949</x:v>
      </x:c>
      <x:c r="C542" s="60" t="s">
        <x:v>1410</x:v>
      </x:c>
      <x:c r="D542" s="44" t="s">
        <x:v>818</x:v>
      </x:c>
      <x:c r="E542" s="44" t="s">
        <x:v>818</x:v>
      </x:c>
      <x:c r="F542" s="44" t="s">
        <x:v>818</x:v>
      </x:c>
      <x:c r="G542" s="44" t="s">
        <x:v>818</x:v>
      </x:c>
      <x:c r="H542" s="44" t="s">
        <x:v>818</x:v>
      </x:c>
      <x:c r="I542" s="44" t="s">
        <x:v>818</x:v>
      </x:c>
      <x:c r="U542" s="189" t="str">
        <x:f t="shared" si="75"/>
        <x:v/>
      </x:c>
    </x:row>
    <x:row r="543" spans="2:21">
      <x:c r="B543" s="61" t="s">
        <x:v>431</x:v>
      </x:c>
      <x:c r="C543" s="60" t="s">
        <x:v>798</x:v>
      </x:c>
      <x:c r="D543" s="80"/>
      <x:c r="E543" s="80"/>
      <x:c r="F543" s="80"/>
      <x:c r="G543" s="80"/>
      <x:c r="H543" s="80"/>
      <x:c r="I543" s="80"/>
      <x:c r="U543" s="188">
        <x:v>1</x:v>
      </x:c>
    </x:row>
    <x:row r="544" spans="2:21">
      <x:c r="B544" s="46" t="s">
        <x:v>287</x:v>
      </x:c>
      <x:c r="C544" s="60" t="s">
        <x:v>984</x:v>
      </x:c>
      <x:c r="D544" s="44">
        <x:v>4.5499999999999998</x:v>
      </x:c>
      <x:c r="E544" s="44">
        <x:v>5.3499999999999996</x:v>
      </x:c>
      <x:c r="F544" s="44">
        <x:v>7.25</x:v>
      </x:c>
      <x:c r="G544" s="44">
        <x:v>7.6600000000000001</x:v>
      </x:c>
      <x:c r="H544" s="44">
        <x:v>8.2100000000000009</x:v>
      </x:c>
      <x:c r="I544" s="44" t="s">
        <x:v>818</x:v>
      </x:c>
      <x:c r="U544" s="189">
        <x:f t="shared" ref="U544:U547" si="76">IF(COUNT(D544:I544)&lt;&gt;0,1,"")</x:f>
        <x:v>1</x:v>
      </x:c>
    </x:row>
    <x:row r="545" spans="2:21">
      <x:c r="B545" s="46" t="s">
        <x:v>293</x:v>
      </x:c>
      <x:c r="C545" s="60" t="s">
        <x:v>987</x:v>
      </x:c>
      <x:c r="D545" s="44">
        <x:v>4.5499999999999998</x:v>
      </x:c>
      <x:c r="E545" s="44">
        <x:v>5.3499999999999996</x:v>
      </x:c>
      <x:c r="F545" s="44">
        <x:v>7.25</x:v>
      </x:c>
      <x:c r="G545" s="44">
        <x:v>7.6600000000000001</x:v>
      </x:c>
      <x:c r="H545" s="44">
        <x:v>8.2100000000000009</x:v>
      </x:c>
      <x:c r="I545" s="44" t="s">
        <x:v>818</x:v>
      </x:c>
      <x:c r="U545" s="189">
        <x:f t="shared" si="76"/>
        <x:v>1</x:v>
      </x:c>
    </x:row>
    <x:row r="546" spans="2:21">
      <x:c r="B546" s="46" t="s">
        <x:v>967</x:v>
      </x:c>
      <x:c r="C546" s="60" t="s">
        <x:v>1001</x:v>
      </x:c>
      <x:c r="D546" s="80" t="s">
        <x:v>818</x:v>
      </x:c>
      <x:c r="E546" s="80" t="s">
        <x:v>818</x:v>
      </x:c>
      <x:c r="F546" s="80" t="s">
        <x:v>818</x:v>
      </x:c>
      <x:c r="G546" s="80" t="s">
        <x:v>818</x:v>
      </x:c>
      <x:c r="H546" s="80" t="s">
        <x:v>818</x:v>
      </x:c>
      <x:c r="I546" s="80" t="s">
        <x:v>818</x:v>
      </x:c>
      <x:c r="U546" s="189" t="str">
        <x:f t="shared" si="76"/>
        <x:v/>
      </x:c>
    </x:row>
    <x:row r="547" spans="2:21">
      <x:c r="B547" s="46" t="s">
        <x:v>956</x:v>
      </x:c>
      <x:c r="C547" s="60" t="s">
        <x:v>981</x:v>
      </x:c>
      <x:c r="D547" s="80" t="s">
        <x:v>818</x:v>
      </x:c>
      <x:c r="E547" s="80" t="s">
        <x:v>818</x:v>
      </x:c>
      <x:c r="F547" s="80" t="s">
        <x:v>818</x:v>
      </x:c>
      <x:c r="G547" s="80" t="s">
        <x:v>818</x:v>
      </x:c>
      <x:c r="H547" s="80" t="s">
        <x:v>818</x:v>
      </x:c>
      <x:c r="I547" s="80" t="s">
        <x:v>818</x:v>
      </x:c>
      <x:c r="U547" s="189" t="str">
        <x:f t="shared" si="76"/>
        <x:v/>
      </x:c>
    </x:row>
    <x:row r="548" spans="2:21">
      <x:c r="B548" s="61" t="s">
        <x:v>1090</x:v>
      </x:c>
      <x:c r="C548" s="60" t="s">
        <x:v>798</x:v>
      </x:c>
      <x:c r="D548" s="80"/>
      <x:c r="E548" s="80"/>
      <x:c r="F548" s="80"/>
      <x:c r="G548" s="80"/>
      <x:c r="H548" s="80"/>
      <x:c r="I548" s="80"/>
      <x:c r="U548" s="188">
        <x:v>1</x:v>
      </x:c>
    </x:row>
    <x:row r="549" spans="2:21">
      <x:c r="B549" s="46" t="s">
        <x:v>12</x:v>
      </x:c>
      <x:c r="C549" s="60" t="s">
        <x:v>1411</x:v>
      </x:c>
      <x:c r="D549" s="80">
        <x:v>41</x:v>
      </x:c>
      <x:c r="E549" s="80">
        <x:v>41</x:v>
      </x:c>
      <x:c r="F549" s="80">
        <x:v>40</x:v>
      </x:c>
      <x:c r="G549" s="80">
        <x:v>44</x:v>
      </x:c>
      <x:c r="H549" s="80">
        <x:v>42</x:v>
      </x:c>
      <x:c r="I549" s="80" t="s">
        <x:v>818</x:v>
      </x:c>
      <x:c r="U549" s="189">
        <x:f t="shared" ref="U549:U554" si="77">IF(COUNT(D549:I549)&lt;&gt;0,1,"")</x:f>
        <x:v>1</x:v>
      </x:c>
    </x:row>
    <x:row r="550" spans="2:21">
      <x:c r="B550" s="46" t="s">
        <x:v>13</x:v>
      </x:c>
      <x:c r="C550" s="60" t="s">
        <x:v>1414</x:v>
      </x:c>
      <x:c r="D550" s="80">
        <x:v>43</x:v>
      </x:c>
      <x:c r="E550" s="80">
        <x:v>42</x:v>
      </x:c>
      <x:c r="F550" s="80">
        <x:v>41</x:v>
      </x:c>
      <x:c r="G550" s="80">
        <x:v>45</x:v>
      </x:c>
      <x:c r="H550" s="80">
        <x:v>44</x:v>
      </x:c>
      <x:c r="I550" s="80" t="s">
        <x:v>818</x:v>
      </x:c>
      <x:c r="U550" s="189">
        <x:f t="shared" si="77"/>
        <x:v>1</x:v>
      </x:c>
    </x:row>
    <x:row r="551" spans="2:21">
      <x:c r="B551" s="46" t="s">
        <x:v>769</x:v>
      </x:c>
      <x:c r="C551" s="60" t="s">
        <x:v>1415</x:v>
      </x:c>
      <x:c r="D551" s="80">
        <x:v>43</x:v>
      </x:c>
      <x:c r="E551" s="80">
        <x:v>42</x:v>
      </x:c>
      <x:c r="F551" s="80">
        <x:v>42</x:v>
      </x:c>
      <x:c r="G551" s="80">
        <x:v>46</x:v>
      </x:c>
      <x:c r="H551" s="80">
        <x:v>45</x:v>
      </x:c>
      <x:c r="I551" s="80" t="s">
        <x:v>818</x:v>
      </x:c>
      <x:c r="U551" s="189">
        <x:f t="shared" si="77"/>
        <x:v>1</x:v>
      </x:c>
    </x:row>
    <x:row r="552" spans="2:21">
      <x:c r="B552" s="46" t="s">
        <x:v>753</x:v>
      </x:c>
      <x:c r="C552" s="60" t="s">
        <x:v>1412</x:v>
      </x:c>
      <x:c r="D552" s="80">
        <x:v>45</x:v>
      </x:c>
      <x:c r="E552" s="80">
        <x:v>43</x:v>
      </x:c>
      <x:c r="F552" s="80">
        <x:v>42</x:v>
      </x:c>
      <x:c r="G552" s="80">
        <x:v>47</x:v>
      </x:c>
      <x:c r="H552" s="80">
        <x:v>45</x:v>
      </x:c>
      <x:c r="I552" s="80" t="s">
        <x:v>818</x:v>
      </x:c>
      <x:c r="U552" s="189">
        <x:f t="shared" si="77"/>
        <x:v>1</x:v>
      </x:c>
    </x:row>
    <x:row r="553" spans="2:21">
      <x:c r="B553" s="46" t="s">
        <x:v>759</x:v>
      </x:c>
      <x:c r="C553" s="60" t="s">
        <x:v>1416</x:v>
      </x:c>
      <x:c r="D553" s="80">
        <x:v>45</x:v>
      </x:c>
      <x:c r="E553" s="80">
        <x:v>44</x:v>
      </x:c>
      <x:c r="F553" s="80">
        <x:v>43</x:v>
      </x:c>
      <x:c r="G553" s="80">
        <x:v>48</x:v>
      </x:c>
      <x:c r="H553" s="80">
        <x:v>47</x:v>
      </x:c>
      <x:c r="I553" s="80" t="s">
        <x:v>818</x:v>
      </x:c>
      <x:c r="U553" s="189">
        <x:f t="shared" si="77"/>
        <x:v>1</x:v>
      </x:c>
    </x:row>
    <x:row r="554" spans="2:21">
      <x:c r="B554" s="46" t="s">
        <x:v>329</x:v>
      </x:c>
      <x:c r="C554" s="60" t="s">
        <x:v>1019</x:v>
      </x:c>
      <x:c r="D554" s="80">
        <x:v>242</x:v>
      </x:c>
      <x:c r="E554" s="80">
        <x:v>230</x:v>
      </x:c>
      <x:c r="F554" s="80">
        <x:v>228</x:v>
      </x:c>
      <x:c r="G554" s="80">
        <x:v>263</x:v>
      </x:c>
      <x:c r="H554" s="80">
        <x:v>260</x:v>
      </x:c>
      <x:c r="I554" s="80" t="s">
        <x:v>818</x:v>
      </x:c>
      <x:c r="U554" s="189">
        <x:f t="shared" si="77"/>
        <x:v>1</x:v>
      </x:c>
    </x:row>
    <x:row r="555" spans="2:21">
      <x:c r="B555" s="61" t="s">
        <x:v>577</x:v>
      </x:c>
      <x:c r="C555" s="60" t="s">
        <x:v>798</x:v>
      </x:c>
      <x:c r="D555" s="80"/>
      <x:c r="E555" s="80"/>
      <x:c r="F555" s="80"/>
      <x:c r="G555" s="80"/>
      <x:c r="H555" s="80"/>
      <x:c r="I555" s="80"/>
      <x:c r="U555" s="188">
        <x:v>1</x:v>
      </x:c>
    </x:row>
    <x:row r="556" spans="2:21">
      <x:c r="B556" s="46" t="s">
        <x:v>2355</x:v>
      </x:c>
      <x:c r="C556" s="60" t="s">
        <x:v>1417</x:v>
      </x:c>
      <x:c r="D556" s="80" t="s">
        <x:v>818</x:v>
      </x:c>
      <x:c r="E556" s="80" t="s">
        <x:v>818</x:v>
      </x:c>
      <x:c r="F556" s="80" t="s">
        <x:v>818</x:v>
      </x:c>
      <x:c r="G556" s="80" t="s">
        <x:v>818</x:v>
      </x:c>
      <x:c r="H556" s="80" t="s">
        <x:v>818</x:v>
      </x:c>
      <x:c r="I556" s="80" t="s">
        <x:v>818</x:v>
      </x:c>
      <x:c r="U556" s="189" t="str">
        <x:f t="shared" ref="U556:U563" si="78">IF(COUNT(D556:I556)&lt;&gt;0,1,"")</x:f>
        <x:v/>
      </x:c>
    </x:row>
    <x:row r="557" spans="2:21">
      <x:c r="B557" s="46" t="s">
        <x:v>1850</x:v>
      </x:c>
      <x:c r="C557" s="60" t="s">
        <x:v>1418</x:v>
      </x:c>
      <x:c r="D557" s="80" t="s">
        <x:v>818</x:v>
      </x:c>
      <x:c r="E557" s="80" t="s">
        <x:v>818</x:v>
      </x:c>
      <x:c r="F557" s="80" t="s">
        <x:v>818</x:v>
      </x:c>
      <x:c r="G557" s="80" t="s">
        <x:v>818</x:v>
      </x:c>
      <x:c r="H557" s="80" t="s">
        <x:v>818</x:v>
      </x:c>
      <x:c r="I557" s="80" t="s">
        <x:v>818</x:v>
      </x:c>
      <x:c r="U557" s="189" t="str">
        <x:f t="shared" si="78"/>
        <x:v/>
      </x:c>
    </x:row>
    <x:row r="558" spans="2:21">
      <x:c r="B558" s="46" t="s">
        <x:v>1534</x:v>
      </x:c>
      <x:c r="C558" s="60" t="s">
        <x:v>1419</x:v>
      </x:c>
      <x:c r="D558" s="80" t="s">
        <x:v>818</x:v>
      </x:c>
      <x:c r="E558" s="80" t="s">
        <x:v>818</x:v>
      </x:c>
      <x:c r="F558" s="80" t="s">
        <x:v>818</x:v>
      </x:c>
      <x:c r="G558" s="80" t="s">
        <x:v>818</x:v>
      </x:c>
      <x:c r="H558" s="80" t="s">
        <x:v>818</x:v>
      </x:c>
      <x:c r="I558" s="80" t="s">
        <x:v>818</x:v>
      </x:c>
      <x:c r="U558" s="189" t="str">
        <x:f t="shared" si="78"/>
        <x:v/>
      </x:c>
    </x:row>
    <x:row r="559" spans="2:21">
      <x:c r="B559" s="46" t="s">
        <x:v>1825</x:v>
      </x:c>
      <x:c r="C559" s="60" t="s">
        <x:v>1420</x:v>
      </x:c>
      <x:c r="D559" s="80" t="s">
        <x:v>818</x:v>
      </x:c>
      <x:c r="E559" s="80" t="s">
        <x:v>818</x:v>
      </x:c>
      <x:c r="F559" s="80" t="s">
        <x:v>818</x:v>
      </x:c>
      <x:c r="G559" s="80" t="s">
        <x:v>818</x:v>
      </x:c>
      <x:c r="H559" s="80" t="s">
        <x:v>818</x:v>
      </x:c>
      <x:c r="I559" s="80" t="s">
        <x:v>818</x:v>
      </x:c>
      <x:c r="U559" s="189" t="str">
        <x:f t="shared" si="78"/>
        <x:v/>
      </x:c>
    </x:row>
    <x:row r="560" spans="2:21">
      <x:c r="B560" s="46" t="s">
        <x:v>1480</x:v>
      </x:c>
      <x:c r="C560" s="60" t="s">
        <x:v>1875</x:v>
      </x:c>
      <x:c r="D560" s="80" t="s">
        <x:v>818</x:v>
      </x:c>
      <x:c r="E560" s="80" t="s">
        <x:v>818</x:v>
      </x:c>
      <x:c r="F560" s="80" t="s">
        <x:v>818</x:v>
      </x:c>
      <x:c r="G560" s="80" t="s">
        <x:v>818</x:v>
      </x:c>
      <x:c r="H560" s="80" t="s">
        <x:v>818</x:v>
      </x:c>
      <x:c r="I560" s="80" t="s">
        <x:v>818</x:v>
      </x:c>
      <x:c r="U560" s="189" t="str">
        <x:f t="shared" si="78"/>
        <x:v/>
      </x:c>
    </x:row>
    <x:row r="561" spans="2:21">
      <x:c r="B561" s="46" t="s">
        <x:v>1506</x:v>
      </x:c>
      <x:c r="C561" s="60" t="s">
        <x:v>1522</x:v>
      </x:c>
      <x:c r="D561" s="80">
        <x:v>-46</x:v>
      </x:c>
      <x:c r="E561" s="80">
        <x:v>-19</x:v>
      </x:c>
      <x:c r="F561" s="80">
        <x:v>-16</x:v>
      </x:c>
      <x:c r="G561" s="80">
        <x:v>-17</x:v>
      </x:c>
      <x:c r="H561" s="80">
        <x:v>-20</x:v>
      </x:c>
      <x:c r="I561" s="80" t="s">
        <x:v>818</x:v>
      </x:c>
      <x:c r="U561" s="189">
        <x:f t="shared" si="78"/>
        <x:v>1</x:v>
      </x:c>
    </x:row>
    <x:row r="562" spans="2:21">
      <x:c r="B562" s="46" t="s">
        <x:v>2314</x:v>
      </x:c>
      <x:c r="C562" s="60" t="s">
        <x:v>2358</x:v>
      </x:c>
      <x:c r="D562" s="80">
        <x:v>-670</x:v>
      </x:c>
      <x:c r="E562" s="80">
        <x:v>-588</x:v>
      </x:c>
      <x:c r="F562" s="80">
        <x:v>-486</x:v>
      </x:c>
      <x:c r="G562" s="80">
        <x:v>-547</x:v>
      </x:c>
      <x:c r="H562" s="80">
        <x:v>-473</x:v>
      </x:c>
      <x:c r="I562" s="80" t="s">
        <x:v>818</x:v>
      </x:c>
      <x:c r="U562" s="189">
        <x:f t="shared" si="78"/>
        <x:v>1</x:v>
      </x:c>
    </x:row>
    <x:row r="563" spans="2:21">
      <x:c r="B563" s="46" t="s">
        <x:v>1826</x:v>
      </x:c>
      <x:c r="C563" s="60" t="s">
        <x:v>2342</x:v>
      </x:c>
      <x:c r="D563" s="80" t="s">
        <x:v>818</x:v>
      </x:c>
      <x:c r="E563" s="80" t="s">
        <x:v>818</x:v>
      </x:c>
      <x:c r="F563" s="80" t="s">
        <x:v>818</x:v>
      </x:c>
      <x:c r="G563" s="80" t="s">
        <x:v>818</x:v>
      </x:c>
      <x:c r="H563" s="80" t="s">
        <x:v>818</x:v>
      </x:c>
      <x:c r="I563" s="80" t="s">
        <x:v>818</x:v>
      </x:c>
      <x:c r="U563" s="189" t="str">
        <x:f t="shared" si="78"/>
        <x:v/>
      </x:c>
    </x:row>
    <x:row r="564" spans="2:21">
      <x:c r="B564" s="61" t="s">
        <x:v>84</x:v>
      </x:c>
      <x:c r="C564" s="60" t="s">
        <x:v>798</x:v>
      </x:c>
      <x:c r="D564" s="80"/>
      <x:c r="E564" s="80"/>
      <x:c r="F564" s="80"/>
      <x:c r="G564" s="80"/>
      <x:c r="H564" s="80"/>
      <x:c r="I564" s="80"/>
      <x:c r="U564" s="188">
        <x:v>1</x:v>
      </x:c>
    </x:row>
    <x:row r="565" spans="2:21">
      <x:c r="B565" s="46" t="s">
        <x:v>768</x:v>
      </x:c>
      <x:c r="C565" s="60" t="s">
        <x:v>1421</x:v>
      </x:c>
      <x:c r="D565" s="80" t="s">
        <x:v>818</x:v>
      </x:c>
      <x:c r="E565" s="80" t="s">
        <x:v>818</x:v>
      </x:c>
      <x:c r="F565" s="80" t="s">
        <x:v>818</x:v>
      </x:c>
      <x:c r="G565" s="80" t="s">
        <x:v>818</x:v>
      </x:c>
      <x:c r="H565" s="80" t="s">
        <x:v>818</x:v>
      </x:c>
      <x:c r="I565" s="80" t="s">
        <x:v>818</x:v>
      </x:c>
      <x:c r="U565" s="189" t="str">
        <x:f t="shared" ref="U565:U576" si="79">IF(COUNT(D565:I565)&lt;&gt;0,1,"")</x:f>
        <x:v/>
      </x:c>
    </x:row>
    <x:row r="566" spans="2:21">
      <x:c r="B566" s="46" t="s">
        <x:v>324</x:v>
      </x:c>
      <x:c r="C566" s="60" t="s">
        <x:v>1854</x:v>
      </x:c>
      <x:c r="D566" s="80" t="s">
        <x:v>818</x:v>
      </x:c>
      <x:c r="E566" s="80" t="s">
        <x:v>818</x:v>
      </x:c>
      <x:c r="F566" s="80" t="s">
        <x:v>818</x:v>
      </x:c>
      <x:c r="G566" s="80" t="s">
        <x:v>818</x:v>
      </x:c>
      <x:c r="H566" s="80" t="s">
        <x:v>818</x:v>
      </x:c>
      <x:c r="I566" s="80" t="s">
        <x:v>818</x:v>
      </x:c>
      <x:c r="U566" s="189" t="str">
        <x:f t="shared" si="79"/>
        <x:v/>
      </x:c>
    </x:row>
    <x:row r="567" spans="2:21">
      <x:c r="B567" s="46" t="s">
        <x:v>195</x:v>
      </x:c>
      <x:c r="C567" s="60" t="s">
        <x:v>1422</x:v>
      </x:c>
      <x:c r="D567" s="80">
        <x:v>-716</x:v>
      </x:c>
      <x:c r="E567" s="80">
        <x:v>-607</x:v>
      </x:c>
      <x:c r="F567" s="80">
        <x:v>-501</x:v>
      </x:c>
      <x:c r="G567" s="80">
        <x:v>-564</x:v>
      </x:c>
      <x:c r="H567" s="80">
        <x:v>-493</x:v>
      </x:c>
      <x:c r="I567" s="80" t="s">
        <x:v>818</x:v>
      </x:c>
      <x:c r="U567" s="189">
        <x:f t="shared" si="79"/>
        <x:v>1</x:v>
      </x:c>
    </x:row>
    <x:row r="568" spans="2:21">
      <x:c r="B568" s="61" t="s">
        <x:v>1335</x:v>
      </x:c>
      <x:c r="C568" s="60" t="s">
        <x:v>798</x:v>
      </x:c>
      <x:c r="D568" s="80"/>
      <x:c r="E568" s="80"/>
      <x:c r="F568" s="80"/>
      <x:c r="G568" s="80"/>
      <x:c r="H568" s="80"/>
      <x:c r="I568" s="80"/>
      <x:c r="U568" s="188">
        <x:v>1</x:v>
      </x:c>
    </x:row>
    <x:row r="569" spans="2:21">
      <x:c r="B569" s="46" t="s">
        <x:v>219</x:v>
      </x:c>
      <x:c r="C569" s="60" t="s">
        <x:v>210</x:v>
      </x:c>
      <x:c r="D569" s="80" t="s">
        <x:v>818</x:v>
      </x:c>
      <x:c r="E569" s="80" t="s">
        <x:v>818</x:v>
      </x:c>
      <x:c r="F569" s="80" t="s">
        <x:v>818</x:v>
      </x:c>
      <x:c r="G569" s="80" t="s">
        <x:v>818</x:v>
      </x:c>
      <x:c r="H569" s="80" t="s">
        <x:v>818</x:v>
      </x:c>
      <x:c r="I569" s="80" t="s">
        <x:v>818</x:v>
      </x:c>
      <x:c r="U569" s="189" t="str">
        <x:f t="shared" si="79"/>
        <x:v/>
      </x:c>
    </x:row>
    <x:row r="570" spans="2:21">
      <x:c r="B570" s="46" t="s">
        <x:v>1380</x:v>
      </x:c>
      <x:c r="C570" s="60" t="s">
        <x:v>1011</x:v>
      </x:c>
      <x:c r="D570" s="80" t="s">
        <x:v>818</x:v>
      </x:c>
      <x:c r="E570" s="80" t="s">
        <x:v>818</x:v>
      </x:c>
      <x:c r="F570" s="80" t="s">
        <x:v>818</x:v>
      </x:c>
      <x:c r="G570" s="80" t="s">
        <x:v>818</x:v>
      </x:c>
      <x:c r="H570" s="80" t="s">
        <x:v>818</x:v>
      </x:c>
      <x:c r="I570" s="80" t="s">
        <x:v>818</x:v>
      </x:c>
      <x:c r="U570" s="189" t="str">
        <x:f t="shared" si="79"/>
        <x:v/>
      </x:c>
    </x:row>
    <x:row r="571" spans="2:21">
      <x:c r="B571" s="46" t="s">
        <x:v>217</x:v>
      </x:c>
      <x:c r="C571" s="60" t="s">
        <x:v>212</x:v>
      </x:c>
      <x:c r="D571" s="80" t="s">
        <x:v>818</x:v>
      </x:c>
      <x:c r="E571" s="80" t="s">
        <x:v>818</x:v>
      </x:c>
      <x:c r="F571" s="80" t="s">
        <x:v>818</x:v>
      </x:c>
      <x:c r="G571" s="80" t="s">
        <x:v>818</x:v>
      </x:c>
      <x:c r="H571" s="80" t="s">
        <x:v>818</x:v>
      </x:c>
      <x:c r="I571" s="80" t="s">
        <x:v>818</x:v>
      </x:c>
      <x:c r="U571" s="189" t="str">
        <x:f t="shared" si="79"/>
        <x:v/>
      </x:c>
    </x:row>
    <x:row r="572" spans="2:21">
      <x:c r="B572" s="46" t="s">
        <x:v>1379</x:v>
      </x:c>
      <x:c r="C572" s="60" t="s">
        <x:v>1017</x:v>
      </x:c>
      <x:c r="D572" s="80" t="s">
        <x:v>818</x:v>
      </x:c>
      <x:c r="E572" s="80" t="s">
        <x:v>818</x:v>
      </x:c>
      <x:c r="F572" s="80" t="s">
        <x:v>818</x:v>
      </x:c>
      <x:c r="G572" s="80" t="s">
        <x:v>818</x:v>
      </x:c>
      <x:c r="H572" s="80" t="s">
        <x:v>818</x:v>
      </x:c>
      <x:c r="I572" s="80" t="s">
        <x:v>818</x:v>
      </x:c>
      <x:c r="U572" s="189" t="str">
        <x:f t="shared" si="79"/>
        <x:v/>
      </x:c>
    </x:row>
    <x:row r="573" spans="2:21">
      <x:c r="B573" s="61" t="s">
        <x:v>957</x:v>
      </x:c>
      <x:c r="C573" s="60" t="s">
        <x:v>798</x:v>
      </x:c>
      <x:c r="D573" s="80"/>
      <x:c r="E573" s="80"/>
      <x:c r="F573" s="80"/>
      <x:c r="G573" s="80"/>
      <x:c r="H573" s="80"/>
      <x:c r="I573" s="80"/>
      <x:c r="U573" s="188">
        <x:v>1</x:v>
      </x:c>
    </x:row>
    <x:row r="574" spans="2:21">
      <x:c r="B574" s="46" t="s">
        <x:v>349</x:v>
      </x:c>
      <x:c r="C574" s="60" t="s">
        <x:v>1009</x:v>
      </x:c>
      <x:c r="D574" s="23" t="s">
        <x:v>818</x:v>
      </x:c>
      <x:c r="E574" s="23" t="s">
        <x:v>818</x:v>
      </x:c>
      <x:c r="F574" s="23" t="s">
        <x:v>818</x:v>
      </x:c>
      <x:c r="G574" s="23" t="s">
        <x:v>818</x:v>
      </x:c>
      <x:c r="H574" s="23" t="s">
        <x:v>818</x:v>
      </x:c>
      <x:c r="I574" s="23" t="s">
        <x:v>818</x:v>
      </x:c>
      <x:c r="U574" s="189" t="str">
        <x:f t="shared" si="79"/>
        <x:v/>
      </x:c>
    </x:row>
    <x:row r="575" spans="2:21">
      <x:c r="B575" s="46" t="s">
        <x:v>346</x:v>
      </x:c>
      <x:c r="C575" s="60" t="s">
        <x:v>994</x:v>
      </x:c>
      <x:c r="D575" s="246" t="s">
        <x:v>818</x:v>
      </x:c>
      <x:c r="E575" s="246" t="s">
        <x:v>818</x:v>
      </x:c>
      <x:c r="F575" s="246" t="s">
        <x:v>818</x:v>
      </x:c>
      <x:c r="G575" s="246" t="s">
        <x:v>818</x:v>
      </x:c>
      <x:c r="H575" s="246" t="s">
        <x:v>818</x:v>
      </x:c>
      <x:c r="I575" s="246" t="s">
        <x:v>818</x:v>
      </x:c>
      <x:c r="U575" s="189" t="str">
        <x:f t="shared" si="79"/>
        <x:v/>
      </x:c>
    </x:row>
    <x:row r="576" spans="2:21">
      <x:c r="B576" s="46" t="s">
        <x:v>1523</x:v>
      </x:c>
      <x:c r="C576" s="60" t="s">
        <x:v>1501</x:v>
      </x:c>
      <x:c r="D576" s="237">
        <x:v>44196</x:v>
      </x:c>
      <x:c r="E576" s="237">
        <x:v>44561</x:v>
      </x:c>
      <x:c r="F576" s="237">
        <x:v>44926</x:v>
      </x:c>
      <x:c r="G576" s="237">
        <x:v>45291</x:v>
      </x:c>
      <x:c r="H576" s="237">
        <x:v>45657</x:v>
      </x:c>
      <x:c r="I576" s="237"/>
      <x:c r="U576" s="189">
        <x:f t="shared" si="79"/>
        <x:v>1</x:v>
      </x:c>
    </x:row>
    <x:row r="577" spans="2:3">
      <x:c r="B577" s="203"/>
      <x:c r="C577" s="206"/>
    </x:row>
  </x:sheetData>
  <x:pageMargins left="0.25" right="0.25" top="0.25" bottom="0.25" header="0" footer="0"/>
  <x:pageSetup paperSize="9" scale="73" firstPageNumber="1" fitToWidth="1" fitToHeight="0" orientation="portrait" usePrinterDefaults="1" blackAndWhite="0" draft="0" useFirstPageNumber="0" horizontalDpi="600" verticalDpi="600" copies="1"/>
  <x:legacy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2" baseType="lpstr">
      <vt:lpstr>__snloffice</vt:lpstr>
      <vt:lpstr>Key_Stats</vt:lpstr>
      <vt:lpstr>Income_Statement</vt:lpstr>
      <vt:lpstr>Balance_Sheet</vt:lpstr>
      <vt:lpstr>Cash_Flow</vt:lpstr>
      <vt:lpstr>Multiples</vt:lpstr>
      <vt:lpstr>Capitalization</vt:lpstr>
      <vt:lpstr>Capital_Structure_Summary</vt:lpstr>
      <vt:lpstr xml:space="preserve">Capital_Structure_ Details </vt:lpstr>
      <vt:lpstr>Ratios</vt:lpstr>
      <vt:lpstr>Supplemental</vt:lpstr>
      <vt:lpstr>Pension-OPEB</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Gaurav Kumar (SNL INDIA)</dc:creator>
  <cp:lastModifiedBy>wjddn</cp:lastModifiedBy>
  <cp:revision>1</cp:revision>
  <dcterms:created xsi:type="dcterms:W3CDTF">2019-03-14T16:48:12.000</dcterms:created>
  <dcterms:modified xsi:type="dcterms:W3CDTF">2026-08-01T08:05:22.224</dcterms:modified>
  <cp:version>1100.0100.01</cp:version>
</cp:coreProperties>
</file>